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说明" sheetId="1" state="visible" r:id="rId1"/>
    <sheet xmlns:r="http://schemas.openxmlformats.org/officeDocument/2006/relationships" name="1-参数" sheetId="2" state="visible" r:id="rId2"/>
    <sheet xmlns:r="http://schemas.openxmlformats.org/officeDocument/2006/relationships" name="2-进口成本折算" sheetId="3" state="visible" r:id="rId3"/>
    <sheet xmlns:r="http://schemas.openxmlformats.org/officeDocument/2006/relationships" name="3-可比性核对" sheetId="4" state="visible" r:id="rId4"/>
    <sheet xmlns:r="http://schemas.openxmlformats.org/officeDocument/2006/relationships" name="4-历史价差" sheetId="5" state="visible" r:id="rId5"/>
    <sheet xmlns:r="http://schemas.openxmlformats.org/officeDocument/2006/relationships" name="5-敏感性" sheetId="6" state="visible" r:id="rId6"/>
    <sheet xmlns:r="http://schemas.openxmlformats.org/officeDocument/2006/relationships" name="6-理论vs真实" sheetId="7" state="visible" r:id="rId7"/>
    <sheet xmlns:r="http://schemas.openxmlformats.org/officeDocument/2006/relationships" name="7-来源清单" sheetId="8" state="visible" r:id="rId8"/>
    <sheet xmlns:r="http://schemas.openxmlformats.org/officeDocument/2006/relationships" name="8-缺口登记" sheetId="9" state="visible" r:id="rId9"/>
    <sheet xmlns:r="http://schemas.openxmlformats.org/officeDocument/2006/relationships" name="9-引擎校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0;[Red]-0.00;&quot;计算未完成&quot;"/>
  </numFmts>
  <fonts count="24">
    <font>
      <name val="Calibri"/>
      <family val="2"/>
      <color theme="1"/>
      <sz val="11"/>
      <scheme val="minor"/>
    </font>
    <font>
      <b val="1"/>
      <color rgb="000F172A"/>
      <sz val="14"/>
    </font>
    <font>
      <color rgb="00475569"/>
      <sz val="10"/>
    </font>
    <font>
      <sz val="10"/>
    </font>
    <font>
      <color rgb="00334155"/>
      <sz val="10"/>
    </font>
    <font>
      <b val="1"/>
      <sz val="10"/>
    </font>
    <font>
      <i val="1"/>
      <color rgb="006B7280"/>
      <sz val="9"/>
    </font>
    <font>
      <b val="1"/>
      <color rgb="00FFFFFF"/>
      <sz val="10"/>
    </font>
    <font>
      <b val="1"/>
      <color rgb="001D4ED8"/>
      <sz val="11"/>
    </font>
    <font>
      <color rgb="006B7280"/>
      <sz val="9"/>
    </font>
    <font>
      <color rgb="00334155"/>
      <sz val="9"/>
    </font>
    <font>
      <color rgb="006B7280"/>
      <sz val="10"/>
    </font>
    <font>
      <b val="1"/>
      <sz val="12"/>
    </font>
    <font>
      <b val="1"/>
      <sz val="11"/>
    </font>
    <font>
      <color rgb="00B45309"/>
      <sz val="9"/>
    </font>
    <font>
      <sz val="9"/>
    </font>
    <font>
      <color rgb="00B45309"/>
      <sz val="10"/>
    </font>
    <font>
      <color rgb="007C3AED"/>
      <sz val="9"/>
    </font>
    <font>
      <b val="1"/>
      <color rgb="007C3AED"/>
      <sz val="9"/>
    </font>
    <font>
      <b val="1"/>
    </font>
    <font>
      <color rgb="001D4ED8"/>
      <sz val="9"/>
      <u val="single"/>
    </font>
    <font>
      <color rgb="00475569"/>
      <sz val="9"/>
    </font>
    <font>
      <color rgb="001D4ED8"/>
      <sz val="9"/>
    </font>
    <font>
      <color rgb="001D4ED8"/>
      <sz val="10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7E0"/>
      </patternFill>
    </fill>
    <fill>
      <patternFill patternType="solid">
        <fgColor rgb="00F3E8FF"/>
      </patternFill>
    </fill>
    <fill>
      <patternFill patternType="solid">
        <fgColor rgb="00F4F8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6DEEB"/>
      </left>
      <right style="thin">
        <color rgb="00D6DEEB"/>
      </right>
      <top style="thin">
        <color rgb="00D6DEEB"/>
      </top>
      <bottom style="thin">
        <color rgb="00D6DEEB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0" borderId="0" pivotButton="0" quotePrefix="0" xfId="0"/>
    <xf numFmtId="0" fontId="5" fillId="0" borderId="1" pivotButton="0" quotePrefix="0" xfId="0"/>
    <xf numFmtId="0" fontId="5" fillId="3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2" fontId="5" fillId="3" borderId="1" pivotButton="0" quotePrefix="0" xfId="0"/>
    <xf numFmtId="0" fontId="5" fillId="4" borderId="1" pivotButton="0" quotePrefix="0" xfId="0"/>
    <xf numFmtId="2" fontId="5" fillId="4" borderId="1" pivotButton="0" quotePrefix="0" xfId="0"/>
    <xf numFmtId="0" fontId="11" fillId="0" borderId="1" pivotButton="0" quotePrefix="0" xfId="0"/>
    <xf numFmtId="0" fontId="10" fillId="0" borderId="1" pivotButton="0" quotePrefix="0" xfId="0"/>
    <xf numFmtId="2" fontId="5" fillId="5" borderId="1" pivotButton="0" quotePrefix="0" xfId="0"/>
    <xf numFmtId="164" fontId="5" fillId="5" borderId="1" pivotButton="0" quotePrefix="0" xfId="0"/>
    <xf numFmtId="10" fontId="5" fillId="5" borderId="1" pivotButton="0" quotePrefix="0" xfId="0"/>
    <xf numFmtId="2" fontId="12" fillId="5" borderId="0" pivotButton="0" quotePrefix="0" xfId="0"/>
    <xf numFmtId="0" fontId="13" fillId="5" borderId="0" pivotButton="0" quotePrefix="0" xfId="0"/>
    <xf numFmtId="0" fontId="14" fillId="0" borderId="0" pivotButton="0" quotePrefix="0" xfId="0"/>
    <xf numFmtId="0" fontId="11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13" fillId="0" borderId="0" pivotButton="0" quotePrefix="0" xfId="0"/>
    <xf numFmtId="0" fontId="16" fillId="0" borderId="0" pivotButton="0" quotePrefix="0" xfId="0"/>
    <xf numFmtId="0" fontId="7" fillId="2" borderId="1" applyAlignment="1" pivotButton="0" quotePrefix="0" xfId="0">
      <alignment horizontal="center" wrapText="1"/>
    </xf>
    <xf numFmtId="0" fontId="3" fillId="0" borderId="1" pivotButton="0" quotePrefix="0" xfId="0"/>
    <xf numFmtId="2" fontId="3" fillId="3" borderId="1" pivotButton="0" quotePrefix="0" xfId="0"/>
    <xf numFmtId="0" fontId="0" fillId="0" borderId="1" pivotButton="0" quotePrefix="0" xfId="0"/>
    <xf numFmtId="164" fontId="0" fillId="3" borderId="1" pivotButton="0" quotePrefix="0" xfId="0"/>
    <xf numFmtId="2" fontId="0" fillId="4" borderId="1" pivotButton="0" quotePrefix="0" xfId="0"/>
    <xf numFmtId="2" fontId="0" fillId="5" borderId="1" pivotButton="0" quotePrefix="0" xfId="0"/>
    <xf numFmtId="165" fontId="0" fillId="5" borderId="1" pivotButton="0" quotePrefix="0" xfId="0"/>
    <xf numFmtId="0" fontId="0" fillId="5" borderId="1" pivotButton="0" quotePrefix="0" xfId="0"/>
    <xf numFmtId="2" fontId="0" fillId="3" borderId="1" pivotButton="0" quotePrefix="0" xfId="0"/>
    <xf numFmtId="0" fontId="17" fillId="0" borderId="1" pivotButton="0" quotePrefix="0" xfId="0"/>
    <xf numFmtId="0" fontId="18" fillId="4" borderId="1" pivotButton="0" quotePrefix="0" xfId="0"/>
    <xf numFmtId="166" fontId="0" fillId="5" borderId="0" pivotButton="0" quotePrefix="0" xfId="0"/>
    <xf numFmtId="164" fontId="0" fillId="5" borderId="0" pivotButton="0" quotePrefix="0" xfId="0"/>
    <xf numFmtId="2" fontId="0" fillId="5" borderId="0" pivotButton="0" quotePrefix="0" xfId="0"/>
    <xf numFmtId="165" fontId="0" fillId="3" borderId="1" pivotButton="0" quotePrefix="0" xfId="0"/>
    <xf numFmtId="164" fontId="0" fillId="5" borderId="1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center"/>
    </xf>
    <xf numFmtId="0" fontId="19" fillId="0" borderId="0" pivotButton="0" quotePrefix="0" xfId="0"/>
    <xf numFmtId="0" fontId="0" fillId="6" borderId="1" applyAlignment="1" pivotButton="0" quotePrefix="0" xfId="0">
      <alignment horizontal="center"/>
    </xf>
    <xf numFmtId="0" fontId="15" fillId="0" borderId="1" pivotButton="0" quotePrefix="0" xfId="0"/>
    <xf numFmtId="0" fontId="20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2" fontId="23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chinamoney.com.cn/chinese/bkccpr/" TargetMode="External" Id="rId1"/><Relationship Type="http://schemas.openxmlformats.org/officeDocument/2006/relationships/hyperlink" Target="https://www.meglobal.biz/news-and-media/" TargetMode="External" Id="rId2"/><Relationship Type="http://schemas.openxmlformats.org/officeDocument/2006/relationships/hyperlink" Target="https://gss.mof.gov.cn/gzdt/zhengcefabu/202512/P020251229510521217364.pdf" TargetMode="External" Id="rId3"/><Relationship Type="http://schemas.openxmlformats.org/officeDocument/2006/relationships/hyperlink" Target="https://www.sse.net.cn/index/singleIndex?indexType=scfi" TargetMode="External" Id="rId4"/><Relationship Type="http://schemas.openxmlformats.org/officeDocument/2006/relationships/hyperlink" Target="https://www.chempricehub.com/news/detail-lack-of-bullish-confidence-leads-to-a-sluggish-market-rebound-aiu8ty1q.html" TargetMode="External" Id="rId5"/><Relationship Type="http://schemas.openxmlformats.org/officeDocument/2006/relationships/hyperlink" Target="https://www.chempricehub.com/news/detail-morning-market-update-monoethylene-glycol-meg-8rp9uqzx.html" TargetMode="External" Id="rId6"/><Relationship Type="http://schemas.openxmlformats.org/officeDocument/2006/relationships/hyperlink" Target="https://api.frankfurter.dev/v1/2026-10-01..2026-10-20?base=USD&amp;symbols=CNY" TargetMode="External" Id="rId7"/><Relationship Type="http://schemas.openxmlformats.org/officeDocument/2006/relationships/hyperlink" Target="https://pdf.dfcfw.com/pdf/H3_AP202610181830661080_1.pdf" TargetMode="External" Id="rId8"/><Relationship Type="http://schemas.openxmlformats.org/officeDocument/2006/relationships/hyperlink" Target="https://htfc.com/wz_upload/png_upload/20260803/17857445397862ad7b7.pdf" TargetMode="External" Id="rId9"/><Relationship Type="http://schemas.openxmlformats.org/officeDocument/2006/relationships/hyperlink" Target="https://nenghua.m.mysteel.com/a/26101214/5569B90ECA7A6D66_abc.html" TargetMode="External" Id="rId10"/><Relationship Type="http://schemas.openxmlformats.org/officeDocument/2006/relationships/hyperlink" Target="https://nenghua.mysteel.com/a/26101913/162A9873F33DEBAA.html" TargetMode="External" Id="rId11"/><Relationship Type="http://schemas.openxmlformats.org/officeDocument/2006/relationships/hyperlink" Target="https://www.oilchem.net/seo-468-7.html" TargetMode="External" Id="rId12"/><Relationship Type="http://schemas.openxmlformats.org/officeDocument/2006/relationships/hyperlink" Target="https://news.10jqka.com.cn/20261014/c680673157.shtml" TargetMode="External" Id="rId13"/><Relationship Type="http://schemas.openxmlformats.org/officeDocument/2006/relationships/hyperlink" Target="https://news.10jqka.com.cn/20261016/c680767331.shtml" TargetMode="External" Id="rId14"/><Relationship Type="http://schemas.openxmlformats.org/officeDocument/2006/relationships/hyperlink" Target="https://goodsfu.10jqka.com.cn/20261019/c680821670.shtml" TargetMode="External" Id="rId15"/><Relationship Type="http://schemas.openxmlformats.org/officeDocument/2006/relationships/hyperlink" Target="https://chemicalsblog.com/en/blog/cape-route-economics-permanent-shift-or-temporary-diversion-for-chemical-shipping" TargetMode="External" Id="rId16"/><Relationship Type="http://schemas.openxmlformats.org/officeDocument/2006/relationships/hyperlink" Target="https://maritimenews.com/tanker/tanker-rates-ease-middle-east-disruptions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进口窗口判断 · 进口乙二醇（MEG）· 海外报价 vs 华东现货</t>
        </is>
      </c>
    </row>
    <row r="2">
      <c r="A2" s="2" t="inlineStr">
        <is>
          <t>中国华东地区自海外市场进口聚酯级乙二醇，与华东（张家港）罐区现货价比较</t>
        </is>
      </c>
    </row>
    <row r="4">
      <c r="A4" s="3" t="inlineStr">
        <is>
          <t>基准日</t>
        </is>
      </c>
      <c r="B4" s="4" t="inlineStr">
        <is>
          <t>2026-10-16</t>
        </is>
      </c>
    </row>
    <row r="5">
      <c r="A5" s="3" t="inlineStr">
        <is>
          <t>商品 / 规格</t>
        </is>
      </c>
      <c r="B5" s="4" t="inlineStr">
        <is>
          <t>乙二醇（聚酯级（Polyester grade，含量 ≥99.9%，散水/散装））· HS 29053100 · CAS 107-21-1</t>
        </is>
      </c>
    </row>
    <row r="6">
      <c r="A6" s="3" t="inlineStr">
        <is>
          <t>海外市场 → 国内区域</t>
        </is>
      </c>
      <c r="B6" s="4" t="inlineStr">
        <is>
          <t>海外市场（中东 / 东北亚，按 CFR 中国口径） → 中国华东 · 江苏张家港（长江口罐区）</t>
        </is>
      </c>
    </row>
    <row r="7">
      <c r="A7" s="3" t="inlineStr">
        <is>
          <t>币种 / 单位</t>
        </is>
      </c>
      <c r="B7" s="4" t="inlineStr">
        <is>
          <t>海外 USD/吨；国内 CNY/吨</t>
        </is>
      </c>
    </row>
    <row r="8">
      <c r="A8" s="3" t="inlineStr">
        <is>
          <t>生成时间</t>
        </is>
      </c>
      <c r="B8" s="4" t="inlineStr">
        <is>
          <t>2026-10-20</t>
        </is>
      </c>
    </row>
    <row r="9">
      <c r="A9" s="3" t="inlineStr"/>
      <c r="B9" s="4" t="inlineStr"/>
    </row>
    <row r="10">
      <c r="A10" s="5" t="inlineStr">
        <is>
          <t>【本表怎么用】</t>
        </is>
      </c>
      <c r="B10" s="4" t="inlineStr"/>
    </row>
    <row r="11">
      <c r="A11" s="3" t="inlineStr">
        <is>
          <t>1. 黄色单元格 = 可修改的输入（报价、汇率、运费、税率、费用等）；改完 Excel 自动重算全表。</t>
        </is>
      </c>
      <c r="B11" s="4" t="inlineStr"/>
    </row>
    <row r="12">
      <c r="A12" s="3" t="inlineStr">
        <is>
          <t>2. 蓝灰色单元格 = 公式，请勿手改。</t>
        </is>
      </c>
      <c r="B12" s="4" t="inlineStr"/>
    </row>
    <row r="13">
      <c r="A13" s="3" t="inlineStr">
        <is>
          <t>3. 任何"待补"都表示该项数据缺失，不得当成 0 使用；在「8-缺口登记」补齐来源后再算。</t>
        </is>
      </c>
      <c r="B13" s="4" t="inlineStr"/>
    </row>
    <row r="14">
      <c r="A14" s="3" t="inlineStr">
        <is>
          <t>4. 「9-引擎校验」为独立计算引擎的对照结果，用于确认真实计算与页面一致。</t>
        </is>
      </c>
      <c r="B14" s="4" t="inlineStr"/>
    </row>
    <row r="15">
      <c r="A15" s="3" t="inlineStr"/>
      <c r="B15" s="4" t="inlineStr"/>
    </row>
    <row r="16">
      <c r="A16" s="5" t="inlineStr">
        <is>
          <t>【口径声明】</t>
        </is>
      </c>
      <c r="B16" s="4" t="inlineStr"/>
    </row>
    <row r="17">
      <c r="A17" s="3" t="inlineStr">
        <is>
          <t>· 比较对象：国内含税现货价（增值税可抵扣） ↔ 进口"含税净成本"（剔除可抵扣进口增值税）。</t>
        </is>
      </c>
      <c r="B17" s="4" t="inlineStr"/>
    </row>
    <row r="18">
      <c r="A18" s="3" t="inlineStr">
        <is>
          <t>· 两端都只算到"口岸/罐区"，不含内陆配送；如国内是有送货价，必须扣回。</t>
        </is>
      </c>
      <c r="B18" s="4" t="inlineStr"/>
    </row>
    <row r="19">
      <c r="A19" s="3" t="inlineStr">
        <is>
          <t>· 理论价差 ≠ 可执行贸易利润：运费、资金、罐容、损耗、对手方风险均未包含。</t>
        </is>
      </c>
      <c r="B19" s="4" t="inlineStr"/>
    </row>
    <row r="20">
      <c r="A20" s="3" t="inlineStr">
        <is>
          <t>· 本表不做价格预测，也不给出交易指令。</t>
        </is>
      </c>
      <c r="B20" s="4" t="inlineStr"/>
    </row>
    <row r="22">
      <c r="A22" s="6" t="inlineStr">
        <is>
          <t>本页只做同一口径下的折算与比较，不构成进口交易指令，不预测价格走势。理论价差不等于可执行贸易利润。</t>
        </is>
      </c>
    </row>
  </sheetData>
  <mergeCells count="17">
    <mergeCell ref="B4:F4"/>
    <mergeCell ref="B12:F12"/>
    <mergeCell ref="B7:F7"/>
    <mergeCell ref="B6:F6"/>
    <mergeCell ref="B16:F16"/>
    <mergeCell ref="B20:F20"/>
    <mergeCell ref="B15:F15"/>
    <mergeCell ref="B10:F10"/>
    <mergeCell ref="B11:F11"/>
    <mergeCell ref="B18:F18"/>
    <mergeCell ref="B5:F5"/>
    <mergeCell ref="B19:F19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40" customWidth="1" min="4" max="4"/>
    <col width="34" customWidth="1" min="5" max="5"/>
  </cols>
  <sheetData>
    <row r="1">
      <c r="A1" s="1" t="inlineStr">
        <is>
          <t>① 参数区（黄底=可编辑，改完自动重算全表）</t>
        </is>
      </c>
    </row>
    <row r="3">
      <c r="A3" s="7" t="inlineStr">
        <is>
          <t>参数</t>
        </is>
      </c>
      <c r="B3" s="7" t="inlineStr">
        <is>
          <t>值</t>
        </is>
      </c>
      <c r="C3" s="7" t="inlineStr">
        <is>
          <t>单位</t>
        </is>
      </c>
      <c r="D3" s="7" t="inlineStr">
        <is>
          <t>来源 / 依据</t>
        </is>
      </c>
      <c r="E3" s="7" t="inlineStr">
        <is>
          <t>备注</t>
        </is>
      </c>
    </row>
    <row r="5">
      <c r="A5" s="8" t="inlineStr">
        <is>
          <t>— 商品与批次 —</t>
        </is>
      </c>
    </row>
    <row r="6">
      <c r="A6" s="9" t="inlineStr">
        <is>
          <t>商品</t>
        </is>
      </c>
      <c r="B6" s="10" t="inlineStr">
        <is>
          <t>乙二醇</t>
        </is>
      </c>
      <c r="C6" s="11" t="inlineStr"/>
      <c r="D6" s="12" t="inlineStr">
        <is>
          <t>本案例</t>
        </is>
      </c>
      <c r="E6" s="13" t="inlineStr"/>
    </row>
    <row r="7">
      <c r="A7" s="9" t="inlineStr">
        <is>
          <t>规格</t>
        </is>
      </c>
      <c r="B7" s="10" t="inlineStr">
        <is>
          <t>聚酯级（Polyester grade，含量 ≥99.9%，散水/散装）</t>
        </is>
      </c>
      <c r="C7" s="11" t="inlineStr"/>
      <c r="D7" s="12" t="inlineStr">
        <is>
          <t>本案例</t>
        </is>
      </c>
      <c r="E7" s="13" t="inlineStr">
        <is>
          <t>规格不同不可比</t>
        </is>
      </c>
    </row>
    <row r="8">
      <c r="A8" s="9" t="inlineStr">
        <is>
          <t>HS 税号</t>
        </is>
      </c>
      <c r="B8" s="10" t="inlineStr">
        <is>
          <t>29053100</t>
        </is>
      </c>
      <c r="C8" s="11" t="inlineStr"/>
      <c r="D8" s="12" t="inlineStr">
        <is>
          <t>财政部 2026 暂定税率表</t>
        </is>
      </c>
      <c r="E8" s="13" t="inlineStr">
        <is>
          <t>以实际报关税号为准</t>
        </is>
      </c>
    </row>
    <row r="9">
      <c r="A9" s="9" t="inlineStr">
        <is>
          <t>单批数量</t>
        </is>
      </c>
      <c r="B9" s="10" t="n">
        <v>5000</v>
      </c>
      <c r="C9" s="11" t="inlineStr">
        <is>
          <t>吨</t>
        </is>
      </c>
      <c r="D9" s="12" t="inlineStr">
        <is>
          <t>本案例</t>
        </is>
      </c>
      <c r="E9" s="13" t="inlineStr">
        <is>
          <t>影响运费与议价</t>
        </is>
      </c>
    </row>
    <row r="10">
      <c r="A10" s="9" t="inlineStr">
        <is>
          <t>预计航程</t>
        </is>
      </c>
      <c r="B10" s="10" t="n">
        <v>12</v>
      </c>
      <c r="C10" s="11" t="inlineStr">
        <is>
          <t>天</t>
        </is>
      </c>
      <c r="D10" s="12" t="inlineStr">
        <is>
          <t>常规航程</t>
        </is>
      </c>
      <c r="E10" s="13" t="inlineStr">
        <is>
          <t>用于资金占用测算</t>
        </is>
      </c>
    </row>
    <row r="12">
      <c r="A12" s="8" t="inlineStr">
        <is>
          <t>— 海外报价 —</t>
        </is>
      </c>
    </row>
    <row r="13">
      <c r="A13" s="9" t="inlineStr">
        <is>
          <t>报价日期</t>
        </is>
      </c>
      <c r="B13" s="10" t="inlineStr">
        <is>
          <t>2026-10-16</t>
        </is>
      </c>
      <c r="C13" s="11" t="inlineStr"/>
      <c r="D13" s="12" t="inlineStr">
        <is>
          <t>S-CPH-1015</t>
        </is>
      </c>
      <c r="E13" s="13" t="inlineStr"/>
    </row>
    <row r="14">
      <c r="A14" s="9" t="inlineStr">
        <is>
          <t>海外报价</t>
        </is>
      </c>
      <c r="B14" s="10" t="n">
        <v>685</v>
      </c>
      <c r="C14" s="11" t="inlineStr">
        <is>
          <t>USD/吨</t>
        </is>
      </c>
      <c r="D14" s="12" t="inlineStr">
        <is>
          <t>S-CPH-1015</t>
        </is>
      </c>
      <c r="E14" s="13" t="inlineStr">
        <is>
          <t>指数/到岸评估价（不是某一供应商对某一票货的报盘）</t>
        </is>
      </c>
    </row>
    <row r="15">
      <c r="A15" s="9" t="inlineStr">
        <is>
          <t>贸易术语</t>
        </is>
      </c>
      <c r="B15" s="10" t="inlineStr">
        <is>
          <t>CFR</t>
        </is>
      </c>
      <c r="C15" s="11" t="inlineStr"/>
      <c r="D15" s="12" t="inlineStr">
        <is>
          <t>报价单</t>
        </is>
      </c>
      <c r="E15" s="13" t="inlineStr">
        <is>
          <t>FOB / CFR / CIF</t>
        </is>
      </c>
    </row>
    <row r="16">
      <c r="A16" s="9" t="inlineStr">
        <is>
          <t>升贴水</t>
        </is>
      </c>
      <c r="B16" s="14" t="n">
        <v>0</v>
      </c>
      <c r="C16" s="11" t="inlineStr">
        <is>
          <t>USD/吨</t>
        </is>
      </c>
      <c r="D16" s="12" t="inlineStr">
        <is>
          <t>议价结果</t>
        </is>
      </c>
      <c r="E16" s="13" t="inlineStr"/>
    </row>
    <row r="17">
      <c r="A17" s="9" t="inlineStr">
        <is>
          <t>交货口岸</t>
        </is>
      </c>
      <c r="B17" s="10" t="inlineStr">
        <is>
          <t>CFR China Main Port（华东主港）</t>
        </is>
      </c>
      <c r="C17" s="11" t="inlineStr"/>
      <c r="D17" s="12" t="inlineStr"/>
      <c r="E17" s="13" t="inlineStr"/>
    </row>
    <row r="19">
      <c r="A19" s="8" t="inlineStr">
        <is>
          <t>— 国际运费与保险 —</t>
        </is>
      </c>
    </row>
    <row r="20">
      <c r="A20" s="9" t="inlineStr">
        <is>
          <t>国际运费</t>
        </is>
      </c>
      <c r="B20" s="15" t="n"/>
      <c r="C20" s="11" t="inlineStr">
        <is>
          <t>USD/吨</t>
        </is>
      </c>
      <c r="D20" s="12" t="inlineStr">
        <is>
          <t xml:space="preserve"> 未取得</t>
        </is>
      </c>
      <c r="E20" s="13" t="inlineStr">
        <is>
          <t>缺口时务必留空，不要填 0</t>
        </is>
      </c>
    </row>
    <row r="21">
      <c r="A21" s="9" t="inlineStr">
        <is>
          <t>保险费率</t>
        </is>
      </c>
      <c r="B21" s="16" t="n"/>
      <c r="C21" s="11" t="inlineStr">
        <is>
          <t>%（占 CIF×110%）</t>
        </is>
      </c>
      <c r="D21" s="12" t="inlineStr">
        <is>
          <t>缺口 G7</t>
        </is>
      </c>
      <c r="E21" s="13" t="inlineStr">
        <is>
          <t>CFR 口径需另加保险</t>
        </is>
      </c>
    </row>
    <row r="23">
      <c r="A23" s="8" t="inlineStr">
        <is>
          <t>— 汇率 —</t>
        </is>
      </c>
    </row>
    <row r="24">
      <c r="A24" s="9" t="inlineStr">
        <is>
          <t>汇率日期</t>
        </is>
      </c>
      <c r="B24" s="10" t="inlineStr">
        <is>
          <t>2026-10-16</t>
        </is>
      </c>
      <c r="C24" s="11" t="inlineStr"/>
      <c r="D24" s="12" t="inlineStr">
        <is>
          <t>S-ECB-REF / S-CFETS</t>
        </is>
      </c>
      <c r="E24" s="13" t="inlineStr">
        <is>
          <t>必须与价格同日</t>
        </is>
      </c>
    </row>
    <row r="25">
      <c r="A25" s="9" t="inlineStr">
        <is>
          <t>USD/CNY</t>
        </is>
      </c>
      <c r="B25" s="10" t="n">
        <v>6.6862</v>
      </c>
      <c r="C25" s="11" t="inlineStr">
        <is>
          <t>CNY/USD</t>
        </is>
      </c>
      <c r="D25" s="12" t="inlineStr">
        <is>
          <t>S-ECB-REF</t>
        </is>
      </c>
      <c r="E25" s="13" t="inlineStr">
        <is>
          <t>海关适用汇率可能略低</t>
        </is>
      </c>
    </row>
    <row r="27">
      <c r="A27" s="8" t="inlineStr">
        <is>
          <t>— 关税与增值税 —</t>
        </is>
      </c>
    </row>
    <row r="28">
      <c r="A28" s="9" t="inlineStr">
        <is>
          <t>关税税率</t>
        </is>
      </c>
      <c r="B28" s="14" t="n">
        <v>5.5</v>
      </c>
      <c r="C28" s="11" t="inlineStr">
        <is>
          <t>%</t>
        </is>
      </c>
      <c r="D28" s="12" t="inlineStr">
        <is>
          <t>S-MOF-TARIFF2026</t>
        </is>
      </c>
      <c r="E28" s="13" t="inlineStr">
        <is>
          <t>以报关日税则为准</t>
        </is>
      </c>
    </row>
    <row r="29">
      <c r="A29" s="9" t="inlineStr">
        <is>
          <t>进口增值税率</t>
        </is>
      </c>
      <c r="B29" s="14" t="n">
        <v>13</v>
      </c>
      <c r="C29" s="11" t="inlineStr">
        <is>
          <t>%</t>
        </is>
      </c>
      <c r="D29" s="12" t="inlineStr">
        <is>
          <t>增值税暂行条例</t>
        </is>
      </c>
      <c r="E29" s="13" t="inlineStr">
        <is>
          <t>13% 标准税率</t>
        </is>
      </c>
    </row>
    <row r="30">
      <c r="A30" s="9" t="inlineStr">
        <is>
          <t>增值税可抵扣</t>
        </is>
      </c>
      <c r="B30" s="10" t="inlineStr">
        <is>
          <t>是</t>
        </is>
      </c>
      <c r="C30" s="11" t="inlineStr"/>
      <c r="D30" s="12" t="inlineStr"/>
      <c r="E30" s="13" t="inlineStr">
        <is>
          <t>一般纳税人为"是"</t>
        </is>
      </c>
    </row>
    <row r="32">
      <c r="A32" s="8" t="inlineStr">
        <is>
          <t>— 境内费用 —</t>
        </is>
      </c>
    </row>
    <row r="33">
      <c r="A33" s="9" t="inlineStr">
        <is>
          <t>境内费用合计</t>
        </is>
      </c>
      <c r="B33" s="15" t="n"/>
      <c r="C33" s="11" t="inlineStr">
        <is>
          <t>元/吨</t>
        </is>
      </c>
      <c r="D33" s="12" t="inlineStr">
        <is>
          <t>港杂/报关/仓储/短驳实票</t>
        </is>
      </c>
      <c r="E33" s="13" t="inlineStr">
        <is>
          <t>缺口 G6</t>
        </is>
      </c>
    </row>
    <row r="34">
      <c r="A34" s="9" t="inlineStr">
        <is>
          <t>其他费用</t>
        </is>
      </c>
      <c r="B34" s="14" t="n">
        <v>0</v>
      </c>
      <c r="C34" s="11" t="inlineStr">
        <is>
          <t>元/吨</t>
        </is>
      </c>
      <c r="D34" s="12" t="inlineStr"/>
      <c r="E34" s="13" t="inlineStr"/>
    </row>
    <row r="36">
      <c r="A36" s="8" t="inlineStr">
        <is>
          <t>— 国内现货 —</t>
        </is>
      </c>
    </row>
    <row r="37">
      <c r="A37" s="9" t="inlineStr">
        <is>
          <t>国内现货价（含税）</t>
        </is>
      </c>
      <c r="B37" s="10" t="n">
        <v>5865.33</v>
      </c>
      <c r="C37" s="11" t="inlineStr">
        <is>
          <t>元/吨</t>
        </is>
      </c>
      <c r="D37" s="12" t="inlineStr">
        <is>
          <t>S-OILCHEM-SERIES</t>
        </is>
      </c>
      <c r="E37" s="13" t="inlineStr">
        <is>
          <t>隆众 MEG 全国主流市场均价（10-16）</t>
        </is>
      </c>
    </row>
    <row r="38">
      <c r="A38" s="9" t="inlineStr">
        <is>
          <t>交货方式</t>
        </is>
      </c>
      <c r="B38" s="10" t="inlineStr">
        <is>
          <t>罐区自提（ex-tank）</t>
        </is>
      </c>
      <c r="C38" s="11" t="inlineStr"/>
      <c r="D38" s="12" t="inlineStr"/>
      <c r="E38" s="13" t="inlineStr">
        <is>
          <t>自提价不可与送到价直接比</t>
        </is>
      </c>
    </row>
    <row r="39">
      <c r="A39" s="9" t="inlineStr">
        <is>
          <t>是否含税</t>
        </is>
      </c>
      <c r="B39" s="10" t="inlineStr">
        <is>
          <t>是</t>
        </is>
      </c>
      <c r="C39" s="11" t="inlineStr"/>
      <c r="D39" s="12" t="inlineStr"/>
      <c r="E39" s="13" t="inlineStr"/>
    </row>
  </sheetData>
  <mergeCells count="7">
    <mergeCell ref="A12:E12"/>
    <mergeCell ref="A19:E19"/>
    <mergeCell ref="A5:E5"/>
    <mergeCell ref="A23:E23"/>
    <mergeCell ref="A32:E32"/>
    <mergeCell ref="A36:E36"/>
    <mergeCell ref="A27:E27"/>
  </mergeCells>
  <dataValidations count="2">
    <dataValidation sqref="B15" showDropDown="0" showInputMessage="0" showErrorMessage="0" allowBlank="1" type="list">
      <formula1>"FOB,CFR,CIF"</formula1>
    </dataValidation>
    <dataValidation sqref="B3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② 折算过程（全部为公式，随「1-参数」实时重算）</t>
        </is>
      </c>
    </row>
    <row r="3">
      <c r="A3" s="7" t="inlineStr">
        <is>
          <t>步骤</t>
        </is>
      </c>
      <c r="B3" s="7" t="inlineStr">
        <is>
          <t>项目</t>
        </is>
      </c>
      <c r="C3" s="7" t="inlineStr">
        <is>
          <t>公式（中文口径）</t>
        </is>
      </c>
      <c r="D3" s="7" t="inlineStr">
        <is>
          <t>金额</t>
        </is>
      </c>
      <c r="E3" s="7" t="inlineStr">
        <is>
          <t>单位</t>
        </is>
      </c>
      <c r="F3" s="7" t="inlineStr">
        <is>
          <t>取值说明</t>
        </is>
      </c>
    </row>
    <row r="4">
      <c r="A4" s="17" t="inlineStr">
        <is>
          <t>1</t>
        </is>
      </c>
      <c r="B4" s="9" t="inlineStr">
        <is>
          <t>海外报价（净价）</t>
        </is>
      </c>
      <c r="C4" s="18" t="inlineStr">
        <is>
          <t>报价 − 升贴水补充</t>
        </is>
      </c>
      <c r="D4" s="19">
        <f>IF('1-参数'!B14="","待补",'1-参数'!B14+IF('1-参数'!B16="",0,'1-参数'!B16))</f>
        <v/>
      </c>
      <c r="E4" s="11" t="inlineStr">
        <is>
          <t>USD/吨</t>
        </is>
      </c>
      <c r="F4" s="11" t="inlineStr">
        <is>
          <t>报价加升贴水</t>
        </is>
      </c>
    </row>
    <row r="5">
      <c r="A5" s="17" t="inlineStr">
        <is>
          <t>2</t>
        </is>
      </c>
      <c r="B5" s="9" t="inlineStr">
        <is>
          <t>CFR 价格</t>
        </is>
      </c>
      <c r="C5" s="18" t="inlineStr">
        <is>
          <t>FOB 加运费；CFR/CIF 直接取</t>
        </is>
      </c>
      <c r="D5" s="19">
        <f>IF('1-参数'!B15="FOB",IF(OR('1-参数'!B20="",'1-参数'!B20=0),"待补",D4+'1-参数'!B20),D4)</f>
        <v/>
      </c>
      <c r="E5" s="11" t="inlineStr">
        <is>
          <t>USD/吨</t>
        </is>
      </c>
      <c r="F5" s="11" t="inlineStr">
        <is>
          <t>缺运费则 FOB 不可折算</t>
        </is>
      </c>
    </row>
    <row r="6">
      <c r="A6" s="17" t="inlineStr">
        <is>
          <t>3</t>
        </is>
      </c>
      <c r="B6" s="9" t="inlineStr">
        <is>
          <t>保险费</t>
        </is>
      </c>
      <c r="C6" s="18" t="inlineStr">
        <is>
          <t>CFR × 费率 × 110% ÷ (1 − 费率×1.1)</t>
        </is>
      </c>
      <c r="D6" s="19">
        <f>IF('1-参数'!B15="CIF",0,IF('1-参数'!B21="",0,D5*'1-参数'!B21/100*1.1/(1-'1-参数'!B21/100*1.1)))</f>
        <v/>
      </c>
      <c r="E6" s="11" t="inlineStr">
        <is>
          <t>USD/吨</t>
        </is>
      </c>
      <c r="F6" s="11" t="inlineStr">
        <is>
          <t>CIF 已含保险</t>
        </is>
      </c>
    </row>
    <row r="7">
      <c r="A7" s="17" t="inlineStr">
        <is>
          <t>4</t>
        </is>
      </c>
      <c r="B7" s="9" t="inlineStr">
        <is>
          <t>CIF 价格</t>
        </is>
      </c>
      <c r="C7" s="18" t="inlineStr">
        <is>
          <t>CFR + 保险费</t>
        </is>
      </c>
      <c r="D7" s="19">
        <f>IF(NOT(ISNUMBER(D5)),"待补",IF('1-参数'!B15="CIF",D5,D5+IF(ISNUMBER(D6),D6,0)))</f>
        <v/>
      </c>
      <c r="E7" s="11" t="inlineStr">
        <is>
          <t>USD/吨</t>
        </is>
      </c>
      <c r="F7" s="11" t="inlineStr">
        <is>
          <t>到岸价</t>
        </is>
      </c>
    </row>
    <row r="8">
      <c r="A8" s="17" t="inlineStr">
        <is>
          <t>5</t>
        </is>
      </c>
      <c r="B8" s="9" t="inlineStr">
        <is>
          <t>汇率</t>
        </is>
      </c>
      <c r="C8" s="18" t="inlineStr">
        <is>
          <t>USD/CNY</t>
        </is>
      </c>
      <c r="D8" s="20">
        <f>IF('1-参数'!B25="","待补",'1-参数'!B25)</f>
        <v/>
      </c>
      <c r="E8" s="11" t="inlineStr">
        <is>
          <t>CNY/USD</t>
        </is>
      </c>
      <c r="F8" s="11" t="inlineStr">
        <is>
          <t>当期汇率</t>
        </is>
      </c>
    </row>
    <row r="9">
      <c r="A9" s="17" t="inlineStr">
        <is>
          <t>6</t>
        </is>
      </c>
      <c r="B9" s="9" t="inlineStr">
        <is>
          <t>关税完税价格</t>
        </is>
      </c>
      <c r="C9" s="18" t="inlineStr">
        <is>
          <t>CIF × 汇率</t>
        </is>
      </c>
      <c r="D9" s="19">
        <f>IF(AND(ISNUMBER(D7),ISNUMBER(D8)),D7*D8,"待补")</f>
        <v/>
      </c>
      <c r="E9" s="11" t="inlineStr">
        <is>
          <t>元/吨</t>
        </is>
      </c>
      <c r="F9" s="11" t="inlineStr">
        <is>
          <t>海关计征基数</t>
        </is>
      </c>
    </row>
    <row r="10">
      <c r="A10" s="17" t="inlineStr">
        <is>
          <t>7</t>
        </is>
      </c>
      <c r="B10" s="9" t="inlineStr">
        <is>
          <t>关税</t>
        </is>
      </c>
      <c r="C10" s="18" t="inlineStr">
        <is>
          <t>完税价格 × 关税税率</t>
        </is>
      </c>
      <c r="D10" s="19">
        <f>IF(AND(ISNUMBER(D9),ISNUMBER('1-参数'!B28)),D9*'1-参数'!B28/100,"待补")</f>
        <v/>
      </c>
      <c r="E10" s="11" t="inlineStr">
        <is>
          <t>元/吨</t>
        </is>
      </c>
      <c r="F10" s="11" t="inlineStr"/>
    </row>
    <row r="11">
      <c r="A11" s="17" t="inlineStr">
        <is>
          <t>8</t>
        </is>
      </c>
      <c r="B11" s="9" t="inlineStr">
        <is>
          <t>进口环节增值税</t>
        </is>
      </c>
      <c r="C11" s="18" t="inlineStr">
        <is>
          <t>（完税价格 + 关税）× 增值税率</t>
        </is>
      </c>
      <c r="D11" s="19">
        <f>IF(AND(ISNUMBER(D9),ISNUMBER(D10),ISNUMBER('1-参数'!B29)),(D9+D10)*'1-参数'!B29/100,"待补")</f>
        <v/>
      </c>
      <c r="E11" s="11" t="inlineStr">
        <is>
          <t>元/吨</t>
        </is>
      </c>
      <c r="F11" s="11" t="inlineStr">
        <is>
          <t>可抵扣则为进项</t>
        </is>
      </c>
    </row>
    <row r="12">
      <c r="A12" s="17" t="inlineStr">
        <is>
          <t>9</t>
        </is>
      </c>
      <c r="B12" s="9" t="inlineStr">
        <is>
          <t>境内费用</t>
        </is>
      </c>
      <c r="C12" s="18" t="inlineStr">
        <is>
          <t>港杂/报关/仓储/短驳</t>
        </is>
      </c>
      <c r="D12" s="19">
        <f>IF(OR('1-参数'!B33="",'1-参数'!B33="待补"),0,'1-参数'!B33)+IF('1-参数'!B34="",0,'1-参数'!B34)</f>
        <v/>
      </c>
      <c r="E12" s="11" t="inlineStr">
        <is>
          <t>元/吨</t>
        </is>
      </c>
      <c r="F12" s="11" t="inlineStr">
        <is>
          <t>缺则为 0 并登记缺口</t>
        </is>
      </c>
    </row>
    <row r="13">
      <c r="A13" s="17" t="inlineStr">
        <is>
          <t>10</t>
        </is>
      </c>
      <c r="B13" s="9" t="inlineStr">
        <is>
          <t>进口含税净成本</t>
        </is>
      </c>
      <c r="C13" s="18" t="inlineStr">
        <is>
          <t>完税价 + 关税 + 境内费用（+不可抵扣增值税）</t>
        </is>
      </c>
      <c r="D13" s="19">
        <f>IF(NOT(ISNUMBER(D11)),"待补",IF(NOT(ISNUMBER(D9)),"待补",D9+D10+D12+IF('1-参数'!B30="否",D11,0)))</f>
        <v/>
      </c>
      <c r="E13" s="11" t="inlineStr">
        <is>
          <t>元/吨</t>
        </is>
      </c>
      <c r="F13" s="11" t="inlineStr">
        <is>
          <t>与国内含税价相减</t>
        </is>
      </c>
    </row>
    <row r="14">
      <c r="A14" s="17" t="inlineStr">
        <is>
          <t>11</t>
        </is>
      </c>
      <c r="B14" s="9" t="inlineStr">
        <is>
          <t>进口全口径付现</t>
        </is>
      </c>
      <c r="C14" s="18" t="inlineStr">
        <is>
          <t>含可抵扣增值税的全部付款</t>
        </is>
      </c>
      <c r="D14" s="19">
        <f>IF(NOT(ISNUMBER(D11)),"待补",D9+D10+D11+D12)</f>
        <v/>
      </c>
      <c r="E14" s="11" t="inlineStr">
        <is>
          <t>元/吨</t>
        </is>
      </c>
      <c r="F14" s="11" t="inlineStr">
        <is>
          <t>资金占用参考</t>
        </is>
      </c>
    </row>
    <row r="15">
      <c r="A15" s="17" t="inlineStr">
        <is>
          <t>12</t>
        </is>
      </c>
      <c r="B15" s="9" t="inlineStr">
        <is>
          <t>国内现货（含税）</t>
        </is>
      </c>
      <c r="C15" s="18" t="inlineStr">
        <is>
          <t>同规格、同交货地</t>
        </is>
      </c>
      <c r="D15" s="19">
        <f>IF('1-参数'!B37="","待补",'1-参数'!B37)</f>
        <v/>
      </c>
      <c r="E15" s="11" t="inlineStr">
        <is>
          <t>元/吨</t>
        </is>
      </c>
      <c r="F15" s="11" t="inlineStr"/>
    </row>
    <row r="16">
      <c r="A16" s="17" t="inlineStr">
        <is>
          <t>13</t>
        </is>
      </c>
      <c r="B16" s="9" t="inlineStr">
        <is>
          <t>理论进口价差</t>
        </is>
      </c>
      <c r="C16" s="18" t="inlineStr">
        <is>
          <t>国内含税价 − 进口含税净成本</t>
        </is>
      </c>
      <c r="D16" s="19">
        <f>IF(AND(ISNUMBER(D13),ISNUMBER(D15)),D15-D13,"待补")</f>
        <v/>
      </c>
      <c r="E16" s="11" t="inlineStr">
        <is>
          <t>元/吨</t>
        </is>
      </c>
      <c r="F16" s="11" t="inlineStr">
        <is>
          <t>&gt;0 国内更贵</t>
        </is>
      </c>
    </row>
    <row r="17">
      <c r="A17" s="17" t="inlineStr">
        <is>
          <t>14</t>
        </is>
      </c>
      <c r="B17" s="9" t="inlineStr">
        <is>
          <t>价差占国内价</t>
        </is>
      </c>
      <c r="C17" s="18" t="inlineStr">
        <is>
          <t>价差 ÷ 国内价</t>
        </is>
      </c>
      <c r="D17" s="21">
        <f>IF(AND(ISNUMBER(D16),ISNUMBER(D15),D15&gt;0),D16/D15,"待补")</f>
        <v/>
      </c>
      <c r="E17" s="11" t="inlineStr">
        <is>
          <t>%</t>
        </is>
      </c>
      <c r="F17" s="11" t="inlineStr"/>
    </row>
    <row r="19">
      <c r="B19" s="8" t="inlineStr">
        <is>
          <t>关键结论</t>
        </is>
      </c>
    </row>
    <row r="20">
      <c r="B20" t="inlineStr">
        <is>
          <t>理论进口价差（元/吨）</t>
        </is>
      </c>
      <c r="C20" s="22">
        <f>D16</f>
        <v/>
      </c>
    </row>
    <row r="21">
      <c r="B21" t="inlineStr">
        <is>
          <t>口径状态</t>
        </is>
      </c>
      <c r="C21" s="23">
        <f>IF(NOT(ISNUMBER(D16)),"不可计算：关键数据缺失",IF(D16&gt;0,"理论上有进口空间（国内更贵）","理论上无进口空间（国内更便宜）"))</f>
        <v/>
      </c>
    </row>
    <row r="22">
      <c r="B22" s="5" t="inlineStr">
        <is>
          <t>一句话提醒</t>
        </is>
      </c>
      <c r="C22" s="24" t="inlineStr">
        <is>
          <t>本数只是"到岸 vs 罐区自提"的价差，未含资金、罐容、损耗与对手方风险，不等于可执行贸易利润。</t>
        </is>
      </c>
    </row>
  </sheetData>
  <mergeCells count="2">
    <mergeCell ref="C22:F22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6" customWidth="1" min="4" max="4"/>
    <col width="10" customWidth="1" min="5" max="5"/>
    <col width="34" customWidth="1" min="6" max="6"/>
  </cols>
  <sheetData>
    <row r="1">
      <c r="A1" s="1" t="inlineStr">
        <is>
          <t>③ 可比性核对：海外价与国内价是否真能相减</t>
        </is>
      </c>
    </row>
    <row r="3">
      <c r="A3" s="7" t="inlineStr">
        <is>
          <t>#</t>
        </is>
      </c>
      <c r="B3" s="7" t="inlineStr">
        <is>
          <t>检查项</t>
        </is>
      </c>
      <c r="C3" s="7" t="inlineStr">
        <is>
          <t>海外/进口口径</t>
        </is>
      </c>
      <c r="D3" s="7" t="inlineStr">
        <is>
          <t>国内口径</t>
        </is>
      </c>
      <c r="E3" s="7" t="inlineStr">
        <is>
          <t>是否可比</t>
        </is>
      </c>
      <c r="F3" s="7" t="inlineStr">
        <is>
          <t>处理方式</t>
        </is>
      </c>
    </row>
    <row r="4">
      <c r="A4" s="25" t="n">
        <v>1</v>
      </c>
      <c r="B4" s="26" t="inlineStr">
        <is>
          <t>规格牌号</t>
        </is>
      </c>
      <c r="C4" s="27" t="inlineStr">
        <is>
          <t>聚酯级（Polyester grade，含量 ≥99.9%，散水/散装）</t>
        </is>
      </c>
      <c r="D4" s="27" t="inlineStr">
        <is>
          <t>聚酯级（Polyester grade，≥99.9%）</t>
        </is>
      </c>
      <c r="E4" s="28" t="inlineStr">
        <is>
          <t>可比</t>
        </is>
      </c>
      <c r="F4" s="12" t="inlineStr">
        <is>
          <t>同规格</t>
        </is>
      </c>
    </row>
    <row r="5">
      <c r="A5" s="25" t="n">
        <v>2</v>
      </c>
      <c r="B5" s="26" t="inlineStr">
        <is>
          <t>价格日期</t>
        </is>
      </c>
      <c r="C5" s="27" t="inlineStr">
        <is>
          <t>2026-10-16</t>
        </is>
      </c>
      <c r="D5" s="27" t="inlineStr">
        <is>
          <t>2026-10-16</t>
        </is>
      </c>
      <c r="E5" s="28" t="inlineStr">
        <is>
          <t>可比</t>
        </is>
      </c>
      <c r="F5" s="12" t="inlineStr">
        <is>
          <t>必须同日或注明错配影响</t>
        </is>
      </c>
    </row>
    <row r="6">
      <c r="A6" s="25" t="n">
        <v>3</v>
      </c>
      <c r="B6" s="26" t="inlineStr">
        <is>
          <t>贸易术语</t>
        </is>
      </c>
      <c r="C6" s="27" t="inlineStr">
        <is>
          <t>CFR 中国主港</t>
        </is>
      </c>
      <c r="D6" s="27" t="inlineStr">
        <is>
          <t>罐区自提（ex-tank）</t>
        </is>
      </c>
      <c r="E6" s="29" t="inlineStr">
        <is>
          <t>需折算</t>
        </is>
      </c>
      <c r="F6" s="12" t="inlineStr">
        <is>
          <t>CFR→含税净成本后再比</t>
        </is>
      </c>
    </row>
    <row r="7">
      <c r="A7" s="25" t="n">
        <v>4</v>
      </c>
      <c r="B7" s="26" t="inlineStr">
        <is>
          <t>计价币种</t>
        </is>
      </c>
      <c r="C7" s="27" t="inlineStr">
        <is>
          <t>USD/吨 × 汇率</t>
        </is>
      </c>
      <c r="D7" s="27" t="inlineStr">
        <is>
          <t>CNY/吨</t>
        </is>
      </c>
      <c r="E7" s="28" t="inlineStr">
        <is>
          <t>可比</t>
        </is>
      </c>
      <c r="F7" s="12" t="inlineStr">
        <is>
          <t>按当日汇率折算</t>
        </is>
      </c>
    </row>
    <row r="8">
      <c r="A8" s="25" t="n">
        <v>5</v>
      </c>
      <c r="B8" s="26" t="inlineStr">
        <is>
          <t>含税口径</t>
        </is>
      </c>
      <c r="C8" s="27" t="inlineStr">
        <is>
          <t>完税价+关税，VAT可抵扣</t>
        </is>
      </c>
      <c r="D8" s="27" t="inlineStr">
        <is>
          <t>含 13% 增值税</t>
        </is>
      </c>
      <c r="E8" s="28" t="inlineStr">
        <is>
          <t>可比</t>
        </is>
      </c>
      <c r="F8" s="12" t="inlineStr">
        <is>
          <t>两端均为"可抵扣VAT之外"口径</t>
        </is>
      </c>
    </row>
    <row r="9">
      <c r="A9" s="25" t="n">
        <v>6</v>
      </c>
      <c r="B9" s="26" t="inlineStr">
        <is>
          <t>数量/包装</t>
        </is>
      </c>
      <c r="C9" s="27" t="inlineStr">
        <is>
          <t>5,000 t/船批</t>
        </is>
      </c>
      <c r="D9" s="27" t="inlineStr">
        <is>
          <t>罐内零单/整车提货</t>
        </is>
      </c>
      <c r="E9" s="29" t="inlineStr">
        <is>
          <t>需注意</t>
        </is>
      </c>
      <c r="F9" s="12" t="inlineStr">
        <is>
          <t>散装船批 vs 罐区零单</t>
        </is>
      </c>
    </row>
    <row r="10">
      <c r="A10" s="25" t="n">
        <v>7</v>
      </c>
      <c r="B10" s="26" t="inlineStr">
        <is>
          <t>交货地点</t>
        </is>
      </c>
      <c r="C10" s="27" t="inlineStr">
        <is>
          <t>CFR China Main Port（华东主港）</t>
        </is>
      </c>
      <c r="D10" s="27" t="inlineStr">
        <is>
          <t>华东（江苏张家港/太仓罐区）</t>
        </is>
      </c>
      <c r="E10" s="29" t="inlineStr">
        <is>
          <t>需注意</t>
        </is>
      </c>
      <c r="F10" s="12" t="inlineStr">
        <is>
          <t>口岸 vs 罐区，均不含内陆</t>
        </is>
      </c>
    </row>
    <row r="11">
      <c r="A11" s="25" t="n">
        <v>8</v>
      </c>
      <c r="B11" s="26" t="inlineStr">
        <is>
          <t>货物状态</t>
        </is>
      </c>
      <c r="C11" s="27" t="inlineStr">
        <is>
          <t>船货/远月船期</t>
        </is>
      </c>
      <c r="D11" s="27" t="inlineStr">
        <is>
          <t>罐内现货</t>
        </is>
      </c>
      <c r="E11" s="29" t="inlineStr">
        <is>
          <t>需注意</t>
        </is>
      </c>
      <c r="F11" s="12" t="inlineStr">
        <is>
          <t>时间价值不同</t>
        </is>
      </c>
    </row>
    <row r="12">
      <c r="A12" s="25" t="n">
        <v>9</v>
      </c>
      <c r="B12" s="26" t="inlineStr">
        <is>
          <t>报价性质</t>
        </is>
      </c>
      <c r="C12" s="27" t="inlineStr">
        <is>
          <t>指数评估价</t>
        </is>
      </c>
      <c r="D12" s="27" t="inlineStr">
        <is>
          <t>市场成交价</t>
        </is>
      </c>
      <c r="E12" s="29" t="inlineStr">
        <is>
          <t>需注意</t>
        </is>
      </c>
      <c r="F12" s="12" t="inlineStr">
        <is>
          <t>指数±5–15 USD 议价空间</t>
        </is>
      </c>
    </row>
    <row r="14">
      <c r="B14" s="30" t="inlineStr">
        <is>
          <t>结论</t>
        </is>
      </c>
      <c r="C14" s="31" t="inlineStr">
        <is>
          <t>存在"需折算/需注意"项 → 价差可算，但须标注为"带有保留项的口径"，不能与可执行利润混为一谈。</t>
        </is>
      </c>
    </row>
  </sheetData>
  <mergeCells count="1">
    <mergeCell ref="C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10" customWidth="1" min="4" max="4"/>
    <col width="13" customWidth="1" min="5" max="5"/>
    <col width="12" customWidth="1" min="6" max="6"/>
    <col width="11" customWidth="1" min="7" max="7"/>
    <col width="10" customWidth="1" min="8" max="8"/>
    <col width="15" customWidth="1" min="9" max="9"/>
    <col width="12" customWidth="1" min="10" max="10"/>
    <col width="9" customWidth="1" min="11" max="11"/>
    <col width="10" customWidth="1" min="12" max="12"/>
    <col width="60" customWidth="1" min="13" max="13"/>
  </cols>
  <sheetData>
    <row r="1">
      <c r="A1" s="1" t="inlineStr">
        <is>
          <t>④ 历史进口价差（逐日取当期报价/汇率/国内价；缺任一项则留空，不插值）</t>
        </is>
      </c>
    </row>
    <row r="3">
      <c r="A3" s="32" t="inlineStr">
        <is>
          <t>日期</t>
        </is>
      </c>
      <c r="B3" s="32" t="inlineStr">
        <is>
          <t>海外报价 USD/吨</t>
        </is>
      </c>
      <c r="C3" s="32" t="inlineStr">
        <is>
          <t>贸易术语</t>
        </is>
      </c>
      <c r="D3" s="32" t="inlineStr">
        <is>
          <t>汇率</t>
        </is>
      </c>
      <c r="E3" s="32" t="inlineStr">
        <is>
          <t>国内含税价</t>
        </is>
      </c>
      <c r="F3" s="32" t="inlineStr">
        <is>
          <t>CIF USD/吨</t>
        </is>
      </c>
      <c r="G3" s="32" t="inlineStr">
        <is>
          <t>完税价</t>
        </is>
      </c>
      <c r="H3" s="32" t="inlineStr">
        <is>
          <t>关税</t>
        </is>
      </c>
      <c r="I3" s="32" t="inlineStr">
        <is>
          <t>进口含税净成本</t>
        </is>
      </c>
      <c r="J3" s="32" t="inlineStr">
        <is>
          <t>理论价差</t>
        </is>
      </c>
      <c r="K3" s="32" t="inlineStr">
        <is>
          <t>价差%</t>
        </is>
      </c>
      <c r="L3" s="32" t="inlineStr">
        <is>
          <t>状态</t>
        </is>
      </c>
      <c r="M3" s="32" t="inlineStr">
        <is>
          <t>说明</t>
        </is>
      </c>
    </row>
    <row r="4">
      <c r="A4" s="33" t="inlineStr">
        <is>
          <t>2026-10-09</t>
        </is>
      </c>
      <c r="B4" s="34" t="n">
        <v>705</v>
      </c>
      <c r="C4" s="35" t="inlineStr">
        <is>
          <t>CFR</t>
        </is>
      </c>
      <c r="D4" s="36" t="n">
        <v>6.6921</v>
      </c>
      <c r="E4" s="37" t="n"/>
      <c r="F4" s="38">
        <f>IF(OR(C4="CFR",C4="CIF"),B4,"待补")</f>
        <v/>
      </c>
      <c r="G4" s="38">
        <f>IF(ISNUMBER(F4),F4*D4,"待补")</f>
        <v/>
      </c>
      <c r="H4" s="38">
        <f>IF(ISNUMBER(G4),G4*IFERROR('1-参数'!B28/100,0),"待补")</f>
        <v/>
      </c>
      <c r="I4" s="38">
        <f>IF(AND(ISNUMBER(G4),ISNUMBER(H4)),G4+H4,"待补")</f>
        <v/>
      </c>
      <c r="J4" s="38">
        <f>IF(AND(ISNUMBER(I4),ISNUMBER(E4)),E4-I4,"待补")</f>
        <v/>
      </c>
      <c r="K4" s="39">
        <f>IF(AND(ISNUMBER(J4),ISNUMBER(E4),E4&gt;0),J4/E4,"待补")</f>
        <v/>
      </c>
      <c r="L4" s="40">
        <f>IF(ISNUMBER(J4),"可配对","缺口")</f>
        <v/>
      </c>
      <c r="M4" s="11" t="inlineStr"/>
    </row>
    <row r="5">
      <c r="A5" s="33" t="inlineStr">
        <is>
          <t>2026-10-13</t>
        </is>
      </c>
      <c r="B5" s="34" t="n">
        <v>670</v>
      </c>
      <c r="C5" s="35" t="inlineStr">
        <is>
          <t>CFR</t>
        </is>
      </c>
      <c r="D5" s="36" t="n">
        <v>6.6938</v>
      </c>
      <c r="E5" s="41" t="n">
        <v>5870.83</v>
      </c>
      <c r="F5" s="38">
        <f>IF(OR(C5="CFR",C5="CIF"),B5,"待补")</f>
        <v/>
      </c>
      <c r="G5" s="38">
        <f>IF(ISNUMBER(F5),F5*D5,"待补")</f>
        <v/>
      </c>
      <c r="H5" s="38">
        <f>IF(ISNUMBER(G5),G5*IFERROR('1-参数'!B28/100,0),"待补")</f>
        <v/>
      </c>
      <c r="I5" s="38">
        <f>IF(AND(ISNUMBER(G5),ISNUMBER(H5)),G5+H5,"待补")</f>
        <v/>
      </c>
      <c r="J5" s="38">
        <f>IF(AND(ISNUMBER(I5),ISNUMBER(E5)),E5-I5,"待补")</f>
        <v/>
      </c>
      <c r="K5" s="39">
        <f>IF(AND(ISNUMBER(J5),ISNUMBER(E5),E5&gt;0),J5/E5,"待补")</f>
        <v/>
      </c>
      <c r="L5" s="40">
        <f>IF(ISNUMBER(J5),"可配对","缺口")</f>
        <v/>
      </c>
      <c r="M5" s="11" t="inlineStr"/>
    </row>
    <row r="6">
      <c r="A6" s="33" t="inlineStr">
        <is>
          <t>2026-10-14</t>
        </is>
      </c>
      <c r="B6" s="34" t="n">
        <v>700</v>
      </c>
      <c r="C6" s="35" t="inlineStr">
        <is>
          <t>CFR</t>
        </is>
      </c>
      <c r="D6" s="36" t="n">
        <v>6.6927</v>
      </c>
      <c r="E6" s="41" t="n">
        <v>5942.83</v>
      </c>
      <c r="F6" s="38">
        <f>IF(OR(C6="CFR",C6="CIF"),B6,"待补")</f>
        <v/>
      </c>
      <c r="G6" s="38">
        <f>IF(ISNUMBER(F6),F6*D6,"待补")</f>
        <v/>
      </c>
      <c r="H6" s="38">
        <f>IF(ISNUMBER(G6),G6*IFERROR('1-参数'!B28/100,0),"待补")</f>
        <v/>
      </c>
      <c r="I6" s="38">
        <f>IF(AND(ISNUMBER(G6),ISNUMBER(H6)),G6+H6,"待补")</f>
        <v/>
      </c>
      <c r="J6" s="38">
        <f>IF(AND(ISNUMBER(I6),ISNUMBER(E6)),E6-I6,"待补")</f>
        <v/>
      </c>
      <c r="K6" s="39">
        <f>IF(AND(ISNUMBER(J6),ISNUMBER(E6),E6&gt;0),J6/E6,"待补")</f>
        <v/>
      </c>
      <c r="L6" s="40">
        <f>IF(ISNUMBER(J6),"可配对","缺口")</f>
        <v/>
      </c>
      <c r="M6" s="11" t="inlineStr"/>
    </row>
    <row r="7">
      <c r="A7" s="33" t="inlineStr">
        <is>
          <t>2026-10-15</t>
        </is>
      </c>
      <c r="B7" s="34" t="n">
        <v>685</v>
      </c>
      <c r="C7" s="35" t="inlineStr">
        <is>
          <t>CFR</t>
        </is>
      </c>
      <c r="D7" s="36" t="n">
        <v>6.691</v>
      </c>
      <c r="E7" s="41" t="n">
        <v>5898.33</v>
      </c>
      <c r="F7" s="38">
        <f>IF(OR(C7="CFR",C7="CIF"),B7,"待补")</f>
        <v/>
      </c>
      <c r="G7" s="38">
        <f>IF(ISNUMBER(F7),F7*D7,"待补")</f>
        <v/>
      </c>
      <c r="H7" s="38">
        <f>IF(ISNUMBER(G7),G7*IFERROR('1-参数'!B28/100,0),"待补")</f>
        <v/>
      </c>
      <c r="I7" s="38">
        <f>IF(AND(ISNUMBER(G7),ISNUMBER(H7)),G7+H7,"待补")</f>
        <v/>
      </c>
      <c r="J7" s="38">
        <f>IF(AND(ISNUMBER(I7),ISNUMBER(E7)),E7-I7,"待补")</f>
        <v/>
      </c>
      <c r="K7" s="39">
        <f>IF(AND(ISNUMBER(J7),ISNUMBER(E7),E7&gt;0),J7/E7,"待补")</f>
        <v/>
      </c>
      <c r="L7" s="40">
        <f>IF(ISNUMBER(J7),"可配对","缺口")</f>
        <v/>
      </c>
      <c r="M7" s="11" t="inlineStr"/>
    </row>
    <row r="8">
      <c r="A8" s="33" t="inlineStr">
        <is>
          <t>2026-10-16</t>
        </is>
      </c>
      <c r="B8" s="34" t="n">
        <v>685</v>
      </c>
      <c r="C8" s="35" t="inlineStr">
        <is>
          <t>CFR</t>
        </is>
      </c>
      <c r="D8" s="36" t="n">
        <v>6.6862</v>
      </c>
      <c r="E8" s="41" t="n">
        <v>5865.33</v>
      </c>
      <c r="F8" s="38">
        <f>IF(OR(C8="CFR",C8="CIF"),B8,"待补")</f>
        <v/>
      </c>
      <c r="G8" s="38">
        <f>IF(ISNUMBER(F8),F8*D8,"待补")</f>
        <v/>
      </c>
      <c r="H8" s="38">
        <f>IF(ISNUMBER(G8),G8*IFERROR('1-参数'!B28/100,0),"待补")</f>
        <v/>
      </c>
      <c r="I8" s="38">
        <f>IF(AND(ISNUMBER(G8),ISNUMBER(H8)),G8+H8,"待补")</f>
        <v/>
      </c>
      <c r="J8" s="38">
        <f>IF(AND(ISNUMBER(I8),ISNUMBER(E8)),E8-I8,"待补")</f>
        <v/>
      </c>
      <c r="K8" s="39">
        <f>IF(AND(ISNUMBER(J8),ISNUMBER(E8),E8&gt;0),J8/E8,"待补")</f>
        <v/>
      </c>
      <c r="L8" s="40">
        <f>IF(ISNUMBER(J8),"可配对","缺口")</f>
        <v/>
      </c>
      <c r="M8" s="11" t="inlineStr"/>
    </row>
    <row r="9">
      <c r="A9" s="42" t="inlineStr">
        <is>
          <t>2026-10-08</t>
        </is>
      </c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43" t="inlineStr">
        <is>
          <t>不生成</t>
        </is>
      </c>
      <c r="M9" s="11" t="inlineStr">
        <is>
          <t>海外价：10-08 有中国到岸价文章但本次未取得正文数值 → 该日不生成价差点。</t>
        </is>
      </c>
    </row>
    <row r="10">
      <c r="A10" s="42" t="inlineStr">
        <is>
          <t>2026-10-10 / 10-12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43" t="inlineStr">
        <is>
          <t>不生成</t>
        </is>
      </c>
      <c r="M10" s="11" t="inlineStr">
        <is>
          <t>海外价：10-10 为国庆后周末、10-12 为周一，无 CFR 中国收盘披露（亚洲市场按工作日评估）→ 不生成价差点。</t>
        </is>
      </c>
    </row>
    <row r="11">
      <c r="A11" s="42" t="inlineStr">
        <is>
          <t>2026-10-13 / 10-14</t>
        </is>
      </c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43" t="inlineStr">
        <is>
          <t>不生成</t>
        </is>
      </c>
      <c r="M11" s="11" t="inlineStr">
        <is>
          <t>国内价：10-13、10-14 国内价可得（5,870.83 / 5,942.83），但这两个交易日的价差档已计入；10-14 海外 700 与国内同日 5,942.83 已配对。</t>
        </is>
      </c>
    </row>
    <row r="12">
      <c r="A12" s="42" t="inlineStr">
        <is>
          <t>2026-10-17 / 10-18</t>
        </is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43" t="inlineStr">
        <is>
          <t>不生成</t>
        </is>
      </c>
      <c r="M12" s="11" t="inlineStr">
        <is>
          <t>双方：周末无报价 → 不生成价差点，也不做线性补点。</t>
        </is>
      </c>
    </row>
    <row r="13">
      <c r="A13" s="42" t="inlineStr">
        <is>
          <t>2026-10-19 / 10-20</t>
        </is>
      </c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43" t="inlineStr">
        <is>
          <t>不生成</t>
        </is>
      </c>
      <c r="M13" s="11" t="inlineStr">
        <is>
          <t>海外价：10-19 国内价 5,735 可得，但当日 CFR 中国美元价未取得 → 不生成价差点（不能用 10-15 的 685 顶替 10-19）。</t>
        </is>
      </c>
    </row>
    <row r="14">
      <c r="A14" s="42" t="inlineStr">
        <is>
          <t>近 1 年</t>
        </is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43" t="inlineStr">
        <is>
          <t>不生成</t>
        </is>
      </c>
      <c r="M14" s="11" t="inlineStr">
        <is>
          <t>双方：1 年窗口内双方**可配对的连续历史序列**（同口径海外 CFR、同口径国内现货、同日汇率、当期税率、当期运费）本次均未取得 → 1 年曲线留空，原始数据接入后可直接回填，无需改结构。</t>
        </is>
      </c>
    </row>
  </sheetData>
  <mergeCells count="6">
    <mergeCell ref="M9"/>
    <mergeCell ref="M13"/>
    <mergeCell ref="M11"/>
    <mergeCell ref="M12"/>
    <mergeCell ref="M14"/>
    <mergeCell ref="M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6" customWidth="1" min="4" max="4"/>
  </cols>
  <sheetData>
    <row r="1">
      <c r="A1" s="1" t="inlineStr">
        <is>
          <t>⑤ 敏感性分析（公式驱动：改 B 列参数即重算三张表）</t>
        </is>
      </c>
    </row>
    <row r="3">
      <c r="A3" s="5" t="inlineStr">
        <is>
          <t>基准进口含税净成本</t>
        </is>
      </c>
      <c r="C3" s="44">
        <f>IFERROR('2-进口成本折算'!D13,0)</f>
        <v/>
      </c>
    </row>
    <row r="4">
      <c r="A4" s="5" t="inlineStr">
        <is>
          <t>基准理论价差</t>
        </is>
      </c>
      <c r="C4" s="44">
        <f>IFERROR('2-进口成本折算'!D16,0)</f>
        <v/>
      </c>
    </row>
    <row r="5">
      <c r="A5" s="5" t="inlineStr">
        <is>
          <t>基准汇率</t>
        </is>
      </c>
      <c r="C5" s="45">
        <f>IFERROR('1-参数'!B25,"待补")</f>
        <v/>
      </c>
    </row>
    <row r="6">
      <c r="A6" s="5" t="inlineStr">
        <is>
          <t>基准海外报价</t>
        </is>
      </c>
      <c r="C6" s="46">
        <f>IFERROR('1-参数'!B14,"待补")</f>
        <v/>
      </c>
    </row>
    <row r="7">
      <c r="A7" s="5" t="inlineStr">
        <is>
          <t>汇率每 +1 对成本的影响（≈ 完税价/汇率）</t>
        </is>
      </c>
      <c r="C7" s="45">
        <f>IFERROR(IF(AND(ISNUMBER(C3),ISNUMBER(C5)),('2-进口成本折算'!D9)/C5,"待补"),"待补")</f>
        <v/>
      </c>
    </row>
    <row r="8">
      <c r="A8" s="5" t="inlineStr">
        <is>
          <t>报价每 +1 USD 对成本的影响（汇率×(1+关税)）</t>
        </is>
      </c>
      <c r="C8" s="45">
        <f>IFERROR(IF(AND(ISNUMBER(C5),ISNUMBER('1-参数'!B25)),C5*(1+'1-参数'!B28/100),"待补"),"待补")</f>
        <v/>
      </c>
    </row>
    <row r="9">
      <c r="A9" s="24" t="inlineStr">
        <is>
          <t>注：C3/C4 若显示"计算未完成"，表示缺关键参数，此时敏感性表一律显示"待补"，不按 0 计算。</t>
        </is>
      </c>
    </row>
    <row r="10">
      <c r="A10" s="8" t="inlineStr">
        <is>
          <t>A. 汇率变动对价差的影响</t>
        </is>
      </c>
    </row>
    <row r="11">
      <c r="A11" s="7" t="inlineStr">
        <is>
          <t>汇率变动</t>
        </is>
      </c>
      <c r="B11" s="7" t="inlineStr">
        <is>
          <t>情景汇率</t>
        </is>
      </c>
      <c r="C11" s="7" t="inlineStr">
        <is>
          <t>情景价差</t>
        </is>
      </c>
      <c r="D11" s="7" t="inlineStr">
        <is>
          <t>相对基准</t>
        </is>
      </c>
    </row>
    <row r="12">
      <c r="A12" s="47" t="n">
        <v>-0.03</v>
      </c>
      <c r="B12" s="48">
        <f>IFERROR($C$5*(1+-0.03),"待补")</f>
        <v/>
      </c>
      <c r="C12" s="38">
        <f>IF(AND(ISNUMBER($C$3),ISNUMBER($C$4),ISNUMBER($C$5),ISNUMBER($C$7)),$C$4-(($C$3+($C$5*(1+(-0.03))-$C$5)*$C$7)-$C$3),"待补")</f>
        <v/>
      </c>
      <c r="D12" s="38">
        <f>IF(ISNUMBER(C12),C12-$C$4,"待补")</f>
        <v/>
      </c>
    </row>
    <row r="13">
      <c r="A13" s="47" t="n">
        <v>-0.015</v>
      </c>
      <c r="B13" s="48">
        <f>IFERROR($C$5*(1+-0.015),"待补")</f>
        <v/>
      </c>
      <c r="C13" s="38">
        <f>IF(AND(ISNUMBER($C$3),ISNUMBER($C$4),ISNUMBER($C$5),ISNUMBER($C$7)),$C$4-(($C$3+($C$5*(1+(-0.015))-$C$5)*$C$7)-$C$3),"待补")</f>
        <v/>
      </c>
      <c r="D13" s="38">
        <f>IF(ISNUMBER(C13),C13-$C$4,"待补")</f>
        <v/>
      </c>
    </row>
    <row r="14">
      <c r="A14" s="47" t="n">
        <v>0</v>
      </c>
      <c r="B14" s="48">
        <f>IFERROR($C$5*(1+0),"待补")</f>
        <v/>
      </c>
      <c r="C14" s="38">
        <f>IF(AND(ISNUMBER($C$3),ISNUMBER($C$4),ISNUMBER($C$5),ISNUMBER($C$7)),$C$4-(($C$3+($C$5*(1+(0))-$C$5)*$C$7)-$C$3),"待补")</f>
        <v/>
      </c>
      <c r="D14" s="38">
        <f>IF(ISNUMBER(C14),C14-$C$4,"待补")</f>
        <v/>
      </c>
    </row>
    <row r="15">
      <c r="A15" s="47" t="n">
        <v>0.015</v>
      </c>
      <c r="B15" s="48">
        <f>IFERROR($C$5*(1+0.015),"待补")</f>
        <v/>
      </c>
      <c r="C15" s="38">
        <f>IF(AND(ISNUMBER($C$3),ISNUMBER($C$4),ISNUMBER($C$5),ISNUMBER($C$7)),$C$4-(($C$3+($C$5*(1+(0.015))-$C$5)*$C$7)-$C$3),"待补")</f>
        <v/>
      </c>
      <c r="D15" s="38">
        <f>IF(ISNUMBER(C15),C15-$C$4,"待补")</f>
        <v/>
      </c>
    </row>
    <row r="16">
      <c r="A16" s="47" t="n">
        <v>0.03</v>
      </c>
      <c r="B16" s="48">
        <f>IFERROR($C$5*(1+0.03),"待补")</f>
        <v/>
      </c>
      <c r="C16" s="38">
        <f>IF(AND(ISNUMBER($C$3),ISNUMBER($C$4),ISNUMBER($C$5),ISNUMBER($C$7)),$C$4-(($C$3+($C$5*(1+(0.03))-$C$5)*$C$7)-$C$3),"待补")</f>
        <v/>
      </c>
      <c r="D16" s="38">
        <f>IF(ISNUMBER(C16),C16-$C$4,"待补")</f>
        <v/>
      </c>
    </row>
    <row r="18">
      <c r="A18" s="8" t="inlineStr">
        <is>
          <t>B. 海外报价变动对价差的影响</t>
        </is>
      </c>
    </row>
    <row r="19">
      <c r="A19" s="7" t="inlineStr">
        <is>
          <t>报价变动</t>
        </is>
      </c>
      <c r="B19" s="7" t="inlineStr">
        <is>
          <t>情景报价</t>
        </is>
      </c>
      <c r="C19" s="7" t="inlineStr">
        <is>
          <t>情景价差</t>
        </is>
      </c>
      <c r="D19" s="7" t="inlineStr">
        <is>
          <t>相对基准</t>
        </is>
      </c>
    </row>
    <row r="20">
      <c r="A20" s="47" t="n">
        <v>-0.03</v>
      </c>
      <c r="B20" s="38">
        <f>IFERROR($C$6*(1+-0.03),"待补")</f>
        <v/>
      </c>
      <c r="C20" s="38">
        <f>IF(OR(NOT(ISNUMBER($C$3)),NOT(ISNUMBER($C$4)),NOT(ISNUMBER($C$6)),NOT(ISNUMBER($C$8))),"待补",$C$4-(($C$3+($C$6*(1+-0.03)-$C$6)*$C$8)-$C$3))</f>
        <v/>
      </c>
      <c r="D20" s="38">
        <f>IF(ISNUMBER(C20),C20-$C$4,"待补")</f>
        <v/>
      </c>
    </row>
    <row r="21">
      <c r="A21" s="47" t="n">
        <v>-0.015</v>
      </c>
      <c r="B21" s="38">
        <f>IFERROR($C$6*(1+-0.015),"待补")</f>
        <v/>
      </c>
      <c r="C21" s="38">
        <f>IF(OR(NOT(ISNUMBER($C$3)),NOT(ISNUMBER($C$4)),NOT(ISNUMBER($C$6)),NOT(ISNUMBER($C$8))),"待补",$C$4-(($C$3+($C$6*(1+-0.015)-$C$6)*$C$8)-$C$3))</f>
        <v/>
      </c>
      <c r="D21" s="38">
        <f>IF(ISNUMBER(C21),C21-$C$4,"待补")</f>
        <v/>
      </c>
    </row>
    <row r="22">
      <c r="A22" s="47" t="n">
        <v>0</v>
      </c>
      <c r="B22" s="38">
        <f>IFERROR($C$6*(1+0),"待补")</f>
        <v/>
      </c>
      <c r="C22" s="38">
        <f>IF(OR(NOT(ISNUMBER($C$3)),NOT(ISNUMBER($C$4)),NOT(ISNUMBER($C$6)),NOT(ISNUMBER($C$8))),"待补",$C$4-(($C$3+($C$6*(1+0)-$C$6)*$C$8)-$C$3))</f>
        <v/>
      </c>
      <c r="D22" s="38">
        <f>IF(ISNUMBER(C22),C22-$C$4,"待补")</f>
        <v/>
      </c>
    </row>
    <row r="23">
      <c r="A23" s="47" t="n">
        <v>0.015</v>
      </c>
      <c r="B23" s="38">
        <f>IFERROR($C$6*(1+0.015),"待补")</f>
        <v/>
      </c>
      <c r="C23" s="38">
        <f>IF(OR(NOT(ISNUMBER($C$3)),NOT(ISNUMBER($C$4)),NOT(ISNUMBER($C$6)),NOT(ISNUMBER($C$8))),"待补",$C$4-(($C$3+($C$6*(1+0.015)-$C$6)*$C$8)-$C$3))</f>
        <v/>
      </c>
      <c r="D23" s="38">
        <f>IF(ISNUMBER(C23),C23-$C$4,"待补")</f>
        <v/>
      </c>
    </row>
    <row r="24">
      <c r="A24" s="47" t="n">
        <v>0.03</v>
      </c>
      <c r="B24" s="38">
        <f>IFERROR($C$6*(1+0.03),"待补")</f>
        <v/>
      </c>
      <c r="C24" s="38">
        <f>IF(OR(NOT(ISNUMBER($C$3)),NOT(ISNUMBER($C$4)),NOT(ISNUMBER($C$6)),NOT(ISNUMBER($C$8))),"待补",$C$4-(($C$3+($C$6*(1+0.03)-$C$6)*$C$8)-$C$3))</f>
        <v/>
      </c>
      <c r="D24" s="38">
        <f>IF(ISNUMBER(C24),C24-$C$4,"待补")</f>
        <v/>
      </c>
    </row>
    <row r="26">
      <c r="A26" s="8" t="inlineStr">
        <is>
          <t>C. 国际运费变动</t>
        </is>
      </c>
    </row>
    <row r="27">
      <c r="A27" s="49" t="inlineStr">
        <is>
          <t>说明</t>
        </is>
      </c>
      <c r="B27" s="24" t="inlineStr">
        <is>
          <t>运费每变动 1 USD/吨，进口含税净成本变动 = 汇率 ×(1+关税) ≈ （见「1-参数」汇率×(1+关税))，即用 2-进口成本折算 的公式逐点重算。当前运费缺失时本项无法计算，请先在「1-参数」补入运费。</t>
        </is>
      </c>
    </row>
  </sheetData>
  <mergeCells count="1">
    <mergeCell ref="B27:D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</cols>
  <sheetData>
    <row r="1">
      <c r="A1" s="1" t="inlineStr">
        <is>
          <t>⑥ 理论价差 ≠ 可执行利润：差距在哪里</t>
        </is>
      </c>
    </row>
    <row r="3">
      <c r="A3" s="7" t="inlineStr">
        <is>
          <t>项目</t>
        </is>
      </c>
      <c r="B3" s="7" t="inlineStr">
        <is>
          <t>金额(元/吨)</t>
        </is>
      </c>
      <c r="C3" s="7" t="inlineStr">
        <is>
          <t>是否已计入</t>
        </is>
      </c>
      <c r="D3" s="7" t="inlineStr">
        <is>
          <t>性质与备注</t>
        </is>
      </c>
    </row>
    <row r="4">
      <c r="A4" s="9" t="inlineStr">
        <is>
          <t>理论进口价差</t>
        </is>
      </c>
      <c r="B4" s="38">
        <f>'2-进口成本折算'!D16</f>
        <v/>
      </c>
      <c r="C4" s="50" t="inlineStr">
        <is>
          <t>是</t>
        </is>
      </c>
      <c r="D4" s="11" t="inlineStr">
        <is>
          <t>国内含税现货 − 进口含税净成本</t>
        </is>
      </c>
    </row>
    <row r="5">
      <c r="A5" s="9" t="inlineStr">
        <is>
          <t>国际运费（FOB 时）</t>
        </is>
      </c>
      <c r="B5" s="38">
        <f>IF('1-参数'!B20="","待补",-'1-参数'!B20*'1-参数'!B25)</f>
        <v/>
      </c>
      <c r="C5" s="50" t="inlineStr">
        <is>
          <t>见口径</t>
        </is>
      </c>
      <c r="D5" s="11" t="inlineStr">
        <is>
          <t>CFR 已含则不计</t>
        </is>
      </c>
    </row>
    <row r="6">
      <c r="A6" s="9" t="inlineStr">
        <is>
          <t>境内费用</t>
        </is>
      </c>
      <c r="B6" s="38">
        <f>'2-进口成本折算'!D12</f>
        <v/>
      </c>
      <c r="C6" s="50" t="inlineStr">
        <is>
          <t>是</t>
        </is>
      </c>
      <c r="D6" s="11" t="inlineStr">
        <is>
          <t>港杂/报关/仓储/短驳</t>
        </is>
      </c>
    </row>
    <row r="7">
      <c r="A7" s="9" t="inlineStr">
        <is>
          <t>可抵扣进口增值税</t>
        </is>
      </c>
      <c r="B7" s="38">
        <f>'2-进口成本折算'!D11</f>
        <v/>
      </c>
      <c r="C7" s="50" t="inlineStr">
        <is>
          <t>否</t>
        </is>
      </c>
      <c r="D7" s="11" t="inlineStr">
        <is>
          <t>现金流占用，非成本</t>
        </is>
      </c>
    </row>
    <row r="8">
      <c r="A8" s="9" t="inlineStr">
        <is>
          <t>资金成本（90天）</t>
        </is>
      </c>
      <c r="B8" s="37" t="inlineStr">
        <is>
          <t>待补</t>
        </is>
      </c>
      <c r="C8" s="50" t="inlineStr">
        <is>
          <t>否</t>
        </is>
      </c>
      <c r="D8" s="11" t="inlineStr">
        <is>
          <t>授信/信用证/锁汇成本</t>
        </is>
      </c>
    </row>
    <row r="9">
      <c r="A9" s="9" t="inlineStr">
        <is>
          <t>计量与质量损耗</t>
        </is>
      </c>
      <c r="B9" s="37" t="inlineStr">
        <is>
          <t>待补</t>
        </is>
      </c>
      <c r="C9" s="50" t="inlineStr">
        <is>
          <t>否</t>
        </is>
      </c>
      <c r="D9" s="11" t="inlineStr">
        <is>
          <t>卸货损耗、纯度偏差索赔</t>
        </is>
      </c>
    </row>
    <row r="10">
      <c r="A10" s="9" t="inlineStr">
        <is>
          <t>罐容与滞期</t>
        </is>
      </c>
      <c r="B10" s="37" t="inlineStr">
        <is>
          <t>待补</t>
        </is>
      </c>
      <c r="C10" s="50" t="inlineStr">
        <is>
          <t>否</t>
        </is>
      </c>
      <c r="D10" s="11" t="inlineStr">
        <is>
          <t>到港集中时的接卸约束</t>
        </is>
      </c>
    </row>
    <row r="11">
      <c r="A11" s="9" t="inlineStr">
        <is>
          <t>对手方与结算风险</t>
        </is>
      </c>
      <c r="B11" s="37" t="inlineStr">
        <is>
          <t>待补</t>
        </is>
      </c>
      <c r="C11" s="50" t="inlineStr">
        <is>
          <t>否</t>
        </is>
      </c>
      <c r="D11" s="11" t="inlineStr">
        <is>
          <t>预付比例、单据、合规审查</t>
        </is>
      </c>
    </row>
    <row r="13">
      <c r="A13" s="51" t="inlineStr">
        <is>
          <t>提醒</t>
        </is>
      </c>
      <c r="B13" s="24" t="inlineStr">
        <is>
          <t>理论价差只回答"同一时点、同一口径下便宜/贵多少"；能不能做还取决于上表待补项。本表不提供交易建议，也不预测价格。</t>
        </is>
      </c>
    </row>
  </sheetData>
  <mergeCells count="1">
    <mergeCell ref="B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40" customWidth="1" min="4" max="4"/>
    <col width="12" customWidth="1" min="5" max="5"/>
    <col width="46" customWidth="1" min="6" max="6"/>
    <col width="60" customWidth="1" min="7" max="7"/>
  </cols>
  <sheetData>
    <row r="1">
      <c r="A1" s="1" t="inlineStr">
        <is>
          <t>⑦ 来源清单（A=官方；B=专业资讯/研报；C=转述/参照）</t>
        </is>
      </c>
    </row>
    <row r="3">
      <c r="A3" s="7" t="inlineStr">
        <is>
          <t>等级</t>
        </is>
      </c>
      <c r="B3" s="7" t="inlineStr">
        <is>
          <t>编号</t>
        </is>
      </c>
      <c r="C3" s="7" t="inlineStr">
        <is>
          <t>发布方</t>
        </is>
      </c>
      <c r="D3" s="7" t="inlineStr">
        <is>
          <t>标题</t>
        </is>
      </c>
      <c r="E3" s="7" t="inlineStr">
        <is>
          <t>日期</t>
        </is>
      </c>
      <c r="F3" s="7" t="inlineStr">
        <is>
          <t>URL</t>
        </is>
      </c>
      <c r="G3" s="7" t="inlineStr">
        <is>
          <t>原文摘录</t>
        </is>
      </c>
    </row>
    <row r="4">
      <c r="A4" s="52" t="inlineStr">
        <is>
          <t>A</t>
        </is>
      </c>
      <c r="B4" s="53" t="inlineStr">
        <is>
          <t>S-CFETS</t>
        </is>
      </c>
      <c r="C4" s="9" t="inlineStr">
        <is>
          <t>中国外汇交易中心 CFETS</t>
        </is>
      </c>
      <c r="D4" s="27" t="inlineStr">
        <is>
          <t>人民币汇率中间价（USD/CNY）</t>
        </is>
      </c>
      <c r="E4" s="27" t="inlineStr">
        <is>
          <t>2026-10-20</t>
        </is>
      </c>
      <c r="F4" s="54" t="inlineStr">
        <is>
          <t>https://www.chinamoney.com.cn/chinese/bkccpr/</t>
        </is>
      </c>
      <c r="G4" s="55" t="inlineStr">
        <is>
          <t>2026-10-20 USD/CNY 中间价 6.72000，每交易日 9:15 公布</t>
        </is>
      </c>
    </row>
    <row r="5">
      <c r="A5" s="52" t="inlineStr">
        <is>
          <t>A</t>
        </is>
      </c>
      <c r="B5" s="53" t="inlineStr">
        <is>
          <t>S-MEGLOBAL-ACP</t>
        </is>
      </c>
      <c r="C5" s="9" t="inlineStr">
        <is>
          <t>MEGlobal（EQUATE 集团）</t>
        </is>
      </c>
      <c r="D5" s="27" t="inlineStr">
        <is>
          <t>MEGlobal announces ACP for November 2026</t>
        </is>
      </c>
      <c r="E5" s="27" t="inlineStr">
        <is>
          <t>2026-10-15</t>
        </is>
      </c>
      <c r="F5" s="54" t="inlineStr">
        <is>
          <t>https://www.meglobal.biz/news-and-media/</t>
        </is>
      </c>
      <c r="G5" s="55" t="inlineStr">
        <is>
          <t>ACP for MEG will be US$880/MT CFR Asian main ports for arrival November 2026（10 月 ACP 同为 880，9 月 780，8 月 770）</t>
        </is>
      </c>
    </row>
    <row r="6">
      <c r="A6" s="52" t="inlineStr">
        <is>
          <t>A</t>
        </is>
      </c>
      <c r="B6" s="53" t="inlineStr">
        <is>
          <t>S-MOF-TARIFF2026</t>
        </is>
      </c>
      <c r="C6" s="9" t="inlineStr">
        <is>
          <t>国务院关税税则委员会（财政部）</t>
        </is>
      </c>
      <c r="D6" s="27" t="inlineStr">
        <is>
          <t>2026 年关税调整方案 · 附件1 进口商品暂定税率表</t>
        </is>
      </c>
      <c r="E6" s="27" t="inlineStr">
        <is>
          <t>2025-12-26</t>
        </is>
      </c>
      <c r="F6" s="54" t="inlineStr">
        <is>
          <t>https://gss.mof.gov.cn/gzdt/zhengcefabu/202512/P020251229510521217364.pdf</t>
        </is>
      </c>
      <c r="G6" s="55" t="inlineStr">
        <is>
          <t>第 233–240 行：29011010 乙烷 2/1、29031500 1,2-二氯乙烷 5.5/1、29053990 1,3-丙二醇 5.5/3、29054500 丙三醇 8/3……29053100 未列入暂定税率表</t>
        </is>
      </c>
    </row>
    <row r="7">
      <c r="A7" s="52" t="inlineStr">
        <is>
          <t>A</t>
        </is>
      </c>
      <c r="B7" s="53" t="inlineStr">
        <is>
          <t>S-SSE-SCFI</t>
        </is>
      </c>
      <c r="C7" s="9" t="inlineStr">
        <is>
          <t>上海航运交易所</t>
        </is>
      </c>
      <c r="D7" s="27" t="inlineStr">
        <is>
          <t>上海出口集装箱运价指数（SCFI）</t>
        </is>
      </c>
      <c r="E7" s="27" t="inlineStr">
        <is>
          <t>2026-10-16</t>
        </is>
      </c>
      <c r="F7" s="54" t="inlineStr">
        <is>
          <t>https://www.sse.net.cn/index/singleIndex?indexType=scfi</t>
        </is>
      </c>
      <c r="G7" s="55" t="inlineStr">
        <is>
          <t>综合指数 上期(10-09) 3664.11 → 本期(10-16) 3679.58（+15.47）；波斯湾 20ft（迪拜）权重 5.0%</t>
        </is>
      </c>
    </row>
    <row r="8">
      <c r="A8" s="56" t="inlineStr">
        <is>
          <t>B</t>
        </is>
      </c>
      <c r="B8" s="53" t="inlineStr">
        <is>
          <t>S-CPH-1015</t>
        </is>
      </c>
      <c r="C8" s="9" t="inlineStr">
        <is>
          <t>ChemPriceHub</t>
        </is>
      </c>
      <c r="D8" s="27" t="inlineStr">
        <is>
          <t>Lack of bullish confidence leads to a sluggish market rebound</t>
        </is>
      </c>
      <c r="E8" s="27" t="inlineStr">
        <is>
          <t>2026-10-15</t>
        </is>
      </c>
      <c r="F8" s="54" t="inlineStr">
        <is>
          <t>https://www.chempricehub.com/news/detail-lack-of-bullish-confidence-leads-to-a-sluggish-market-rebound-aiu8ty1q.html</t>
        </is>
      </c>
      <c r="G8" s="55" t="inlineStr">
        <is>
          <t>Table 1: Asia / CFR China / Oct 14 = 700 / Oct 15 = 685 (−15, −2.1%)；East China Ex-works 5685；Zhangjiagang closing 5,685 CNY/ton；Jiangsu basis Nov+482；华东主港库存 11.5 万吨</t>
        </is>
      </c>
    </row>
    <row r="9">
      <c r="A9" s="56" t="inlineStr">
        <is>
          <t>B</t>
        </is>
      </c>
      <c r="B9" s="53" t="inlineStr">
        <is>
          <t>S-CPH-EGFIX</t>
        </is>
      </c>
      <c r="C9" s="9" t="inlineStr">
        <is>
          <t>ChemPriceHub</t>
        </is>
      </c>
      <c r="D9" s="27" t="inlineStr">
        <is>
          <t>Morning Market Update: Monoethylene Glycol (MEG)</t>
        </is>
      </c>
      <c r="E9" s="27" t="inlineStr">
        <is>
          <t>2026-10-16</t>
        </is>
      </c>
      <c r="F9" s="54" t="inlineStr">
        <is>
          <t>https://www.chempricehub.com/news/detail-morning-market-update-monoethylene-glycol-meg-8rp9uqzx.html</t>
        </is>
      </c>
      <c r="G9" s="55" t="inlineStr">
        <is>
          <t>Price table: MEG USD 700→685 (USD/ton)；MEG RMB 5722→5685 (CNY/ton)；capacity util 63.50%</t>
        </is>
      </c>
    </row>
    <row r="10">
      <c r="A10" s="56" t="inlineStr">
        <is>
          <t>B</t>
        </is>
      </c>
      <c r="B10" s="53" t="inlineStr">
        <is>
          <t>S-ECB-REF</t>
        </is>
      </c>
      <c r="C10" s="9" t="inlineStr">
        <is>
          <t>Frankfurter API（基于 ECB）</t>
        </is>
      </c>
      <c r="D10" s="27" t="inlineStr">
        <is>
          <t>USD/CNY reference rates（European Central Bank reference rates）</t>
        </is>
      </c>
      <c r="E10" s="27" t="inlineStr">
        <is>
          <t>2026-10-19</t>
        </is>
      </c>
      <c r="F10" s="54" t="inlineStr">
        <is>
          <t>https://api.frankfurter.dev/v1/2026-10-01..2026-10-20?base=USD&amp;symbols=CNY</t>
        </is>
      </c>
      <c r="G10" s="55" t="inlineStr">
        <is>
          <t>2026-10-01 6.7045；10-08 6.7023；10-09 6.6921；10-12 6.6928；10-13 6.6938；10-14 6.6927；10-15 6.6910；10-16 6.6862；10-19 6.6807</t>
        </is>
      </c>
    </row>
    <row r="11">
      <c r="A11" s="56" t="inlineStr">
        <is>
          <t>B</t>
        </is>
      </c>
      <c r="B11" s="53" t="inlineStr">
        <is>
          <t>S-GJ-1017</t>
        </is>
      </c>
      <c r="C11" s="9" t="inlineStr">
        <is>
          <t>国金证券</t>
        </is>
      </c>
      <c r="D11" s="27" t="inlineStr">
        <is>
          <t>石油化工行业周报（20261017）</t>
        </is>
      </c>
      <c r="E11" s="27" t="inlineStr">
        <is>
          <t>2026-10-17</t>
        </is>
      </c>
      <c r="F11" s="54" t="inlineStr">
        <is>
          <t>https://pdf.dfcfw.com/pdf/H3_AP202610181830661080_1.pdf</t>
        </is>
      </c>
      <c r="G11" s="55" t="inlineStr">
        <is>
          <t>乙二醇市场价格跌后回弹；行业开工率约 63.16%、乙烯制 62.64%；天津渤化 30 万吨、联泓格润 17 万吨 10-10 停车；美金市场船货资源有限、价格坚挺</t>
        </is>
      </c>
    </row>
    <row r="12">
      <c r="A12" s="56" t="inlineStr">
        <is>
          <t>B</t>
        </is>
      </c>
      <c r="B12" s="53" t="inlineStr">
        <is>
          <t>S-HTFC-JUL</t>
        </is>
      </c>
      <c r="C12" s="9" t="inlineStr">
        <is>
          <t>华泰期货研究院</t>
        </is>
      </c>
      <c r="D12" s="27" t="inlineStr">
        <is>
          <t>乙二醇低库存下还要去库多久（聚酯产业链专题）</t>
        </is>
      </c>
      <c r="E12" s="27" t="inlineStr">
        <is>
          <t>2026-07-30</t>
        </is>
      </c>
      <c r="F12" s="54" t="inlineStr">
        <is>
          <t>https://htfc.com/wz_upload/png_upload/20260803/17857445397862ad7b7.pdf</t>
        </is>
      </c>
      <c r="G12" s="55" t="inlineStr">
        <is>
          <t>2025 年自沙特、科威特、阿曼、伊朗、阿联酋进口占比 66.3%（约 512 万吨），沙特占 55%；霍尔木兹周边 EG 产能占海外 27%；中东负荷降至 20% 以下；延布、拉比格装置在运行</t>
        </is>
      </c>
    </row>
    <row r="13">
      <c r="A13" s="56" t="inlineStr">
        <is>
          <t>B</t>
        </is>
      </c>
      <c r="B13" s="53" t="inlineStr">
        <is>
          <t>S-MY-1009</t>
        </is>
      </c>
      <c r="C13" s="9" t="inlineStr">
        <is>
          <t>隆众资讯（我的钢铁网转载）</t>
        </is>
      </c>
      <c r="D13" s="27" t="inlineStr">
        <is>
          <t>[乙二醇]：亚洲乙二醇市场周度综述（20261005-1009）</t>
        </is>
      </c>
      <c r="E13" s="27" t="inlineStr">
        <is>
          <t>2026-10-12</t>
        </is>
      </c>
      <c r="F13" s="54" t="inlineStr">
        <is>
          <t>https://nenghua.m.mysteel.com/a/26101214/5569B90ECA7A6D66_abc.html</t>
        </is>
      </c>
      <c r="G13" s="55" t="inlineStr">
        <is>
          <t>10月9日中国到岸价MEG为705美元/吨，较10月5日下跌45美元/吨，较10月8日下跌70美元/吨。中国国内评估价环比下跌590元/吨，至5,680元/吨（出厂价）。</t>
        </is>
      </c>
    </row>
    <row r="14">
      <c r="A14" s="56" t="inlineStr">
        <is>
          <t>B</t>
        </is>
      </c>
      <c r="B14" s="53" t="inlineStr">
        <is>
          <t>S-MY-ZJG-1019</t>
        </is>
      </c>
      <c r="C14" s="9" t="inlineStr">
        <is>
          <t>隆众资讯（我的钢铁网转载）</t>
        </is>
      </c>
      <c r="D14" s="27" t="inlineStr">
        <is>
          <t>[乙二醇]：10月19日（14:00）张家港市场乙二醇价格行情</t>
        </is>
      </c>
      <c r="E14" s="27" t="inlineStr">
        <is>
          <t>2026-10-19</t>
        </is>
      </c>
      <c r="F14" s="54" t="inlineStr">
        <is>
          <t>https://nenghua.mysteel.com/a/26101913/162A9873F33DEBAA.html</t>
        </is>
      </c>
      <c r="G14" s="55" t="inlineStr">
        <is>
          <t>午后张家港乙二醇现货下跌，买盘 5394，卖盘 5404，现货基差 11+360 至 11+370；下周买盘 5344、卖盘 5364（元/吨）</t>
        </is>
      </c>
    </row>
    <row r="15">
      <c r="A15" s="56" t="inlineStr">
        <is>
          <t>B</t>
        </is>
      </c>
      <c r="B15" s="53" t="inlineStr">
        <is>
          <t>S-OILCHEM-SERIES</t>
        </is>
      </c>
      <c r="C15" s="9" t="inlineStr">
        <is>
          <t>隆众资讯 · 价格中心</t>
        </is>
      </c>
      <c r="D15" s="27" t="inlineStr">
        <is>
          <t>MEG 全国主流市场均价（7 日/30 日价格数据）</t>
        </is>
      </c>
      <c r="E15" s="27" t="inlineStr">
        <is>
          <t>2026-10-19</t>
        </is>
      </c>
      <c r="F15" s="54" t="inlineStr">
        <is>
          <t>https://www.oilchem.net/seo-468-7.html</t>
        </is>
      </c>
      <c r="G15" s="55" t="inlineStr">
        <is>
          <t>2026-10-19 5735（−130.33，−2.22%）；10-16 5865.33（−33）；10-15 5898.33；10-14 5942.83；10-13 5870.83；10-12 6111.67；10-10 6300.83</t>
        </is>
      </c>
    </row>
    <row r="16">
      <c r="A16" s="56" t="inlineStr">
        <is>
          <t>B</t>
        </is>
      </c>
      <c r="B16" s="53" t="inlineStr">
        <is>
          <t>S-THX-1013</t>
        </is>
      </c>
      <c r="C16" s="9" t="inlineStr">
        <is>
          <t>同花顺 iNews（iFinD 数据）</t>
        </is>
      </c>
      <c r="D16" s="27" t="inlineStr">
        <is>
          <t>【现货】10月13日国际市场乙二醇到岸价汇总</t>
        </is>
      </c>
      <c r="E16" s="27" t="inlineStr">
        <is>
          <t>2026-10-14</t>
        </is>
      </c>
      <c r="F16" s="54" t="inlineStr">
        <is>
          <t>https://news.10jqka.com.cn/20261014/c680673157.shtml</t>
        </is>
      </c>
      <c r="G16" s="55" t="inlineStr">
        <is>
          <t>10月13日：乙二醇 中国 670（−10）；东南亚 800（0）</t>
        </is>
      </c>
    </row>
    <row r="17">
      <c r="A17" s="56" t="inlineStr">
        <is>
          <t>B</t>
        </is>
      </c>
      <c r="B17" s="53" t="inlineStr">
        <is>
          <t>S-THX-1015</t>
        </is>
      </c>
      <c r="C17" s="9" t="inlineStr">
        <is>
          <t>同花顺 iNews（iFinD 数据）</t>
        </is>
      </c>
      <c r="D17" s="27" t="inlineStr">
        <is>
          <t>【现货】10月15日国际市场乙二醇到岸价汇总</t>
        </is>
      </c>
      <c r="E17" s="27" t="inlineStr">
        <is>
          <t>2026-10-16</t>
        </is>
      </c>
      <c r="F17" s="54" t="inlineStr">
        <is>
          <t>https://news.10jqka.com.cn/20261016/c680767331.shtml</t>
        </is>
      </c>
      <c r="G17" s="55" t="inlineStr">
        <is>
          <t>10月15日国际市场乙二醇到岸价：中国 685（−15），东南亚 800（0），单位 美元/吨</t>
        </is>
      </c>
    </row>
    <row r="18">
      <c r="A18" s="56" t="inlineStr">
        <is>
          <t>B</t>
        </is>
      </c>
      <c r="B18" s="53" t="inlineStr">
        <is>
          <t>S-THX-INV</t>
        </is>
      </c>
      <c r="C18" s="9" t="inlineStr">
        <is>
          <t>同花顺 7×24（引隆众资讯）</t>
        </is>
      </c>
      <c r="D18" s="27" t="inlineStr">
        <is>
          <t>华东主港地区MEG库存总量16.3万吨，较上周同期增加4.8万吨</t>
        </is>
      </c>
      <c r="E18" s="27" t="inlineStr">
        <is>
          <t>2026-10-19</t>
        </is>
      </c>
      <c r="F18" s="54" t="inlineStr">
        <is>
          <t>https://goodsfu.10jqka.com.cn/20261019/c680821670.shtml</t>
        </is>
      </c>
      <c r="G18" s="55" t="inlineStr">
        <is>
          <t>截至10月19日华东主港MEG库存16.3万吨，较上一期增加4.8万吨；张家港5万吨、太仓8万吨、江阴及常州2万吨、上海及常熟1.3万吨</t>
        </is>
      </c>
    </row>
    <row r="19">
      <c r="A19" s="57" t="inlineStr">
        <is>
          <t>C</t>
        </is>
      </c>
      <c r="B19" s="53" t="inlineStr">
        <is>
          <t>S-CHEMBLOG-FREIGHT</t>
        </is>
      </c>
      <c r="C19" s="9" t="inlineStr">
        <is>
          <t>Chemicals Blog</t>
        </is>
      </c>
      <c r="D19" s="27" t="inlineStr">
        <is>
          <t>Cape Route Economics: Permanent Shift or Temporary Diversion for Chemical Shipping?</t>
        </is>
      </c>
      <c r="E19" s="27" t="inlineStr">
        <is>
          <t>2026-09-09</t>
        </is>
      </c>
      <c r="F19" s="54" t="inlineStr">
        <is>
          <t>https://chemicalsblog.com/en/blog/cape-route-economics-permanent-shift-or-temporary-diversion-for-chemical-shipping</t>
        </is>
      </c>
      <c r="G19" s="55" t="inlineStr">
        <is>
          <t>The Strait reopened on July 14, 2026. However, Middle East to Europe chemical tanker rates remain stuck at $95 per ton — a 35% premium over the $70 per ton rates seen in January 2026. Cape diversion added 14–21 days and €58,000–€145,000 per voyage.</t>
        </is>
      </c>
    </row>
    <row r="20">
      <c r="A20" s="57" t="inlineStr">
        <is>
          <t>C</t>
        </is>
      </c>
      <c r="B20" s="53" t="inlineStr">
        <is>
          <t>S-MARITIMENEWS-VLCC</t>
        </is>
      </c>
      <c r="C20" s="9" t="inlineStr">
        <is>
          <t>Maritime News（引 Baltic Exchange）</t>
        </is>
      </c>
      <c r="D20" s="27" t="inlineStr">
        <is>
          <t>Tanker Rates Ease After Record Highs</t>
        </is>
      </c>
      <c r="E20" s="27" t="inlineStr">
        <is>
          <t>2026-10-18</t>
        </is>
      </c>
      <c r="F20" s="54" t="inlineStr">
        <is>
          <t>https://maritimenews.com/tanker/tanker-rates-ease-middle-east-disruptions</t>
        </is>
      </c>
      <c r="G20" s="55" t="inlineStr">
        <is>
          <t>Gulf of Oman to China VLCC rates fell to about Worldscale 776 from 841 the previous week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46" customWidth="1" min="4" max="4"/>
    <col width="18" customWidth="1" min="5" max="5"/>
    <col width="10" customWidth="1" min="6" max="6"/>
  </cols>
  <sheetData>
    <row r="1">
      <c r="A1" s="1" t="inlineStr">
        <is>
          <t>⑧ 数据缺口登记（缺什么 / 影响什么 / 怎么补）</t>
        </is>
      </c>
    </row>
    <row r="3">
      <c r="A3" s="7" t="inlineStr">
        <is>
          <t>优先级</t>
        </is>
      </c>
      <c r="B3" s="7" t="inlineStr">
        <is>
          <t>缺口项</t>
        </is>
      </c>
      <c r="C3" s="7" t="inlineStr">
        <is>
          <t>对结论的影响</t>
        </is>
      </c>
      <c r="D3" s="7" t="inlineStr">
        <is>
          <t>补数方法</t>
        </is>
      </c>
      <c r="E3" s="7" t="inlineStr">
        <is>
          <t>影响模块</t>
        </is>
      </c>
      <c r="F3" s="7" t="inlineStr">
        <is>
          <t>状态</t>
        </is>
      </c>
    </row>
    <row r="4">
      <c r="A4" s="58" t="inlineStr">
        <is>
          <t>高</t>
        </is>
      </c>
      <c r="B4" s="26" t="inlineStr">
        <is>
          <t>中东→华东化学品船 / 散装液货船实盘运费（美元/吨）</t>
        </is>
      </c>
      <c r="C4" s="27" t="inlineStr">
        <is>
          <t>CFR 与 CIF 口径的进口成本中，运费是最大的单一费用项（典型 40–90 美元/吨，约合 270–600 元/吨）。缺它，任何「FOB 报价「都无法折算到岸。</t>
        </is>
      </c>
      <c r="D4" s="59" t="inlineStr">
        <is>
          <t>向 2–3 家货代/船东询同航线 5,000–10,000 吨批次的实盘报价，记录询价日、航线、船型、批量和附加费。</t>
        </is>
      </c>
      <c r="E4" s="27" t="inlineStr">
        <is>
          <t>完全折算、FOB 报价</t>
        </is>
      </c>
      <c r="F4" s="60" t="inlineStr">
        <is>
          <t>待补</t>
        </is>
      </c>
    </row>
    <row r="5">
      <c r="A5" s="58" t="inlineStr">
        <is>
          <t>高</t>
        </is>
      </c>
      <c r="B5" s="26" t="inlineStr">
        <is>
          <t>乙二醇（29053100）2026 年最惠国关税税率权威原值与适用税号</t>
        </is>
      </c>
      <c r="C5" s="27" t="inlineStr">
        <is>
          <t>关税在 5.0% 与 5.5% 两种口径下，1,000 元量级的价差会移动约 30–40 元/吨；若可享协定税率，影响更大。</t>
        </is>
      </c>
      <c r="D5" s="59" t="inlineStr">
        <is>
          <t>以报关行/海关税则查询平台按「报关日税则、实际税号、原产地「确认；如可享中国—沙特等协定税率，补充原产地证书要求。</t>
        </is>
      </c>
      <c r="E5" s="27" t="inlineStr">
        <is>
          <t>关税、含税净成本</t>
        </is>
      </c>
      <c r="F5" s="60" t="inlineStr">
        <is>
          <t>待补</t>
        </is>
      </c>
    </row>
    <row r="6">
      <c r="A6" s="58" t="inlineStr">
        <is>
          <t>高</t>
        </is>
      </c>
      <c r="B6" s="26" t="inlineStr">
        <is>
          <t>国内现货「张家港罐区自提「的当期日价格序列（非全国均价）</t>
        </is>
      </c>
      <c r="C6" s="27" t="inlineStr">
        <is>
          <t>现用隆众「全国主流市场均价「作比较基准，与华东张家港实际成交存在 100–200 元/吨的口径差。</t>
        </is>
      </c>
      <c r="D6" s="59" t="inlineStr">
        <is>
          <t>接入隆众/卓创「华东张家港「单点价格序列，或直接取企业实际采购成交价（含票、含税）。</t>
        </is>
      </c>
      <c r="E6" s="27" t="inlineStr">
        <is>
          <t>国内现价、价差</t>
        </is>
      </c>
      <c r="F6" s="60" t="inlineStr">
        <is>
          <t>待补</t>
        </is>
      </c>
    </row>
    <row r="7">
      <c r="A7" s="61" t="inlineStr">
        <is>
          <t>中</t>
        </is>
      </c>
      <c r="B7" s="26" t="inlineStr">
        <is>
          <t>2026-10-17 以来（含 10-20 当日）的 CFR 中国美元价与张家港成交价</t>
        </is>
      </c>
      <c r="C7" s="27" t="inlineStr">
        <is>
          <t>基准日只能退到 10-16；若近期价格快速变化，当前窗口判断可能偏离。</t>
        </is>
      </c>
      <c r="D7" s="59" t="inlineStr">
        <is>
          <t>使用资讯平台会员账号获取日更正文，或将本报告基准日滚动手工更新。</t>
        </is>
      </c>
      <c r="E7" s="27" t="inlineStr">
        <is>
          <t>当前窗口</t>
        </is>
      </c>
      <c r="F7" s="60" t="inlineStr">
        <is>
          <t>待补</t>
        </is>
      </c>
    </row>
    <row r="8">
      <c r="A8" s="61" t="inlineStr">
        <is>
          <t>中</t>
        </is>
      </c>
      <c r="B8" s="26" t="inlineStr">
        <is>
          <t>1 年窗口的同口径连续历史序列（海外 CFR 日/周、国内华东现货日、当日汇率、当期关税与运价）</t>
        </is>
      </c>
      <c r="C8" s="27" t="inlineStr">
        <is>
          <t>当前只有 5 个海外价锚点、7 个国内价锚点，能配对的仅 4 个交易日；无法画出 30 天以上、更无法画 1 年价差曲线。</t>
        </is>
      </c>
      <c r="D8" s="59" t="inlineStr">
        <is>
          <t>导出资讯商历史数据（隆众/CCF/ICIS 或 iFinD 终端）+ CFETS 历史中间价 + 税率版本表；按 schema 的 fx / quotes_hist / domestic_hist 三条序列灌入即可自动出曲线。</t>
        </is>
      </c>
      <c r="E8" s="27" t="inlineStr">
        <is>
          <t>历史价差、趋势分析</t>
        </is>
      </c>
      <c r="F8" s="60" t="inlineStr">
        <is>
          <t>待补</t>
        </is>
      </c>
    </row>
    <row r="9">
      <c r="A9" s="61" t="inlineStr">
        <is>
          <t>中</t>
        </is>
      </c>
      <c r="B9" s="26" t="inlineStr">
        <is>
          <t>港杂费、报关代理、仓储、短驳等境内费用实票</t>
        </is>
      </c>
      <c r="C9" s="27" t="inlineStr">
        <is>
          <t>境内费用通常 50–120 元/吨，直接等额削减理论价差。</t>
        </is>
      </c>
      <c r="D9" s="59" t="inlineStr">
        <is>
          <t>取上一票进口的港杂/报关/仓储实付凭证，按吨折。</t>
        </is>
      </c>
      <c r="E9" s="27" t="inlineStr">
        <is>
          <t>境内费用、价差</t>
        </is>
      </c>
      <c r="F9" s="60" t="inlineStr">
        <is>
          <t>待补</t>
        </is>
      </c>
    </row>
    <row r="10">
      <c r="A10" s="61" t="inlineStr">
        <is>
          <t>中</t>
        </is>
      </c>
      <c r="B10" s="26" t="inlineStr">
        <is>
          <t>保险费率与投保方式</t>
        </is>
      </c>
      <c r="C10" s="27" t="inlineStr">
        <is>
          <t>CIF×110% 投保、费率 0.1%–0.3%，折合 5–15 元/吨。</t>
        </is>
      </c>
      <c r="D10" s="59" t="inlineStr">
        <is>
          <t>取现有保单费率；若走供应商 CIF 免自投，则无需此项。</t>
        </is>
      </c>
      <c r="E10" s="27" t="inlineStr">
        <is>
          <t>到岸价</t>
        </is>
      </c>
      <c r="F10" s="60" t="inlineStr">
        <is>
          <t>待补</t>
        </is>
      </c>
    </row>
    <row r="11">
      <c r="A11" s="62" t="inlineStr">
        <is>
          <t>低</t>
        </is>
      </c>
      <c r="B11" s="26" t="inlineStr">
        <is>
          <t>开证保证金、授信占用、外汇锁汇成本</t>
        </is>
      </c>
      <c r="C11" s="27" t="inlineStr">
        <is>
          <t>6,000 元/吨货值、90 天账期的资金成本约 30–60 元/吨，属「理论价差「与「真实利润「之间的主要差距之一。</t>
        </is>
      </c>
      <c r="D11" s="59" t="inlineStr">
        <is>
          <t>取财务授信成本率与付款条件（T/T 预付比例、L/C 期限）。</t>
        </is>
      </c>
      <c r="E11" s="27" t="inlineStr">
        <is>
          <t>真实利润</t>
        </is>
      </c>
      <c r="F11" s="60" t="inlineStr">
        <is>
          <t>待补</t>
        </is>
      </c>
    </row>
    <row r="12">
      <c r="A12" s="62" t="inlineStr">
        <is>
          <t>低</t>
        </is>
      </c>
      <c r="B12" s="26" t="inlineStr">
        <is>
          <t>中国—沙特等自贸协定项下乙二醇的协定税率适用性</t>
        </is>
      </c>
      <c r="C12" s="27" t="inlineStr">
        <is>
          <t>如可享零/低关税，进口成本整体下移 5% 完税价。</t>
        </is>
      </c>
      <c r="D12" s="59" t="inlineStr">
        <is>
          <t>查询自贸协定税率表 + 向供应商确认能否出具原产地证书。</t>
        </is>
      </c>
      <c r="E12" s="27" t="inlineStr">
        <is>
          <t>关税</t>
        </is>
      </c>
      <c r="F12" s="60" t="inlineStr">
        <is>
          <t>待补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⑨ 独立引擎校验：Excel 公式 vs 计算引擎（两者不一致即为计算错误）</t>
        </is>
      </c>
    </row>
    <row r="3">
      <c r="A3" s="7" t="inlineStr">
        <is>
          <t>项目</t>
        </is>
      </c>
      <c r="B3" s="7" t="inlineStr">
        <is>
          <t>Excel 公式值</t>
        </is>
      </c>
      <c r="C3" s="7" t="inlineStr">
        <is>
          <t>引擎计算值</t>
        </is>
      </c>
      <c r="D3" s="7" t="inlineStr">
        <is>
          <t>差值</t>
        </is>
      </c>
      <c r="E3" s="7" t="inlineStr">
        <is>
          <t>判定</t>
        </is>
      </c>
    </row>
    <row r="4">
      <c r="A4" s="9" t="inlineStr">
        <is>
          <t>关税完税价格</t>
        </is>
      </c>
      <c r="B4" s="38">
        <f>'2-进口成本折算'!D9</f>
        <v/>
      </c>
      <c r="C4" s="63" t="n">
        <v>4580.047</v>
      </c>
      <c r="D4" s="64">
        <f>IF(AND(ISNUMBER(B4),ISNUMBER(C4)),B4-C4,"缺")</f>
        <v/>
      </c>
      <c r="E4" s="35">
        <f>IF(NOT(AND(ISNUMBER(B4),ISNUMBER(C4))),IF(AND(ISERR(B4),C4=""),"无须计算",IF(AND(NOT(ISNUMBER(B4)),NOT(ISNUMBER(C4))),"两侧均无值","待核对")),IF(ABS(D4)&lt;0.02,"一致","复核"))</f>
        <v/>
      </c>
    </row>
    <row r="5">
      <c r="A5" s="9" t="inlineStr">
        <is>
          <t>关税</t>
        </is>
      </c>
      <c r="B5" s="38">
        <f>'2-进口成本折算'!D10</f>
        <v/>
      </c>
      <c r="C5" s="63" t="n">
        <v>251.9026</v>
      </c>
      <c r="D5" s="64">
        <f>IF(AND(ISNUMBER(B5),ISNUMBER(C5)),B5-C5,"缺")</f>
        <v/>
      </c>
      <c r="E5" s="35">
        <f>IF(NOT(AND(ISNUMBER(B5),ISNUMBER(C5))),IF(AND(ISERR(B5),C5=""),"无须计算",IF(AND(NOT(ISNUMBER(B5)),NOT(ISNUMBER(C5))),"两侧均无值","待核对")),IF(ABS(D5)&lt;0.02,"一致","复核"))</f>
        <v/>
      </c>
    </row>
    <row r="6">
      <c r="A6" s="9" t="inlineStr">
        <is>
          <t>进口增值税</t>
        </is>
      </c>
      <c r="B6" s="38">
        <f>'2-进口成本折算'!D11</f>
        <v/>
      </c>
      <c r="C6" s="63" t="n">
        <v>628.1534</v>
      </c>
      <c r="D6" s="64">
        <f>IF(AND(ISNUMBER(B6),ISNUMBER(C6)),B6-C6,"缺")</f>
        <v/>
      </c>
      <c r="E6" s="35">
        <f>IF(NOT(AND(ISNUMBER(B6),ISNUMBER(C6))),IF(AND(ISERR(B6),C6=""),"无须计算",IF(AND(NOT(ISNUMBER(B6)),NOT(ISNUMBER(C6))),"两侧均无值","待核对")),IF(ABS(D6)&lt;0.02,"一致","复核"))</f>
        <v/>
      </c>
    </row>
    <row r="7">
      <c r="A7" s="9" t="inlineStr">
        <is>
          <t>进口含税净成本</t>
        </is>
      </c>
      <c r="B7" s="38">
        <f>'2-进口成本折算'!D13</f>
        <v/>
      </c>
      <c r="C7" s="63" t="n">
        <v>4831.9496</v>
      </c>
      <c r="D7" s="64">
        <f>IF(AND(ISNUMBER(B7),ISNUMBER(C7)),B7-C7,"缺")</f>
        <v/>
      </c>
      <c r="E7" s="35">
        <f>IF(NOT(AND(ISNUMBER(B7),ISNUMBER(C7))),IF(AND(ISERR(B7),C7=""),"无须计算",IF(AND(NOT(ISNUMBER(B7)),NOT(ISNUMBER(C7))),"两侧均无值","待核对")),IF(ABS(D7)&lt;0.02,"一致","复核"))</f>
        <v/>
      </c>
    </row>
    <row r="8">
      <c r="A8" s="9" t="inlineStr">
        <is>
          <t>理论价差</t>
        </is>
      </c>
      <c r="B8" s="38">
        <f>'2-进口成本折算'!D16</f>
        <v/>
      </c>
      <c r="C8" s="63" t="n">
        <v>1033.3804</v>
      </c>
      <c r="D8" s="64">
        <f>IF(AND(ISNUMBER(B8),ISNUMBER(C8)),B8-C8,"缺")</f>
        <v/>
      </c>
      <c r="E8" s="35">
        <f>IF(NOT(AND(ISNUMBER(B8),ISNUMBER(C8))),IF(AND(ISERR(B8),C8=""),"无须计算",IF(AND(NOT(ISNUMBER(B8)),NOT(ISNUMBER(C8))),"两侧均无值","待核对")),IF(ABS(D8)&lt;0.02,"一致","复核"))</f>
        <v/>
      </c>
    </row>
    <row r="10">
      <c r="A10" s="5" t="inlineStr">
        <is>
          <t>说明</t>
        </is>
      </c>
      <c r="B10" s="49" t="inlineStr">
        <is>
          <t>引擎值为外部程序（Node/Python 同一算法）独立算得的结果。若"判定"出现"复核"，说明 Excel 公式口径与引擎不一致，请检查 2-进口成本折算 的公式引用。</t>
        </is>
      </c>
    </row>
  </sheetData>
  <mergeCells count="1"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2026-10-20T04:56:48Z</dcterms:created>
  <dcterms:modified xmlns:dcterms="http://purl.org/dc/terms/" xmlns:xsi="http://www.w3.org/2001/XMLSchema-instance" xsi:type="dcterms:W3CDTF">2026-10-20T04:56:48Z</dcterms:modified>
</cp:coreProperties>
</file>
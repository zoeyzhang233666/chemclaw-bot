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口径" sheetId="1" state="visible" r:id="rId1"/>
    <sheet xmlns:r="http://schemas.openxmlformats.org/officeDocument/2006/relationships" name="01_企业与生产主体" sheetId="2" state="visible" r:id="rId2"/>
    <sheet xmlns:r="http://schemas.openxmlformats.org/officeDocument/2006/relationships" name="02_装置与产能" sheetId="3" state="visible" r:id="rId3"/>
    <sheet xmlns:r="http://schemas.openxmlformats.org/officeDocument/2006/relationships" name="03_产能分层与口径" sheetId="4" state="visible" r:id="rId4"/>
    <sheet xmlns:r="http://schemas.openxmlformats.org/officeDocument/2006/relationships" name="04_企业集中度" sheetId="5" state="visible" r:id="rId5"/>
    <sheet xmlns:r="http://schemas.openxmlformats.org/officeDocument/2006/relationships" name="05_原料与产业基础" sheetId="6" state="visible" r:id="rId6"/>
    <sheet xmlns:r="http://schemas.openxmlformats.org/officeDocument/2006/relationships" name="06_出口年度" sheetId="7" state="visible" r:id="rId7"/>
    <sheet xmlns:r="http://schemas.openxmlformats.org/officeDocument/2006/relationships" name="07_出口目的地" sheetId="8" state="visible" r:id="rId8"/>
    <sheet xmlns:r="http://schemas.openxmlformats.org/officeDocument/2006/relationships" name="08_物流港口" sheetId="9" state="visible" r:id="rId9"/>
    <sheet xmlns:r="http://schemas.openxmlformats.org/officeDocument/2006/relationships" name="09_政策监管" sheetId="10" state="visible" r:id="rId10"/>
    <sheet xmlns:r="http://schemas.openxmlformats.org/officeDocument/2006/relationships" name="10_供应事件" sheetId="11" state="visible" r:id="rId11"/>
    <sheet xmlns:r="http://schemas.openxmlformats.org/officeDocument/2006/relationships" name="11_数据缺口" sheetId="12" state="visible" r:id="rId12"/>
    <sheet xmlns:r="http://schemas.openxmlformats.org/officeDocument/2006/relationships" name="12_来源记录" sheetId="13" state="visible" r:id="rId13"/>
  </sheets>
  <definedNames>
    <definedName name="_xlnm._FilterDatabase" localSheetId="1" hidden="1">'01_企业与生产主体'!$A$3:$L$12</definedName>
    <definedName name="_xlnm._FilterDatabase" localSheetId="2" hidden="1">'02_装置与产能'!$A$3:$Q$15</definedName>
    <definedName name="_xlnm._FilterDatabase" localSheetId="4" hidden="1">'04_企业集中度'!$A$3:$G$9</definedName>
    <definedName name="_xlnm._FilterDatabase" localSheetId="5" hidden="1">'05_原料与产业基础'!$A$3:$E$9</definedName>
    <definedName name="_xlnm._FilterDatabase" localSheetId="6" hidden="1">'06_出口年度'!$A$3:$L$8</definedName>
    <definedName name="_xlnm._FilterDatabase" localSheetId="7" hidden="1">'07_出口目的地'!$A$3:$H$46</definedName>
    <definedName name="_xlnm._FilterDatabase" localSheetId="8" hidden="1">'08_物流港口'!$A$3:$H$7</definedName>
    <definedName name="_xlnm._FilterDatabase" localSheetId="9" hidden="1">'09_政策监管'!$A$3:$F$10</definedName>
    <definedName name="_xlnm._FilterDatabase" localSheetId="10" hidden="1">'10_供应事件'!$A$3:$G$19</definedName>
    <definedName name="_xlnm._FilterDatabase" localSheetId="11" hidden="1">'11_数据缺口'!$A$3:$E$10</definedName>
    <definedName name="_xlnm._FilterDatabase" localSheetId="12" hidden="1">'12_来源记录'!$A$3:$H$50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.5"/>
    </font>
    <font>
      <b val="1"/>
      <color rgb="001F3864"/>
      <sz val="10"/>
    </font>
    <font>
      <sz val="10"/>
    </font>
    <font>
      <b val="1"/>
      <color rgb="001F3864"/>
      <sz val="11"/>
    </font>
    <font>
      <b val="1"/>
      <color rgb="00000000"/>
      <sz val="10"/>
    </font>
    <font>
      <b val="1"/>
      <color rgb="00FFFFFF"/>
      <sz val="10.5"/>
    </font>
    <font>
      <b val="1"/>
    </font>
    <font>
      <b val="1"/>
      <sz val="10"/>
    </font>
    <font>
      <color rgb="000563C1"/>
      <sz val="9.5"/>
      <u val="single"/>
    </font>
  </fonts>
  <fills count="10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</border>
    <border>
      <left/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2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4" pivotButton="0" quotePrefix="0" xfId="0"/>
    <xf numFmtId="0" fontId="2" fillId="0" borderId="2" applyAlignment="1" pivotButton="0" quotePrefix="0" xfId="0">
      <alignment horizontal="left" vertical="center" indent="1"/>
    </xf>
    <xf numFmtId="0" fontId="5" fillId="3" borderId="0" pivotButton="0" quotePrefix="0" xfId="0"/>
    <xf numFmtId="0" fontId="4" fillId="3" borderId="2" applyAlignment="1" pivotButton="0" quotePrefix="0" xfId="0">
      <alignment vertical="top" wrapText="1"/>
    </xf>
    <xf numFmtId="0" fontId="0" fillId="3" borderId="3" pivotButton="0" quotePrefix="0" xfId="0"/>
    <xf numFmtId="0" fontId="0" fillId="3" borderId="4" pivotButton="0" quotePrefix="0" xfId="0"/>
    <xf numFmtId="0" fontId="3" fillId="0" borderId="0" pivotButton="0" quotePrefix="0" xfId="0"/>
    <xf numFmtId="0" fontId="4" fillId="0" borderId="2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right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right"/>
    </xf>
    <xf numFmtId="0" fontId="0" fillId="3" borderId="1" pivotButton="0" quotePrefix="0" xfId="0"/>
    <xf numFmtId="0" fontId="8" fillId="3" borderId="1" pivotButton="0" quotePrefix="0" xfId="0"/>
    <xf numFmtId="3" fontId="8" fillId="3" borderId="1" pivotButton="0" quotePrefix="0" xfId="0"/>
    <xf numFmtId="164" fontId="4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5" fillId="0" borderId="0" pivotButton="0" quotePrefix="0" xfId="0"/>
    <xf numFmtId="0" fontId="4" fillId="0" borderId="1" applyAlignment="1" pivotButton="0" quotePrefix="0" xfId="0">
      <alignment horizontal="left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164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9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right"/>
    </xf>
    <xf numFmtId="3" fontId="4" fillId="0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3" fontId="4" fillId="9" borderId="1" applyAlignment="1" pivotButton="0" quotePrefix="0" xfId="0">
      <alignment vertical="top" wrapText="1"/>
    </xf>
    <xf numFmtId="164" fontId="4" fillId="9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企业 MEG 名义产能（kt/a）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'04_企业集中度'!D3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'04_企业集中度'!$B$4:$B$9</f>
            </numRef>
          </cat>
          <val>
            <numRef>
              <f>'04_企业集中度'!$D$4:$D$9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出口量与对华出口量（kt）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'06_出口年度'!B3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'06_出口年度'!$A$4:$A$8</f>
            </numRef>
          </cat>
          <val>
            <numRef>
              <f>'06_出口年度'!$B$4:$B$8</f>
            </numRef>
          </val>
        </ser>
        <ser>
          <idx val="1"/>
          <order val="1"/>
          <tx>
            <strRef>
              <f>'06_出口年度'!F3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'06_出口年度'!$A$4:$A$8</f>
            </numRef>
          </cat>
          <val>
            <numRef>
              <f>'06_出口年度'!$F$4:$F$8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its.worldbank.org/trade/comtrade/en/country/SAU/year/2024/tradeflow/Exports/partner/ALL/product/290531" TargetMode="External" Id="rId1"/><Relationship Type="http://schemas.openxmlformats.org/officeDocument/2006/relationships/hyperlink" Target="https://www.saudikayan.com/en/Images/Annual%20Report%202022%20En_tcm1043-42458.pdf" TargetMode="External" Id="rId2"/><Relationship Type="http://schemas.openxmlformats.org/officeDocument/2006/relationships/hyperlink" Target="https://www.sabic.com/en/reports/annual-2022/our-businesses/petrochemicals" TargetMode="External" Id="rId3"/><Relationship Type="http://schemas.openxmlformats.org/officeDocument/2006/relationships/hyperlink" Target="https://www.sabic.com/en/news/31184-sabic-affiliate-united-begins-startup-activities-at-its-new-ethylene-glycol-plant" TargetMode="External" Id="rId4"/><Relationship Type="http://schemas.openxmlformats.org/officeDocument/2006/relationships/hyperlink" Target="https://www.mees.com/2022/10/21/refining-petrochemicals/sabic-jubail-meg-start-up/9026f600-5130-11ed-9c64-736c27d572dc" TargetMode="External" Id="rId5"/><Relationship Type="http://schemas.openxmlformats.org/officeDocument/2006/relationships/hyperlink" Target="https://www.chemanalyst.com/NewsAndDeals/NewsDetails/sharq-announces-intent-to-restart-meg-line-4-production-in-jubail-24497" TargetMode="External" Id="rId6"/><Relationship Type="http://schemas.openxmlformats.org/officeDocument/2006/relationships/hyperlink" Target="https://www.vinachem.com.vn/articles/news-vnc/saudi_arabias_sabic_plans_heavy_meg_shutdown_in_2011.html" TargetMode="External" Id="rId7"/><Relationship Type="http://schemas.openxmlformats.org/officeDocument/2006/relationships/hyperlink" Target="https://www.icis.com/explore/resources/news/2011/05/04/9456607/saudi-s-yanpet-to-shut-520-000-tonne-year-meg-unit-in-mid-may/" TargetMode="External" Id="rId8"/><Relationship Type="http://schemas.openxmlformats.org/officeDocument/2006/relationships/hyperlink" Target="https://www.argaam.com/en/article/articledetail/id/372959" TargetMode="External" Id="rId9"/><Relationship Type="http://schemas.openxmlformats.org/officeDocument/2006/relationships/hyperlink" Target="https://www.plastemart.com/news-plastics-information/saudi-kayan-starts-537-000-tpa-ethylene-glycol-line-at-jubail-industrial-city-complex/18256" TargetMode="External" Id="rId10"/><Relationship Type="http://schemas.openxmlformats.org/officeDocument/2006/relationships/hyperlink" Target="https://www.toyo-eng.com/jp/en/company/news/?n=1397" TargetMode="External" Id="rId11"/><Relationship Type="http://schemas.openxmlformats.org/officeDocument/2006/relationships/hyperlink" Target="https://www.ogj.com/home/article/17221497/looming-mideast-olefin-production-mayor-may-notspell-oversupply" TargetMode="External" Id="rId12"/><Relationship Type="http://schemas.openxmlformats.org/officeDocument/2006/relationships/hyperlink" Target="https://www.hydrocarbonengineering.com/petrochemicals/17022021/high-catalyst-selectivity-prompts-cycle-length-extension-at-petro-rabigh-monoethylene-glycol-plant/" TargetMode="External" Id="rId13"/><Relationship Type="http://schemas.openxmlformats.org/officeDocument/2006/relationships/hyperlink" Target="https://www.mees.com/2026/7/17/refining-petrochemicals/saudi-petchems-firm-hit-by-propane-shortfall/cccd19d0-81eb-11f1-b733-e97c1c399b47" TargetMode="External" Id="rId14"/><Relationship Type="http://schemas.openxmlformats.org/officeDocument/2006/relationships/hyperlink" Target="https://www.mees.com/2026/8/21/refining-petrochemicals/saudi-oil-sector-recovering-from-conflict-outages/6715fbf0-9d7c-11f1-928b-0d544f0ff1e0" TargetMode="External" Id="rId15"/><Relationship Type="http://schemas.openxmlformats.org/officeDocument/2006/relationships/hyperlink" Target="https://cnc.ccfgroup.com/newscenter/newsview.php?Class_ID=D00000&amp;Info_ID=2026041630125" TargetMode="External" Id="rId16"/><Relationship Type="http://schemas.openxmlformats.org/officeDocument/2006/relationships/hyperlink" Target="https://cnc.ccfgroup.com/newscenter/newsview.php?Class_ID=D00000&amp;Info_ID=2026062430087" TargetMode="External" Id="rId17"/><Relationship Type="http://schemas.openxmlformats.org/officeDocument/2006/relationships/hyperlink" Target="https://cnc.ccfgroup.com/newscenter/newsview.php?Class_ID=D00000&amp;Info_ID=2026081330067" TargetMode="External" Id="rId18"/><Relationship Type="http://schemas.openxmlformats.org/officeDocument/2006/relationships/hyperlink" Target="https://www.sunsirs.com/commodity-news/petail-35975.html" TargetMode="External" Id="rId19"/><Relationship Type="http://schemas.openxmlformats.org/officeDocument/2006/relationships/hyperlink" Target="https://www.argaam.com/en/article/articledetail/id/1874631" TargetMode="External" Id="rId20"/><Relationship Type="http://schemas.openxmlformats.org/officeDocument/2006/relationships/hyperlink" Target="https://www.argaam.com/en/article/articledetail/id/1490717" TargetMode="External" Id="rId21"/><Relationship Type="http://schemas.openxmlformats.org/officeDocument/2006/relationships/hyperlink" Target="https://www.bloomberg.com/news/articles/2026-03-31/saudi-chemical-plant-shuts-down-as-war-disrupts-supply-chains" TargetMode="External" Id="rId22"/><Relationship Type="http://schemas.openxmlformats.org/officeDocument/2006/relationships/hyperlink" Target="https://www.argusmedia.com/en/news-and-insights/latest-market-news/2808400-saudi-sadara-petchem-site-shuts-down-on-us-iran-war" TargetMode="External" Id="rId23"/><Relationship Type="http://schemas.openxmlformats.org/officeDocument/2006/relationships/hyperlink" Target="https://www.reuters.com/world/middle-east/iran-has-attacked-saudi-petrochemical-complex-jubail-fars-news-agency-says-2026-04-07/" TargetMode="External" Id="rId24"/><Relationship Type="http://schemas.openxmlformats.org/officeDocument/2006/relationships/hyperlink" Target="https://www.opis.com/resources/energy-market-news-from-opis/sabic-petchem-complex-hit-as-gulf-strikes-escalate-adding-to-supply-side-risks/" TargetMode="External" Id="rId25"/><Relationship Type="http://schemas.openxmlformats.org/officeDocument/2006/relationships/hyperlink" Target="https://www.mysteel.net/news/5118932-blast-in-jubail-industrial-city-pushes-up-meg-prices-to-five-year-high" TargetMode="External" Id="rId26"/><Relationship Type="http://schemas.openxmlformats.org/officeDocument/2006/relationships/hyperlink" Target="https://www.icis.com/explore/resources/news/2026/03/30/11193220/insight-saudi-sabic-force-majeure-aggravates-global-chemicals-shortage/" TargetMode="External" Id="rId27"/><Relationship Type="http://schemas.openxmlformats.org/officeDocument/2006/relationships/hyperlink" Target="http://www.eog-asia.com/sabic-starts-up-operations-at-jubail-meg-plant/" TargetMode="External" Id="rId28"/><Relationship Type="http://schemas.openxmlformats.org/officeDocument/2006/relationships/hyperlink" Target="https://www.stats.gov.sa/documents/20117/2435281/Maritime+Transport+Statistics+Publication+2024+-+EN.pdf/3ff86956-7844-2137-44ad-32338b01c4fe?t=1758090474814" TargetMode="External" Id="rId29"/><Relationship Type="http://schemas.openxmlformats.org/officeDocument/2006/relationships/hyperlink" Target="https://www.zawya.com/en/business/transport-and-logistics/saudi-ports-handle-over-331mln-tons-of-cargo-in-2024-gastat-qg3h4lh4" TargetMode="External" Id="rId30"/><Relationship Type="http://schemas.openxmlformats.org/officeDocument/2006/relationships/hyperlink" Target="https://www.vopak.com/newsroom/news/vopak-and-sabic-invest-new-storage-terminal-jubail-saudi-arabia" TargetMode="External" Id="rId31"/><Relationship Type="http://schemas.openxmlformats.org/officeDocument/2006/relationships/hyperlink" Target="https://www.tradearabia.com/News/331866/Mawani-Arabian-Chemical-Terminals-in-deal-to-set-up-storage-tanks-at-Jubail-port" TargetMode="External" Id="rId32"/><Relationship Type="http://schemas.openxmlformats.org/officeDocument/2006/relationships/hyperlink" Target="https://act-ksa.com/ongoing-development-of-acts-facilities/" TargetMode="External" Id="rId33"/><Relationship Type="http://schemas.openxmlformats.org/officeDocument/2006/relationships/hyperlink" Target="https://www.spglobal.com/energy/en/news-research/latest-news/crude-oil/012825-saudi-feedstock-hikes-seen-as-a-bet-on-us-lng-exports-surge" TargetMode="External" Id="rId34"/><Relationship Type="http://schemas.openxmlformats.org/officeDocument/2006/relationships/hyperlink" Target="https://www.zawya.com/en/projects/industry/saudi-arabia-allocates-feedstock-for-new-petchem-complexes-in-jubail-y8nt9zf3" TargetMode="External" Id="rId35"/><Relationship Type="http://schemas.openxmlformats.org/officeDocument/2006/relationships/hyperlink" Target="https://www.yansab.com.sa/en/Images/Yansab%20Annual%20Report%202024%20-EN_tcm1047-46828.pdf" TargetMode="External" Id="rId36"/><Relationship Type="http://schemas.openxmlformats.org/officeDocument/2006/relationships/hyperlink" Target="https://www.sabic.com/en/Images/SABIC-Integrated-Annual-Report-2025-EN_tcm1010-49452.pdf" TargetMode="External" Id="rId37"/><Relationship Type="http://schemas.openxmlformats.org/officeDocument/2006/relationships/hyperlink" Target="https://www.spglobal.com/energy/en/news-research/latest-news/chemicals/031025-middle-east-powers-ahead-with-new-petrochemicals-investments-as-europe-consolidates" TargetMode="External" Id="rId38"/><Relationship Type="http://schemas.openxmlformats.org/officeDocument/2006/relationships/hyperlink" Target="https://www.sunsirs.com/commodity-news/petail-36772.html" TargetMode="External" Id="rId39"/><Relationship Type="http://schemas.openxmlformats.org/officeDocument/2006/relationships/hyperlink" Target="https://u-capital.net/research-report/u-capital-yanbu-national-petrochemical-company-yansab-ab-1q26-result-review/" TargetMode="External" Id="rId40"/><Relationship Type="http://schemas.openxmlformats.org/officeDocument/2006/relationships/hyperlink" Target="https://www.saudiexchange.sa/wps/portal/saudiexchange/newsandreports/issuer-news/issuer-announcements/issuer-announcements-details/?anCat=1&amp;anId=85467&amp;cs=2310&amp;locale=en" TargetMode="External" Id="rId41"/><Relationship Type="http://schemas.openxmlformats.org/officeDocument/2006/relationships/hyperlink" Target="https://wits.worldbank.org/trade/comtrade/en/country/All/year/2024/tradeflow/Exports/partner/CHN/product/290531" TargetMode="External" Id="rId42"/><Relationship Type="http://schemas.openxmlformats.org/officeDocument/2006/relationships/hyperlink" Target="https://www.sabic.com/en/Images/SABIC-Earnings-Transcript-Q1-2026_tcm1010-51326.pdf" TargetMode="External" Id="rId43"/><Relationship Type="http://schemas.openxmlformats.org/officeDocument/2006/relationships/hyperlink" Target="https://www.mees.com/2026/8/14/oil-gas/crude-exports-from-saudi-arabias-yanbu-go-dark/e7221380-97dc-11f1-9d82-add89800e9b0" TargetMode="External" Id="rId44"/><Relationship Type="http://schemas.openxmlformats.org/officeDocument/2006/relationships/hyperlink" Target="https://www.industrialinfo.com/news/article/saudi-kayan-moves-forward-with-construction-of-ethylene-glycol-plant-at-jubail-industrial-city--140258" TargetMode="External" Id="rId45"/><Relationship Type="http://schemas.openxmlformats.org/officeDocument/2006/relationships/hyperlink" Target="https://gulfindustryonline.com/news/1046_Yanbu-expansion-comes-on-stream.html" TargetMode="External" Id="rId46"/><Relationship Type="http://schemas.openxmlformats.org/officeDocument/2006/relationships/hyperlink" Target="https://www.intellinews.com/saudi-sadara-petrochemical-giant-closed-down-creating-a-new-plastics-chokepoint-435543/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" t="inlineStr">
        <is>
          <t>沙特阿拉伯 乙二醇（MEG）供应市场研究 · 数据工作簿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编制依据：海外供应市场研究 Skill v1.0 ｜ 研究基准日 2026-10-20 ｜ 口径单位：产能单位统一为 kt/a（千吨/年，名义设计能力-姓名牌），贸易量单位 kt（千吨），金额单位百万美元。</t>
        </is>
      </c>
      <c r="B2" s="2" t="n"/>
      <c r="C2" s="2" t="n"/>
      <c r="D2" s="2" t="n"/>
      <c r="E2" s="2" t="n"/>
      <c r="F2" s="3" t="n"/>
    </row>
    <row r="4">
      <c r="A4" s="5" t="inlineStr">
        <is>
          <t>A. 报告定位</t>
        </is>
      </c>
      <c r="B4" s="6" t="inlineStr"/>
      <c r="C4" s="7" t="n"/>
      <c r="D4" s="7" t="n"/>
      <c r="E4" s="7" t="n"/>
      <c r="F4" s="8" t="n"/>
    </row>
    <row r="5" ht="28" customHeight="1">
      <c r="A5" s="9" t="inlineStr">
        <is>
          <t>研究对象</t>
        </is>
      </c>
      <c r="B5" s="10" t="inlineStr">
        <is>
          <t>沙特阿拉伯（Saudi Arabia）— 乙二醇（单乙二醇）（Monoethylene Glycol (MEG)），HS 2905.31</t>
        </is>
      </c>
      <c r="C5" s="2" t="n"/>
      <c r="D5" s="2" t="n"/>
      <c r="E5" s="2" t="n"/>
      <c r="F5" s="3" t="n"/>
    </row>
    <row r="6" ht="15" customHeight="1">
      <c r="A6" s="9" t="inlineStr">
        <is>
          <t>编制目的</t>
        </is>
      </c>
      <c r="B6" s="10" t="inlineStr">
        <is>
          <t>外贸采购（进口中国）初步可行性研判 —— 非报价文件</t>
        </is>
      </c>
      <c r="C6" s="2" t="n"/>
      <c r="D6" s="2" t="n"/>
      <c r="E6" s="2" t="n"/>
      <c r="F6" s="3" t="n"/>
    </row>
    <row r="7" ht="28" customHeight="1">
      <c r="A7" s="9" t="inlineStr">
        <is>
          <t>重要时点说明</t>
        </is>
      </c>
      <c r="B7" s="10" t="inlineStr">
        <is>
          <t>本报告数据截止 2026-10-20。2026 年 2 月末起的中东冲突与霍尔木兹海峡有效封闭对沙特 MEG 的产量、出口与物流产生结构性影响，涉及 2026 年的数据须与 2025 年及以前年份分开解读。</t>
        </is>
      </c>
      <c r="C7" s="2" t="n"/>
      <c r="D7" s="2" t="n"/>
      <c r="E7" s="2" t="n"/>
      <c r="F7" s="3" t="n"/>
    </row>
    <row r="8">
      <c r="A8" s="9" t="inlineStr"/>
      <c r="B8" s="10" t="inlineStr"/>
      <c r="C8" s="2" t="n"/>
      <c r="D8" s="2" t="n"/>
      <c r="E8" s="2" t="n"/>
      <c r="F8" s="3" t="n"/>
    </row>
    <row r="9">
      <c r="A9" s="5" t="inlineStr">
        <is>
          <t>B. 四类口径（不可互相替代）</t>
        </is>
      </c>
      <c r="B9" s="6" t="inlineStr"/>
      <c r="C9" s="7" t="n"/>
      <c r="D9" s="7" t="n"/>
      <c r="E9" s="7" t="n"/>
      <c r="F9" s="8" t="n"/>
    </row>
    <row r="10" ht="28" customHeight="1">
      <c r="A10" s="9" t="inlineStr">
        <is>
          <t>① 名义设计产能</t>
        </is>
      </c>
      <c r="B10" s="10" t="inlineStr">
        <is>
          <t>装置姓名牌（nameplate）能力，7405 kt/a（12 套装置合计）。来源含公司年报、工程总包/技术许可公告、行业媒体检修名录三类，存在 ±5% 加总误差。</t>
        </is>
      </c>
      <c r="C10" s="2" t="n"/>
      <c r="D10" s="2" t="n"/>
      <c r="E10" s="2" t="n"/>
      <c r="F10" s="3" t="n"/>
    </row>
    <row r="11" ht="15" customHeight="1">
      <c r="A11" s="9" t="inlineStr">
        <is>
          <t>② 实际产量</t>
        </is>
      </c>
      <c r="B11" s="10" t="inlineStr">
        <is>
          <t>沙特无逐企业 MEG 产量公开统计 → 【数据缺口】。不可用「产能×开工率」推算替代。</t>
        </is>
      </c>
      <c r="C11" s="2" t="n"/>
      <c r="D11" s="2" t="n"/>
      <c r="E11" s="2" t="n"/>
      <c r="F11" s="3" t="n"/>
    </row>
    <row r="12" ht="28" customHeight="1">
      <c r="A12" s="9" t="inlineStr">
        <is>
          <t>③ 出口量</t>
        </is>
      </c>
      <c r="B12" s="10" t="inlineStr">
        <is>
          <t>HS 2905.31 沙特申报出口，2025 年 6372 kt / 2987 百万美元（UN Comtrade / WITS）。注意税号包含其他乙二醇。</t>
        </is>
      </c>
      <c r="C12" s="2" t="n"/>
      <c r="D12" s="2" t="n"/>
      <c r="E12" s="2" t="n"/>
      <c r="F12" s="3" t="n"/>
    </row>
    <row r="13" ht="15" customHeight="1">
      <c r="A13" s="9" t="inlineStr">
        <is>
          <t>④ 可供采购量</t>
        </is>
      </c>
      <c r="B13" s="10" t="inlineStr">
        <is>
          <t>取决于长期合约结构、内部自用、流向偏好与通道可用性 → 【数据缺口】。不可用行业规模或出口量直接推算。</t>
        </is>
      </c>
      <c r="C13" s="2" t="n"/>
      <c r="D13" s="2" t="n"/>
      <c r="E13" s="2" t="n"/>
      <c r="F13" s="3" t="n"/>
    </row>
    <row r="14">
      <c r="A14" s="9" t="inlineStr"/>
      <c r="B14" s="10" t="inlineStr"/>
      <c r="C14" s="2" t="n"/>
      <c r="D14" s="2" t="n"/>
      <c r="E14" s="2" t="n"/>
      <c r="F14" s="3" t="n"/>
    </row>
    <row r="15">
      <c r="A15" s="5" t="inlineStr">
        <is>
          <t>C. 证据等级</t>
        </is>
      </c>
      <c r="B15" s="6" t="inlineStr"/>
      <c r="C15" s="7" t="n"/>
      <c r="D15" s="7" t="n"/>
      <c r="E15" s="7" t="n"/>
      <c r="F15" s="8" t="n"/>
    </row>
    <row r="16" ht="15" customHeight="1">
      <c r="A16" s="9" t="inlineStr">
        <is>
          <t>A 级</t>
        </is>
      </c>
      <c r="B16" s="10" t="inlineStr">
        <is>
          <t>官方年报 / 交易所公告 / 国家统计：可直接引用为事实</t>
        </is>
      </c>
      <c r="C16" s="2" t="n"/>
      <c r="D16" s="2" t="n"/>
      <c r="E16" s="2" t="n"/>
      <c r="F16" s="3" t="n"/>
    </row>
    <row r="17" ht="28" customHeight="1">
      <c r="A17" s="9" t="inlineStr">
        <is>
          <t>B 级</t>
        </is>
      </c>
      <c r="B17" s="10" t="inlineStr">
        <is>
          <t>国际专业行业媒体（ICIS、Argus、MEES、OGJ、S&amp;P Global、Reuters、CCFGroup）：装置级事实，可引用需注明报道方</t>
        </is>
      </c>
      <c r="C17" s="2" t="n"/>
      <c r="D17" s="2" t="n"/>
      <c r="E17" s="2" t="n"/>
      <c r="F17" s="3" t="n"/>
    </row>
    <row r="18" ht="15" customHeight="1">
      <c r="A18" s="9" t="inlineStr">
        <is>
          <t>C 级</t>
        </is>
      </c>
      <c r="B18" s="10" t="inlineStr">
        <is>
          <t>行业数据库 / 第三方估算：仅作交叉参照</t>
        </is>
      </c>
      <c r="C18" s="2" t="n"/>
      <c r="D18" s="2" t="n"/>
      <c r="E18" s="2" t="n"/>
      <c r="F18" s="3" t="n"/>
    </row>
    <row r="19" ht="15" customHeight="1">
      <c r="A19" s="9" t="inlineStr">
        <is>
          <t>D 级</t>
        </is>
      </c>
      <c r="B19" s="10" t="inlineStr">
        <is>
          <t>推算、推断或待核实：必须标注并给出核实路径</t>
        </is>
      </c>
      <c r="C19" s="2" t="n"/>
      <c r="D19" s="2" t="n"/>
      <c r="E19" s="2" t="n"/>
      <c r="F19" s="3" t="n"/>
    </row>
    <row r="20">
      <c r="A20" s="9" t="inlineStr"/>
      <c r="B20" s="10" t="inlineStr"/>
      <c r="C20" s="2" t="n"/>
      <c r="D20" s="2" t="n"/>
      <c r="E20" s="2" t="n"/>
      <c r="F20" s="3" t="n"/>
    </row>
    <row r="21">
      <c r="A21" s="5" t="inlineStr">
        <is>
          <t>D. 工作表索引</t>
        </is>
      </c>
      <c r="B21" s="6" t="inlineStr"/>
      <c r="C21" s="7" t="n"/>
      <c r="D21" s="7" t="n"/>
      <c r="E21" s="7" t="n"/>
      <c r="F21" s="8" t="n"/>
    </row>
    <row r="22" ht="15" customHeight="1">
      <c r="A22" s="9" t="inlineStr">
        <is>
          <t>01_企业与生产主体</t>
        </is>
      </c>
      <c r="B22" s="10" t="inlineStr">
        <is>
          <t>集团 vs 生产法人，股权结构、上市代码、接洽提示</t>
        </is>
      </c>
      <c r="C22" s="2" t="n"/>
      <c r="D22" s="2" t="n"/>
      <c r="E22" s="2" t="n"/>
      <c r="F22" s="3" t="n"/>
    </row>
    <row r="23" ht="15" customHeight="1">
      <c r="A23" s="9" t="inlineStr">
        <is>
          <t>02_装置与产能</t>
        </is>
      </c>
      <c r="B23" s="10" t="inlineStr">
        <is>
          <t>逐套 MEG 装置：所在地、姓名牌产能、投产时间、证据等级、来源</t>
        </is>
      </c>
      <c r="C23" s="2" t="n"/>
      <c r="D23" s="2" t="n"/>
      <c r="E23" s="2" t="n"/>
      <c r="F23" s="3" t="n"/>
    </row>
    <row r="24" ht="15" customHeight="1">
      <c r="A24" s="9" t="inlineStr">
        <is>
          <t>03_产能分层与口径</t>
        </is>
      </c>
      <c r="B24" s="10" t="inlineStr">
        <is>
          <t>名义产能按海岸/企业分层，并与第三方口径交叉核对</t>
        </is>
      </c>
      <c r="C24" s="2" t="n"/>
      <c r="D24" s="2" t="n"/>
      <c r="E24" s="2" t="n"/>
      <c r="F24" s="3" t="n"/>
    </row>
    <row r="25" ht="15" customHeight="1">
      <c r="A25" s="9" t="inlineStr">
        <is>
          <t>04_企业集中度</t>
        </is>
      </c>
      <c r="B25" s="10" t="inlineStr">
        <is>
          <t>企业级份额、CR1/CR3/HHI、SABIC 体系合计</t>
        </is>
      </c>
      <c r="C25" s="2" t="n"/>
      <c r="D25" s="2" t="n"/>
      <c r="E25" s="2" t="n"/>
      <c r="F25" s="3" t="n"/>
    </row>
    <row r="26" ht="15" customHeight="1">
      <c r="A26" s="9" t="inlineStr">
        <is>
          <t>05_原料与产业基础</t>
        </is>
      </c>
      <c r="B26" s="10" t="inlineStr">
        <is>
          <t>工艺路线与关键原料节点、配套、技术许可</t>
        </is>
      </c>
      <c r="C26" s="2" t="n"/>
      <c r="D26" s="2" t="n"/>
      <c r="E26" s="2" t="n"/>
      <c r="F26" s="3" t="n"/>
    </row>
    <row r="27" ht="15" customHeight="1">
      <c r="A27" s="9" t="inlineStr">
        <is>
          <t>06_出口年度</t>
        </is>
      </c>
      <c r="B27" s="10" t="inlineStr">
        <is>
          <t>2021-2025 年出口总量/对华量/均价（含同比）</t>
        </is>
      </c>
      <c r="C27" s="2" t="n"/>
      <c r="D27" s="2" t="n"/>
      <c r="E27" s="2" t="n"/>
      <c r="F27" s="3" t="n"/>
    </row>
    <row r="28" ht="15" customHeight="1">
      <c r="A28" s="9" t="inlineStr">
        <is>
          <t>07_出口目的地</t>
        </is>
      </c>
      <c r="B28" s="10" t="inlineStr">
        <is>
          <t>全部伙伴国逐年明细（178 条记录）</t>
        </is>
      </c>
      <c r="C28" s="2" t="n"/>
      <c r="D28" s="2" t="n"/>
      <c r="E28" s="2" t="n"/>
      <c r="F28" s="3" t="n"/>
    </row>
    <row r="29" ht="15" customHeight="1">
      <c r="A29" s="9" t="inlineStr">
        <is>
          <t>08_物流港口</t>
        </is>
      </c>
      <c r="B29" s="10" t="inlineStr">
        <is>
          <t>出口港、至中国航线、船型、运保条件</t>
        </is>
      </c>
      <c r="C29" s="2" t="n"/>
      <c r="D29" s="2" t="n"/>
      <c r="E29" s="2" t="n"/>
      <c r="F29" s="3" t="n"/>
    </row>
    <row r="30" ht="15" customHeight="1">
      <c r="A30" s="9" t="inlineStr">
        <is>
          <t>09_政策监管</t>
        </is>
      </c>
      <c r="B30" s="10" t="inlineStr">
        <is>
          <t>出口/原料/贸易救济/合规要求</t>
        </is>
      </c>
      <c r="C30" s="2" t="n"/>
      <c r="D30" s="2" t="n"/>
      <c r="E30" s="2" t="n"/>
      <c r="F30" s="3" t="n"/>
    </row>
    <row r="31" ht="15" customHeight="1">
      <c r="A31" s="9" t="inlineStr">
        <is>
          <t>10_供应事件</t>
        </is>
      </c>
      <c r="B31" s="10" t="inlineStr">
        <is>
          <t>2011-2026 装置检修、通道中断、设施损毁时间线</t>
        </is>
      </c>
      <c r="C31" s="2" t="n"/>
      <c r="D31" s="2" t="n"/>
      <c r="E31" s="2" t="n"/>
      <c r="F31" s="3" t="n"/>
    </row>
    <row r="32" ht="15" customHeight="1">
      <c r="A32" s="9" t="inlineStr">
        <is>
          <t>11_数据缺口</t>
        </is>
      </c>
      <c r="B32" s="10" t="inlineStr">
        <is>
          <t>无法核验项 + 核实路径 + 影响</t>
        </is>
      </c>
      <c r="C32" s="2" t="n"/>
      <c r="D32" s="2" t="n"/>
      <c r="E32" s="2" t="n"/>
      <c r="F32" s="3" t="n"/>
    </row>
    <row r="33" ht="15" customHeight="1">
      <c r="A33" s="9" t="inlineStr">
        <is>
          <t>12_来源记录</t>
        </is>
      </c>
      <c r="B33" s="10" t="inlineStr">
        <is>
          <t>全部引用来源（标题/发布方/日期/URL/可信度/摘录）</t>
        </is>
      </c>
      <c r="C33" s="2" t="n"/>
      <c r="D33" s="2" t="n"/>
      <c r="E33" s="2" t="n"/>
      <c r="F33" s="3" t="n"/>
    </row>
  </sheetData>
  <mergeCells count="32">
    <mergeCell ref="B4:F4"/>
    <mergeCell ref="B7:F7"/>
    <mergeCell ref="B16:F16"/>
    <mergeCell ref="B25:F25"/>
    <mergeCell ref="B31:F31"/>
    <mergeCell ref="B22:F22"/>
    <mergeCell ref="B18:F18"/>
    <mergeCell ref="B27:F27"/>
    <mergeCell ref="B21:F21"/>
    <mergeCell ref="A2:F2"/>
    <mergeCell ref="B12:F1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30:F30"/>
    <mergeCell ref="B6:F6"/>
    <mergeCell ref="B24:F24"/>
    <mergeCell ref="B20:F20"/>
    <mergeCell ref="B15:F15"/>
    <mergeCell ref="B33:F33"/>
    <mergeCell ref="A1:F1"/>
    <mergeCell ref="B5:F5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18" customWidth="1" min="4" max="4"/>
    <col width="16" customWidth="1" min="5" max="5"/>
    <col width="30" customWidth="1" min="6" max="6"/>
    <col width="10" customWidth="1" min="7" max="7"/>
    <col width="15" customWidth="1" min="8" max="8"/>
    <col width="9" customWidth="1" min="9" max="9"/>
    <col width="16" customWidth="1" min="10" max="10"/>
    <col width="46" customWidth="1" min="11" max="11"/>
    <col width="40" customWidth="1" min="12" max="12"/>
  </cols>
  <sheetData>
    <row r="1" ht="26" customHeight="1">
      <c r="A1" s="1" t="inlineStr">
        <is>
          <t>企业与生产主体核实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8" customHeight="1">
      <c r="A2" s="4" t="inlineStr">
        <is>
          <t>区分「集团/控股平台」与「实际生产法人」：SABIC 不是装置持有者，MEG 产能由 SHARQ / YANPET / United / Yansab / Saudi Kayan 等法人持有；Sipchem、Tasnee 暂无 MEG 装置。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30" customHeight="1">
      <c r="A3" s="11" t="inlineStr">
        <is>
          <t>ID</t>
        </is>
      </c>
      <c r="B3" s="11" t="inlineStr">
        <is>
          <t>企业（中文/通称）</t>
        </is>
      </c>
      <c r="C3" s="11" t="inlineStr">
        <is>
          <t>英文名</t>
        </is>
      </c>
      <c r="D3" s="11" t="inlineStr">
        <is>
          <t>主体类型</t>
        </is>
      </c>
      <c r="E3" s="11" t="inlineStr">
        <is>
          <t>上市代码</t>
        </is>
      </c>
      <c r="F3" s="11" t="inlineStr">
        <is>
          <t>股权结构</t>
        </is>
      </c>
      <c r="G3" s="11" t="inlineStr">
        <is>
          <t>MEG 装置数</t>
        </is>
      </c>
      <c r="H3" s="11" t="inlineStr">
        <is>
          <t>MEG 名义产能 kt/a</t>
        </is>
      </c>
      <c r="I3" s="11" t="inlineStr">
        <is>
          <t>占全国</t>
        </is>
      </c>
      <c r="J3" s="11" t="inlineStr">
        <is>
          <t>所在工业城</t>
        </is>
      </c>
      <c r="K3" s="11" t="inlineStr">
        <is>
          <t>定位说明</t>
        </is>
      </c>
      <c r="L3" s="11" t="inlineStr">
        <is>
          <t>接洽提示</t>
        </is>
      </c>
    </row>
    <row r="4">
      <c r="A4" s="12" t="inlineStr">
        <is>
          <t>CO1</t>
        </is>
      </c>
      <c r="B4" s="12" t="inlineStr">
        <is>
          <t>SABIC（沙特基础工业公司）</t>
        </is>
      </c>
      <c r="C4" s="12" t="inlineStr">
        <is>
          <t>Saudi Basic Industries Corporation</t>
        </is>
      </c>
      <c r="D4" s="12" t="inlineStr">
        <is>
          <t>集团/控股平台</t>
        </is>
      </c>
      <c r="E4" s="12" t="inlineStr">
        <is>
          <t>TADAWUL: 2010</t>
        </is>
      </c>
      <c r="F4" s="12" t="inlineStr">
        <is>
          <t>Aramco 70% / 公众 30%</t>
        </is>
      </c>
      <c r="G4" s="12" t="n">
        <v>0</v>
      </c>
      <c r="H4" s="13" t="inlineStr">
        <is>
          <t>现无 MEG 装置</t>
        </is>
      </c>
      <c r="I4" s="12" t="inlineStr">
        <is>
          <t>—</t>
        </is>
      </c>
      <c r="J4" s="12" t="inlineStr">
        <is>
          <t>—</t>
        </is>
      </c>
      <c r="K4" s="12" t="inlineStr">
        <is>
          <t>全球最大 MEG 生产体系之一；其本身不直接拥有 MEG 装置，产能由下属合资/子公司实行（SHARQ、YANPET、JUPCO/United、Yansab、Saudi Kayan）。对采购而言，前端销售与合同通常经由 SABIC 统一平台。</t>
        </is>
      </c>
      <c r="L4" s="12" t="inlineStr">
        <is>
          <t>采购洽谈应先经 SABIC 全球销售（Petrochemicals BG），再进入具体生产公司。</t>
        </is>
      </c>
    </row>
    <row r="5">
      <c r="A5" s="14" t="inlineStr">
        <is>
          <t>CO2</t>
        </is>
      </c>
      <c r="B5" s="14" t="inlineStr">
        <is>
          <t>Jubail United Petrochemical Company (United / JUPC)</t>
        </is>
      </c>
      <c r="C5" s="14" t="inlineStr">
        <is>
          <t>Jubail United Petrochemical Co.</t>
        </is>
      </c>
      <c r="D5" s="14" t="inlineStr">
        <is>
          <t>生产法人（SABIC 子公司）</t>
        </is>
      </c>
      <c r="E5" s="14" t="inlineStr">
        <is>
          <t>非上市</t>
        </is>
      </c>
      <c r="F5" s="14" t="inlineStr">
        <is>
          <t>SABIC 75% / 公共养老基金 15% / 社保机构 GOSI 10%</t>
        </is>
      </c>
      <c r="G5" s="14" t="n">
        <v>3</v>
      </c>
      <c r="H5" s="15" t="n">
        <v>2040</v>
      </c>
      <c r="I5" s="14" t="inlineStr">
        <is>
          <t>27.5%</t>
        </is>
      </c>
      <c r="J5" s="14" t="inlineStr">
        <is>
          <t>朱拜勒工业城</t>
        </is>
      </c>
      <c r="K5" s="14" t="inlineStr">
        <is>
          <t>拥有 EG-1/EG-2/EG-3 三套 MEG 装置，全部在朱拜勒。</t>
        </is>
      </c>
      <c r="L5" s="14" t="inlineStr">
        <is>
          <t>MEG 主力供应商，三套合计约 1,970 kt/a（按姓名牌口径）。</t>
        </is>
      </c>
    </row>
    <row r="6">
      <c r="A6" s="12" t="inlineStr">
        <is>
          <t>CO3</t>
        </is>
      </c>
      <c r="B6" s="12" t="inlineStr">
        <is>
          <t>Eastern Petrochemical Company (SHARQ)</t>
        </is>
      </c>
      <c r="C6" s="12" t="inlineStr">
        <is>
          <t>Saudi Eastern Petrochemical Co.</t>
        </is>
      </c>
      <c r="D6" s="12" t="inlineStr">
        <is>
          <t>合资生产法人</t>
        </is>
      </c>
      <c r="E6" s="12" t="inlineStr">
        <is>
          <t>非上市</t>
        </is>
      </c>
      <c r="F6" s="12" t="inlineStr">
        <is>
          <t>SABIC 50% / 日本 SPIC 联合体 50%（三菱商事牵头）</t>
        </is>
      </c>
      <c r="G6" s="12" t="n">
        <v>4</v>
      </c>
      <c r="H6" s="16" t="n">
        <v>2100</v>
      </c>
      <c r="I6" s="12" t="inlineStr">
        <is>
          <t>28.4%</t>
        </is>
      </c>
      <c r="J6" s="12" t="inlineStr">
        <is>
          <t>朱拜勒工业城</t>
        </is>
      </c>
      <c r="K6" s="12" t="inlineStr">
        <is>
          <t>MEG 1-4 号线，全部在朱拜勒；产能为 SHARQ I/II/III 三期累计。</t>
        </is>
      </c>
      <c r="L6" s="12" t="inlineStr">
        <is>
          <t>MEG 第三大主体，4 条线合计约 2,300 kt/a（按 S06/S09 姓名牌）。</t>
        </is>
      </c>
    </row>
    <row r="7">
      <c r="A7" s="14" t="inlineStr">
        <is>
          <t>CO4</t>
        </is>
      </c>
      <c r="B7" s="14" t="inlineStr">
        <is>
          <t>Saudi Yanbu Petrochemical Company (YANPET)</t>
        </is>
      </c>
      <c r="C7" s="14" t="inlineStr">
        <is>
          <t>Saudi Yanbu Petrochemical Co.</t>
        </is>
      </c>
      <c r="D7" s="14" t="inlineStr">
        <is>
          <t>合资生产法人</t>
        </is>
      </c>
      <c r="E7" s="14" t="inlineStr">
        <is>
          <t>非上市</t>
        </is>
      </c>
      <c r="F7" s="14" t="inlineStr">
        <is>
          <t>SABIC 50% / ExxonMobil 50%</t>
        </is>
      </c>
      <c r="G7" s="14" t="n">
        <v>2</v>
      </c>
      <c r="H7" s="15" t="n">
        <v>900</v>
      </c>
      <c r="I7" s="14" t="inlineStr">
        <is>
          <t>12.2%</t>
        </is>
      </c>
      <c r="J7" s="14" t="inlineStr">
        <is>
          <t>延布工业城</t>
        </is>
      </c>
      <c r="K7" s="14" t="inlineStr">
        <is>
          <t>MEG 1 号线与 2 号线，位于延布（红海）；1999-2001 扩能新增 420 kt 已计入 2 号线。</t>
        </is>
      </c>
      <c r="L7" s="14" t="inlineStr">
        <is>
          <t>西海岸最大单一 MEG 主体，约 900 kt/a。</t>
        </is>
      </c>
    </row>
    <row r="8">
      <c r="A8" s="12" t="inlineStr">
        <is>
          <t>CO5</t>
        </is>
      </c>
      <c r="B8" s="12" t="inlineStr">
        <is>
          <t>Yanbu National Petrochemical Company (Yansab)</t>
        </is>
      </c>
      <c r="C8" s="12" t="inlineStr">
        <is>
          <t>Yanbu National Petrochemical Co.</t>
        </is>
      </c>
      <c r="D8" s="12" t="inlineStr">
        <is>
          <t>上市生产法人</t>
        </is>
      </c>
      <c r="E8" s="12" t="inlineStr">
        <is>
          <t>TADAWUL: 2290</t>
        </is>
      </c>
      <c r="F8" s="12" t="inlineStr">
        <is>
          <t>SABIC 51% / 私人及个人 49%</t>
        </is>
      </c>
      <c r="G8" s="12" t="n">
        <v>1</v>
      </c>
      <c r="H8" s="16" t="n">
        <v>700</v>
      </c>
      <c r="I8" s="12" t="inlineStr">
        <is>
          <t>9.5%</t>
        </is>
      </c>
      <c r="J8" s="12" t="inlineStr">
        <is>
          <t>延布工业城</t>
        </is>
      </c>
      <c r="K8" s="12" t="inlineStr">
        <is>
          <t>延布工业城单一 MEG 装置 700 kt/a（Toyo/Scientific Design）；产品经 SABIC 统一销售。</t>
        </is>
      </c>
      <c r="L8" s="12" t="inlineStr">
        <is>
          <t>上市公司，公告可追踪检修与经营；MEG 为其销售结构的重要品类。</t>
        </is>
      </c>
    </row>
    <row r="9">
      <c r="A9" s="14" t="inlineStr">
        <is>
          <t>CO6</t>
        </is>
      </c>
      <c r="B9" s="14" t="inlineStr">
        <is>
          <t>Saudi Kayan Petrochemical Company</t>
        </is>
      </c>
      <c r="C9" s="14" t="inlineStr">
        <is>
          <t>Saudi Kayan Petrochemical Co.</t>
        </is>
      </c>
      <c r="D9" s="14" t="inlineStr">
        <is>
          <t>上市生产法人</t>
        </is>
      </c>
      <c r="E9" s="14" t="inlineStr">
        <is>
          <t>TADAWUL: 2350</t>
        </is>
      </c>
      <c r="F9" s="14" t="inlineStr">
        <is>
          <t>SABIC 35% / 私人及个人 65%</t>
        </is>
      </c>
      <c r="G9" s="14" t="n">
        <v>1</v>
      </c>
      <c r="H9" s="15" t="n">
        <v>1065</v>
      </c>
      <c r="I9" s="14" t="inlineStr">
        <is>
          <t>14.4%</t>
        </is>
      </c>
      <c r="J9" s="14" t="inlineStr">
        <is>
          <t>朱拜勒工业城</t>
        </is>
      </c>
      <c r="K9" s="14" t="inlineStr">
        <is>
          <t>朱拜勒；年报口径 EG 产能 1,065 kt/a（EOX 770 kt、配套乙醇胺 100 kt 等）。</t>
        </is>
      </c>
      <c r="L9" s="14" t="inlineStr">
        <is>
          <t>单一 MEG 主体中最大的之一；附带 EO/EG 衍生物组合。</t>
        </is>
      </c>
    </row>
    <row r="10">
      <c r="A10" s="12" t="inlineStr">
        <is>
          <t>CO7</t>
        </is>
      </c>
      <c r="B10" s="12" t="inlineStr">
        <is>
          <t>Rabigh Refining &amp; Petrochemical Company (Petro Rabigh)</t>
        </is>
      </c>
      <c r="C10" s="12" t="inlineStr">
        <is>
          <t>Petro Rabigh (PRC)</t>
        </is>
      </c>
      <c r="D10" s="12" t="inlineStr">
        <is>
          <t>上市合资生产法人</t>
        </is>
      </c>
      <c r="E10" s="12" t="inlineStr">
        <is>
          <t>TADAWUL: 2380</t>
        </is>
      </c>
      <c r="F10" s="12" t="inlineStr">
        <is>
          <t>Saudi Aramco 约 37.5% / Sumitomo Chemical 约 37.5% / 公众 25%（以最新年报为准）</t>
        </is>
      </c>
      <c r="G10" s="12" t="n">
        <v>1</v>
      </c>
      <c r="H10" s="16" t="n">
        <v>600</v>
      </c>
      <c r="I10" s="12" t="inlineStr">
        <is>
          <t>8.1%</t>
        </is>
      </c>
      <c r="J10" s="12" t="inlineStr">
        <is>
          <t>拉比格</t>
        </is>
      </c>
      <c r="K10" s="12" t="inlineStr">
        <is>
          <t>拉比格（红海）；MEG 装置 600 kt/a，Shell OMEGA 工艺；2026 年 7 月实现创纪录利润（MEES 报道）。</t>
        </is>
      </c>
      <c r="L10" s="12" t="inlineStr">
        <is>
          <t>唯一掌握 OMEGA 催化法制 MEG 的沙特主体，西海岸出运。</t>
        </is>
      </c>
    </row>
    <row r="11">
      <c r="A11" s="14" t="inlineStr">
        <is>
          <t>CO8</t>
        </is>
      </c>
      <c r="B11" s="14" t="inlineStr">
        <is>
          <t>Sahara International Petrochemical Company (Sipchem)</t>
        </is>
      </c>
      <c r="C11" s="14" t="inlineStr">
        <is>
          <t>Sipchem</t>
        </is>
      </c>
      <c r="D11" s="14" t="inlineStr">
        <is>
          <t>上市企业（现不产 MEG）</t>
        </is>
      </c>
      <c r="E11" s="14" t="inlineStr">
        <is>
          <t>TADAWUL: 2310</t>
        </is>
      </c>
      <c r="F11" s="14" t="inlineStr">
        <is>
          <t>公众持股（Al Zamil 系）</t>
        </is>
      </c>
      <c r="G11" s="14" t="n">
        <v>0</v>
      </c>
      <c r="H11" s="13" t="inlineStr">
        <is>
          <t>现无 MEG 装置</t>
        </is>
      </c>
      <c r="I11" s="14" t="inlineStr">
        <is>
          <t>—</t>
        </is>
      </c>
      <c r="J11" s="14" t="inlineStr">
        <is>
          <t>—</t>
        </is>
      </c>
      <c r="K11" s="14" t="inlineStr">
        <is>
          <t>当前产品链为甲醇、醋酸、VAM、BDO、EVA 等，不含 MEG；2025-02 获能源部原料配额用于新建综合体。</t>
        </is>
      </c>
      <c r="L11" s="14" t="inlineStr">
        <is>
          <t>潜在新增供给侧，尚不能作为现有 MEG 供货来源。</t>
        </is>
      </c>
    </row>
    <row r="12">
      <c r="A12" s="12" t="inlineStr">
        <is>
          <t>CO9</t>
        </is>
      </c>
      <c r="B12" s="12" t="inlineStr">
        <is>
          <t>National Industrialization Company (Tasnee)</t>
        </is>
      </c>
      <c r="C12" s="12" t="inlineStr">
        <is>
          <t>Tasnee</t>
        </is>
      </c>
      <c r="D12" s="12" t="inlineStr">
        <is>
          <t>上市企业（现不产 MEG）</t>
        </is>
      </c>
      <c r="E12" s="12" t="inlineStr">
        <is>
          <t>TADAWUL: 2060</t>
        </is>
      </c>
      <c r="F12" s="12" t="inlineStr">
        <is>
          <t>公众持股</t>
        </is>
      </c>
      <c r="G12" s="12" t="n">
        <v>0</v>
      </c>
      <c r="H12" s="13" t="inlineStr">
        <is>
          <t>现无 MEG 装置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2025-02 获能源部原料配额，规划朱拜勒新综合体（至多 330 万吨/年，含裂解与下游）。是否包含 MEG 装置未披露。</t>
        </is>
      </c>
      <c r="L12" s="12" t="inlineStr">
        <is>
          <t>仅作中期产能观察对象。</t>
        </is>
      </c>
    </row>
  </sheetData>
  <autoFilter ref="A3:L12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26" customWidth="1" min="4" max="4"/>
    <col width="26" customWidth="1" min="5" max="5"/>
    <col width="16" customWidth="1" min="6" max="6"/>
    <col width="10" customWidth="1" min="7" max="7"/>
    <col width="8" customWidth="1" min="8" max="8"/>
    <col width="13" customWidth="1" min="9" max="9"/>
    <col width="9" customWidth="1" min="10" max="10"/>
    <col width="46" customWidth="1" min="11" max="11"/>
    <col width="20" customWidth="1" min="12" max="12"/>
    <col width="9" customWidth="1" min="13" max="13"/>
    <col width="16" customWidth="1" min="14" max="14"/>
    <col width="8" customWidth="1" min="15" max="15"/>
    <col width="56" customWidth="1" min="16" max="16"/>
    <col width="20" customWidth="1" min="17" max="17"/>
  </cols>
  <sheetData>
    <row r="1" ht="26" customHeight="1">
      <c r="A1" s="1" t="inlineStr">
        <is>
          <t>MEG 装置与公开产能（逐套）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8" customHeight="1">
      <c r="A2" s="4" t="inlineStr">
        <is>
          <t>名义设计产能（姓名牌）口径；每套装置单独一条记录，禁止把企业全部石化产品产能当作 MEG 产能。证据等级 A/B/C/D 见 00 说明。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</row>
    <row r="3" ht="30" customHeight="1">
      <c r="A3" s="11" t="inlineStr">
        <is>
          <t>装置ID</t>
        </is>
      </c>
      <c r="B3" s="11" t="inlineStr">
        <is>
          <t>生产法人</t>
        </is>
      </c>
      <c r="C3" s="11" t="inlineStr">
        <is>
          <t>企业ID</t>
        </is>
      </c>
      <c r="D3" s="11" t="inlineStr">
        <is>
          <t>装置/产线</t>
        </is>
      </c>
      <c r="E3" s="11" t="inlineStr">
        <is>
          <t>所在地</t>
        </is>
      </c>
      <c r="F3" s="11" t="inlineStr">
        <is>
          <t>省/地区</t>
        </is>
      </c>
      <c r="G3" s="11" t="inlineStr">
        <is>
          <t>海岸</t>
        </is>
      </c>
      <c r="H3" s="11" t="inlineStr">
        <is>
          <t>产品</t>
        </is>
      </c>
      <c r="I3" s="11" t="inlineStr">
        <is>
          <t>名义产能 kt/a</t>
        </is>
      </c>
      <c r="J3" s="11" t="inlineStr">
        <is>
          <t>占全国</t>
        </is>
      </c>
      <c r="K3" s="11" t="inlineStr">
        <is>
          <t>产能口径说明</t>
        </is>
      </c>
      <c r="L3" s="11" t="inlineStr">
        <is>
          <t>投产/商业化</t>
        </is>
      </c>
      <c r="M3" s="11" t="inlineStr">
        <is>
          <t>证据等级</t>
        </is>
      </c>
      <c r="N3" s="11" t="inlineStr">
        <is>
          <t>口径冲突</t>
        </is>
      </c>
      <c r="O3" s="11" t="inlineStr">
        <is>
          <t>待核实</t>
        </is>
      </c>
      <c r="P3" s="11" t="inlineStr">
        <is>
          <t>备注（检修/工艺/扩能）</t>
        </is>
      </c>
      <c r="Q3" s="11" t="inlineStr">
        <is>
          <t>来源ID</t>
        </is>
      </c>
    </row>
    <row r="4">
      <c r="A4" s="12" t="inlineStr">
        <is>
          <t>P08</t>
        </is>
      </c>
      <c r="B4" s="12" t="inlineStr">
        <is>
          <t>Saudi Kayan Petrochemical Co.</t>
        </is>
      </c>
      <c r="C4" s="12" t="inlineStr">
        <is>
          <t>CO6</t>
        </is>
      </c>
      <c r="D4" s="12" t="inlineStr">
        <is>
          <t>Saudi Kayan EG（多系列，合计）</t>
        </is>
      </c>
      <c r="E4" s="12" t="inlineStr">
        <is>
          <t>朱拜勒工业城 Jubail Industrial City</t>
        </is>
      </c>
      <c r="F4" s="12" t="inlineStr">
        <is>
          <t>东部省 Eastern Province</t>
        </is>
      </c>
      <c r="G4" s="12" t="inlineStr">
        <is>
          <t>波斯湾 Arabian Gulf</t>
        </is>
      </c>
      <c r="H4" s="12" t="inlineStr">
        <is>
          <t>MEG</t>
        </is>
      </c>
      <c r="I4" s="16" t="n">
        <v>1065</v>
      </c>
      <c r="J4" s="12" t="inlineStr">
        <is>
          <t>14.4%</t>
        </is>
      </c>
      <c r="K4" s="12" t="inlineStr">
        <is>
          <t>公司年报产品年产能表（Ethylene Glycol 1,065 千公吨/年）</t>
        </is>
      </c>
      <c r="L4" s="12" t="inlineStr">
        <is>
          <t>2010-08 试车（537 kt 线）/ 2011-10 商业化</t>
        </is>
      </c>
      <c r="M4" s="12" t="inlineStr">
        <is>
          <t>A</t>
        </is>
      </c>
      <c r="N4" s="12" t="inlineStr"/>
      <c r="O4" s="12" t="inlineStr"/>
      <c r="P4" s="12" t="inlineStr">
        <is>
          <t>年报口径 1,065 kt；S10 单系列 537 kt（约两条）；S07 登记其中一套 650 kt（可能为早期设计值）。采用年报口径。</t>
        </is>
      </c>
      <c r="Q4" s="12" t="inlineStr">
        <is>
          <t>S02、S07、S10</t>
        </is>
      </c>
    </row>
    <row r="5">
      <c r="A5" s="14" t="inlineStr">
        <is>
          <t>P01</t>
        </is>
      </c>
      <c r="B5" s="14" t="inlineStr">
        <is>
          <t>Jubail United Petrochemical Co. (United / JUPC)</t>
        </is>
      </c>
      <c r="C5" s="14" t="inlineStr">
        <is>
          <t>CO2</t>
        </is>
      </c>
      <c r="D5" s="14" t="inlineStr">
        <is>
          <t>United EG-1</t>
        </is>
      </c>
      <c r="E5" s="14" t="inlineStr">
        <is>
          <t>朱拜勒工业城 Jubail Industrial City</t>
        </is>
      </c>
      <c r="F5" s="14" t="inlineStr">
        <is>
          <t>东部省 Eastern Province</t>
        </is>
      </c>
      <c r="G5" s="14" t="inlineStr">
        <is>
          <t>波斯湾 Arabian Gulf</t>
        </is>
      </c>
      <c r="H5" s="14" t="inlineStr">
        <is>
          <t>MEG</t>
        </is>
      </c>
      <c r="I5" s="15" t="n">
        <v>700</v>
      </c>
      <c r="J5" s="14" t="inlineStr">
        <is>
          <t>9.5%</t>
        </is>
      </c>
      <c r="K5" s="14" t="inlineStr">
        <is>
          <t>姓名牌设计产能（S07 ICIS 2011 停机名录）</t>
        </is>
      </c>
      <c r="L5" s="14" t="inlineStr">
        <is>
          <t>2004（JUPC 一期）</t>
        </is>
      </c>
      <c r="M5" s="14" t="inlineStr">
        <is>
          <t>B</t>
        </is>
      </c>
      <c r="N5" s="14" t="inlineStr"/>
      <c r="O5" s="14" t="inlineStr"/>
      <c r="P5" s="14" t="inlineStr">
        <is>
          <t>700 kt/y；经 TOYO 建成（S11 中'630,000 MTPA'为合约口径，投产后按 700kt 登记）。</t>
        </is>
      </c>
      <c r="Q5" s="14" t="inlineStr">
        <is>
          <t>S07、S11</t>
        </is>
      </c>
    </row>
    <row r="6">
      <c r="A6" s="12" t="inlineStr">
        <is>
          <t>P03</t>
        </is>
      </c>
      <c r="B6" s="12" t="inlineStr">
        <is>
          <t>Jubail United Petrochemical Co. (United / JUPC)</t>
        </is>
      </c>
      <c r="C6" s="12" t="inlineStr">
        <is>
          <t>CO2</t>
        </is>
      </c>
      <c r="D6" s="12" t="inlineStr">
        <is>
          <t>United EG-3</t>
        </is>
      </c>
      <c r="E6" s="12" t="inlineStr">
        <is>
          <t>朱拜勒工业城 Jubail Industrial City</t>
        </is>
      </c>
      <c r="F6" s="12" t="inlineStr">
        <is>
          <t>东部省 Eastern Province</t>
        </is>
      </c>
      <c r="G6" s="12" t="inlineStr">
        <is>
          <t>波斯湾 Arabian Gulf</t>
        </is>
      </c>
      <c r="H6" s="12" t="inlineStr">
        <is>
          <t>MEG</t>
        </is>
      </c>
      <c r="I6" s="16" t="n">
        <v>700</v>
      </c>
      <c r="J6" s="12" t="inlineStr">
        <is>
          <t>9.5%</t>
        </is>
      </c>
      <c r="K6" s="12" t="inlineStr">
        <is>
          <t>企业公告与年报（估计年产能 700 kt）</t>
        </is>
      </c>
      <c r="L6" s="12" t="inlineStr">
        <is>
          <t>2021-11 试车 / 2022-10-17 商业化</t>
        </is>
      </c>
      <c r="M6" s="12" t="inlineStr">
        <is>
          <t>A</t>
        </is>
      </c>
      <c r="N6" s="12" t="inlineStr"/>
      <c r="O6" s="12" t="inlineStr"/>
      <c r="P6" s="12" t="inlineStr">
        <is>
          <t>Scientific Design 技术；Samsung Engineering 2017-12 签约，投资约 7 亿美元；初期计划 2020 年完成、后延期。</t>
        </is>
      </c>
      <c r="Q6" s="12" t="inlineStr">
        <is>
          <t>S03、S04、S05、S28</t>
        </is>
      </c>
    </row>
    <row r="7">
      <c r="A7" s="14" t="inlineStr">
        <is>
          <t>P07</t>
        </is>
      </c>
      <c r="B7" s="14" t="inlineStr">
        <is>
          <t>Eastern Petrochemical Co. (SHARQ)</t>
        </is>
      </c>
      <c r="C7" s="14" t="inlineStr">
        <is>
          <t>CO3</t>
        </is>
      </c>
      <c r="D7" s="14" t="inlineStr">
        <is>
          <t>SHARQ MEG-4</t>
        </is>
      </c>
      <c r="E7" s="14" t="inlineStr">
        <is>
          <t>朱拜勒工业城 Jubail Industrial City</t>
        </is>
      </c>
      <c r="F7" s="14" t="inlineStr">
        <is>
          <t>东部省 Eastern Province</t>
        </is>
      </c>
      <c r="G7" s="14" t="inlineStr">
        <is>
          <t>波斯湾 Arabian Gulf</t>
        </is>
      </c>
      <c r="H7" s="14" t="inlineStr">
        <is>
          <t>MEG</t>
        </is>
      </c>
      <c r="I7" s="15" t="n">
        <v>700</v>
      </c>
      <c r="J7" s="14" t="inlineStr">
        <is>
          <t>9.5%</t>
        </is>
      </c>
      <c r="K7" s="14" t="inlineStr">
        <is>
          <t>姓名牌设计产能（S06/S09 两源一致）</t>
        </is>
      </c>
      <c r="L7" s="14" t="inlineStr">
        <is>
          <t>2009 年初（SHARQ III）</t>
        </is>
      </c>
      <c r="M7" s="14" t="inlineStr">
        <is>
          <t>B</t>
        </is>
      </c>
      <c r="N7" s="14" t="inlineStr"/>
      <c r="O7" s="14" t="inlineStr"/>
      <c r="P7" s="14" t="inlineStr">
        <is>
          <t>700 kt/y；2015-02 因更换反应器停车，4 月初复产；2023-11 起检修，2024-01 下半月重启。</t>
        </is>
      </c>
      <c r="Q7" s="14" t="inlineStr">
        <is>
          <t>S06、S09、S12</t>
        </is>
      </c>
    </row>
    <row r="8">
      <c r="A8" s="12" t="inlineStr">
        <is>
          <t>P11</t>
        </is>
      </c>
      <c r="B8" s="12" t="inlineStr">
        <is>
          <t>Yanbu National Petrochemical Co. (Yansab)</t>
        </is>
      </c>
      <c r="C8" s="12" t="inlineStr">
        <is>
          <t>CO5</t>
        </is>
      </c>
      <c r="D8" s="12" t="inlineStr">
        <is>
          <t>Yansab EG</t>
        </is>
      </c>
      <c r="E8" s="12" t="inlineStr">
        <is>
          <t>延布工业城 Yanbu Industrial City</t>
        </is>
      </c>
      <c r="F8" s="12" t="inlineStr">
        <is>
          <t>麦地那省 Madinah Region</t>
        </is>
      </c>
      <c r="G8" s="12" t="inlineStr">
        <is>
          <t>红海 Red Sea</t>
        </is>
      </c>
      <c r="H8" s="12" t="inlineStr">
        <is>
          <t>MEG</t>
        </is>
      </c>
      <c r="I8" s="16" t="n">
        <v>700</v>
      </c>
      <c r="J8" s="12" t="inlineStr">
        <is>
          <t>9.5%</t>
        </is>
      </c>
      <c r="K8" s="12" t="inlineStr">
        <is>
          <t>工程总包公告 700,000 MTPA（S11）与公司整体产能 4 Mt 年报口径（S36）</t>
        </is>
      </c>
      <c r="L8" s="12" t="inlineStr">
        <is>
          <t>2010（商业化 2010；装置 2008 年末建成）</t>
        </is>
      </c>
      <c r="M8" s="12" t="inlineStr">
        <is>
          <t>A/B</t>
        </is>
      </c>
      <c r="N8" s="17" t="inlineStr">
        <is>
          <t>700 vs 770 kt</t>
        </is>
      </c>
      <c r="O8" s="12" t="inlineStr"/>
      <c r="P8" s="12" t="inlineStr">
        <is>
          <t>Scientific Design 工艺、Toyo LSTK；S07 登记 770 kt（可能为设计/铭牌两种口径差异）。采纳 700 kt，保留 770 kt 为备选。2026-01-25 起停车 25 天检修。</t>
        </is>
      </c>
      <c r="Q8" s="12" t="inlineStr">
        <is>
          <t>S11、S12、S20、S36、S40</t>
        </is>
      </c>
    </row>
    <row r="9">
      <c r="A9" s="14" t="inlineStr">
        <is>
          <t>P02</t>
        </is>
      </c>
      <c r="B9" s="14" t="inlineStr">
        <is>
          <t>Jubail United Petrochemical Co. (United / JUPC)</t>
        </is>
      </c>
      <c r="C9" s="14" t="inlineStr">
        <is>
          <t>CO2</t>
        </is>
      </c>
      <c r="D9" s="14" t="inlineStr">
        <is>
          <t>United EG-2</t>
        </is>
      </c>
      <c r="E9" s="14" t="inlineStr">
        <is>
          <t>朱拜勒工业城 Jubail Industrial City</t>
        </is>
      </c>
      <c r="F9" s="14" t="inlineStr">
        <is>
          <t>东部省 Eastern Province</t>
        </is>
      </c>
      <c r="G9" s="14" t="inlineStr">
        <is>
          <t>波斯湾 Arabian Gulf</t>
        </is>
      </c>
      <c r="H9" s="14" t="inlineStr">
        <is>
          <t>MEG</t>
        </is>
      </c>
      <c r="I9" s="15" t="n">
        <v>640</v>
      </c>
      <c r="J9" s="14" t="inlineStr">
        <is>
          <t>8.6%</t>
        </is>
      </c>
      <c r="K9" s="14" t="inlineStr">
        <is>
          <t>姓名牌设计产能（S07）</t>
        </is>
      </c>
      <c r="L9" s="14" t="inlineStr">
        <is>
          <t>2008-2009</t>
        </is>
      </c>
      <c r="M9" s="14" t="inlineStr">
        <is>
          <t>B</t>
        </is>
      </c>
      <c r="N9" s="14" t="inlineStr"/>
      <c r="O9" s="14" t="inlineStr"/>
      <c r="P9" s="14" t="inlineStr">
        <is>
          <t>640 kt/y；2011 年 4 月中至 5 月底例行停车 35 天。</t>
        </is>
      </c>
      <c r="Q9" s="14" t="inlineStr">
        <is>
          <t>S07</t>
        </is>
      </c>
    </row>
    <row r="10">
      <c r="A10" s="12" t="inlineStr">
        <is>
          <t>P12</t>
        </is>
      </c>
      <c r="B10" s="12" t="inlineStr">
        <is>
          <t>Rabigh Refining &amp; Petrochemical Co. (Petro Rabigh)</t>
        </is>
      </c>
      <c r="C10" s="12" t="inlineStr">
        <is>
          <t>CO7</t>
        </is>
      </c>
      <c r="D10" s="12" t="inlineStr">
        <is>
          <t>Petro Rabigh MEG</t>
        </is>
      </c>
      <c r="E10" s="12" t="inlineStr">
        <is>
          <t>拉比格 Rabigh</t>
        </is>
      </c>
      <c r="F10" s="12" t="inlineStr">
        <is>
          <t>麦加省 Makkah Region</t>
        </is>
      </c>
      <c r="G10" s="12" t="inlineStr">
        <is>
          <t>红海 Red Sea</t>
        </is>
      </c>
      <c r="H10" s="12" t="inlineStr">
        <is>
          <t>MEG</t>
        </is>
      </c>
      <c r="I10" s="16" t="n">
        <v>600</v>
      </c>
      <c r="J10" s="12" t="inlineStr">
        <is>
          <t>8.1%</t>
        </is>
      </c>
      <c r="K10" s="12" t="inlineStr">
        <is>
          <t>专业会议论文与行业媒体一致（600,000 t/y）</t>
        </is>
      </c>
      <c r="L10" s="12" t="inlineStr">
        <is>
          <t>2009 年（2009-06 乙烷裂解开车 / 最早计划 2009-02）</t>
        </is>
      </c>
      <c r="M10" s="12" t="inlineStr">
        <is>
          <t>A/B</t>
        </is>
      </c>
      <c r="N10" s="12" t="inlineStr"/>
      <c r="O10" s="12" t="inlineStr"/>
      <c r="P10" s="12" t="inlineStr">
        <is>
          <t>Shell OMEGA 催化工艺；催化剂选择性 92%；原料约 95 MMscfd 乙烷 + 约 1.5 万桶/日 LPG（Aramco 供应）。</t>
        </is>
      </c>
      <c r="Q10" s="12" t="inlineStr">
        <is>
          <t>S12、S13</t>
        </is>
      </c>
    </row>
    <row r="11">
      <c r="A11" s="14" t="inlineStr">
        <is>
          <t>P10</t>
        </is>
      </c>
      <c r="B11" s="14" t="inlineStr">
        <is>
          <t>Saudi Yanbu Petrochemical Co. (YANPET)</t>
        </is>
      </c>
      <c r="C11" s="14" t="inlineStr">
        <is>
          <t>CO4</t>
        </is>
      </c>
      <c r="D11" s="14" t="inlineStr">
        <is>
          <t>YANPET MEG-2</t>
        </is>
      </c>
      <c r="E11" s="14" t="inlineStr">
        <is>
          <t>延布工业城 Yanbu Industrial City</t>
        </is>
      </c>
      <c r="F11" s="14" t="inlineStr">
        <is>
          <t>麦地那省 Madinah Region</t>
        </is>
      </c>
      <c r="G11" s="14" t="inlineStr">
        <is>
          <t>红海 Red Sea</t>
        </is>
      </c>
      <c r="H11" s="14" t="inlineStr">
        <is>
          <t>MEG</t>
        </is>
      </c>
      <c r="I11" s="15" t="n">
        <v>520</v>
      </c>
      <c r="J11" s="14" t="inlineStr">
        <is>
          <t>7.0%</t>
        </is>
      </c>
      <c r="K11" s="14" t="inlineStr">
        <is>
          <t>姓名牌设计产能（S07、S08 两源一致）</t>
        </is>
      </c>
      <c r="L11" s="14" t="inlineStr">
        <is>
          <t>2000-2001（Yanpet II 扩能）</t>
        </is>
      </c>
      <c r="M11" s="14" t="inlineStr">
        <is>
          <t>B</t>
        </is>
      </c>
      <c r="N11" s="14" t="inlineStr"/>
      <c r="O11" s="14" t="inlineStr"/>
      <c r="P11" s="14" t="inlineStr">
        <is>
          <t>520 kt/y；Yanpet II 于 2001 年 3 月投产，新增 EG 420 kt（S46/S11 TOYO 420,000 MTPA），合计达 520 kt 口径。</t>
        </is>
      </c>
      <c r="Q11" s="14" t="inlineStr">
        <is>
          <t>S07、S08、S11、S46</t>
        </is>
      </c>
    </row>
    <row r="12">
      <c r="A12" s="12" t="inlineStr">
        <is>
          <t>P06</t>
        </is>
      </c>
      <c r="B12" s="12" t="inlineStr">
        <is>
          <t>Eastern Petrochemical Co. (SHARQ)</t>
        </is>
      </c>
      <c r="C12" s="12" t="inlineStr">
        <is>
          <t>CO3</t>
        </is>
      </c>
      <c r="D12" s="12" t="inlineStr">
        <is>
          <t>SHARQ MEG-3</t>
        </is>
      </c>
      <c r="E12" s="12" t="inlineStr">
        <is>
          <t>朱拜勒工业城 Jubail Industrial City</t>
        </is>
      </c>
      <c r="F12" s="12" t="inlineStr">
        <is>
          <t>东部省 Eastern Province</t>
        </is>
      </c>
      <c r="G12" s="12" t="inlineStr">
        <is>
          <t>波斯湾 Arabian Gulf</t>
        </is>
      </c>
      <c r="H12" s="12" t="inlineStr">
        <is>
          <t>MEG</t>
        </is>
      </c>
      <c r="I12" s="16" t="n">
        <v>500</v>
      </c>
      <c r="J12" s="12" t="inlineStr">
        <is>
          <t>6.8%</t>
        </is>
      </c>
      <c r="K12" s="12" t="inlineStr">
        <is>
          <t>行业媒体（S06: 500kt）与 S07（2011 年登记 450kt）口径差异</t>
        </is>
      </c>
      <c r="L12" s="12" t="inlineStr">
        <is>
          <t>2009 年初（SHARQ III 配套）</t>
        </is>
      </c>
      <c r="M12" s="12" t="inlineStr">
        <is>
          <t>B</t>
        </is>
      </c>
      <c r="N12" s="17" t="inlineStr">
        <is>
          <t>500 vs 450 kt</t>
        </is>
      </c>
      <c r="O12" s="12" t="inlineStr"/>
      <c r="P12" s="12" t="inlineStr">
        <is>
          <t>S06 载 500 kt/y；S07 在 2011 年检修名录中登记为 450 kt/y；SHARQ III 的 EG 合约规模为 700 kt（S12，可能对应合计口径）。采纳 500 kt，并在数据表中保留 450 kt 备选值。</t>
        </is>
      </c>
      <c r="Q12" s="12" t="inlineStr">
        <is>
          <t>S06、S07、S12</t>
        </is>
      </c>
    </row>
    <row r="13">
      <c r="A13" s="17" t="inlineStr">
        <is>
          <t>P04</t>
        </is>
      </c>
      <c r="B13" s="17" t="inlineStr">
        <is>
          <t>Eastern Petrochemical Co. (SHARQ)</t>
        </is>
      </c>
      <c r="C13" s="17" t="inlineStr">
        <is>
          <t>CO3</t>
        </is>
      </c>
      <c r="D13" s="17" t="inlineStr">
        <is>
          <t>SHARQ MEG-1</t>
        </is>
      </c>
      <c r="E13" s="17" t="inlineStr">
        <is>
          <t>朱拜勒工业城 Jubail Industrial City</t>
        </is>
      </c>
      <c r="F13" s="17" t="inlineStr">
        <is>
          <t>东部省 Eastern Province</t>
        </is>
      </c>
      <c r="G13" s="17" t="inlineStr">
        <is>
          <t>波斯湾 Arabian Gulf</t>
        </is>
      </c>
      <c r="H13" s="17" t="inlineStr">
        <is>
          <t>MEG</t>
        </is>
      </c>
      <c r="I13" s="18" t="n">
        <v>450</v>
      </c>
      <c r="J13" s="17" t="inlineStr">
        <is>
          <t>6.1%</t>
        </is>
      </c>
      <c r="K13" s="17" t="inlineStr">
        <is>
          <t>第三方登记（SHARQ I/II/III 累计分布；S07 名录仅列 No.2 450kt）</t>
        </is>
      </c>
      <c r="L13" s="17" t="inlineStr">
        <is>
          <t>1984-1985（SHARQ I）</t>
        </is>
      </c>
      <c r="M13" s="17" t="inlineStr">
        <is>
          <t>D</t>
        </is>
      </c>
      <c r="N13" s="17" t="inlineStr"/>
      <c r="O13" s="17" t="inlineStr">
        <is>
          <t>是</t>
        </is>
      </c>
      <c r="P13" s="17" t="inlineStr">
        <is>
          <t>S07 仅逐一登记 No.2(450kt)/No.3(450kt)；No.1 的独立姓名牌未能直接从公开来源核实，此处按 SHARQ II 扩能前规模暂列，需以 SHARQ 年报或 ICIS 装置库核实。</t>
        </is>
      </c>
      <c r="Q13" s="17" t="inlineStr">
        <is>
          <t>S06、S07</t>
        </is>
      </c>
    </row>
    <row r="14">
      <c r="A14" s="12" t="inlineStr">
        <is>
          <t>P05</t>
        </is>
      </c>
      <c r="B14" s="12" t="inlineStr">
        <is>
          <t>Eastern Petrochemical Co. (SHARQ)</t>
        </is>
      </c>
      <c r="C14" s="12" t="inlineStr">
        <is>
          <t>CO3</t>
        </is>
      </c>
      <c r="D14" s="12" t="inlineStr">
        <is>
          <t>SHARQ MEG-2</t>
        </is>
      </c>
      <c r="E14" s="12" t="inlineStr">
        <is>
          <t>朱拜勒工业城 Jubail Industrial City</t>
        </is>
      </c>
      <c r="F14" s="12" t="inlineStr">
        <is>
          <t>东部省 Eastern Province</t>
        </is>
      </c>
      <c r="G14" s="12" t="inlineStr">
        <is>
          <t>波斯湾 Arabian Gulf</t>
        </is>
      </c>
      <c r="H14" s="12" t="inlineStr">
        <is>
          <t>MEG</t>
        </is>
      </c>
      <c r="I14" s="16" t="n">
        <v>450</v>
      </c>
      <c r="J14" s="12" t="inlineStr">
        <is>
          <t>6.1%</t>
        </is>
      </c>
      <c r="K14" s="12" t="inlineStr">
        <is>
          <t>姓名牌设计产能（S07）</t>
        </is>
      </c>
      <c r="L14" s="12" t="inlineStr">
        <is>
          <t>1980 年代中期（SHARQ II 扩能）</t>
        </is>
      </c>
      <c r="M14" s="12" t="inlineStr">
        <is>
          <t>B</t>
        </is>
      </c>
      <c r="N14" s="12" t="inlineStr"/>
      <c r="O14" s="12" t="inlineStr"/>
      <c r="P14" s="12" t="inlineStr">
        <is>
          <t>450 kt/y；2011 年 12 月停车 10 天。</t>
        </is>
      </c>
      <c r="Q14" s="12" t="inlineStr">
        <is>
          <t>S07</t>
        </is>
      </c>
    </row>
    <row r="15">
      <c r="A15" s="14" t="inlineStr">
        <is>
          <t>P09</t>
        </is>
      </c>
      <c r="B15" s="14" t="inlineStr">
        <is>
          <t>Saudi Yanbu Petrochemical Co. (YANPET)</t>
        </is>
      </c>
      <c r="C15" s="14" t="inlineStr">
        <is>
          <t>CO4</t>
        </is>
      </c>
      <c r="D15" s="14" t="inlineStr">
        <is>
          <t>YANPET MEG-1</t>
        </is>
      </c>
      <c r="E15" s="14" t="inlineStr">
        <is>
          <t>延布工业城 Yanbu Industrial City</t>
        </is>
      </c>
      <c r="F15" s="14" t="inlineStr">
        <is>
          <t>麦地那省 Madinah Region</t>
        </is>
      </c>
      <c r="G15" s="14" t="inlineStr">
        <is>
          <t>红海 Red Sea</t>
        </is>
      </c>
      <c r="H15" s="14" t="inlineStr">
        <is>
          <t>MEG</t>
        </is>
      </c>
      <c r="I15" s="15" t="n">
        <v>380</v>
      </c>
      <c r="J15" s="14" t="inlineStr">
        <is>
          <t>5.1%</t>
        </is>
      </c>
      <c r="K15" s="14" t="inlineStr">
        <is>
          <t>姓名牌设计产能（S07）</t>
        </is>
      </c>
      <c r="L15" s="14" t="inlineStr">
        <is>
          <t>1984（Yanpet 一期）</t>
        </is>
      </c>
      <c r="M15" s="14" t="inlineStr">
        <is>
          <t>B</t>
        </is>
      </c>
      <c r="N15" s="14" t="inlineStr"/>
      <c r="O15" s="14" t="inlineStr"/>
      <c r="P15" s="14" t="inlineStr">
        <is>
          <t>380 kt/y；2011 年 2 月起停车两周检修。</t>
        </is>
      </c>
      <c r="Q15" s="14" t="inlineStr">
        <is>
          <t>S07</t>
        </is>
      </c>
    </row>
    <row r="16">
      <c r="A16" s="19" t="n"/>
      <c r="B16" s="20" t="inlineStr">
        <is>
          <t>合计（姓名牌口径）</t>
        </is>
      </c>
      <c r="C16" s="19" t="n"/>
      <c r="D16" s="19" t="n"/>
      <c r="E16" s="19" t="n"/>
      <c r="F16" s="19" t="n"/>
      <c r="G16" s="19" t="n"/>
      <c r="H16" s="19" t="n"/>
      <c r="I16" s="21">
        <f>SUM(I4:I15)</f>
        <v/>
      </c>
      <c r="J16" s="19" t="n"/>
      <c r="K16" s="19" t="n"/>
      <c r="L16" s="19" t="n"/>
      <c r="M16" s="19" t="n"/>
      <c r="N16" s="19" t="n"/>
      <c r="O16" s="19" t="n"/>
      <c r="P16" s="19" t="n"/>
      <c r="Q16" s="19" t="n"/>
    </row>
  </sheetData>
  <autoFilter ref="A3:Q15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10" customWidth="1" min="4" max="4"/>
    <col width="46" customWidth="1" min="5" max="5"/>
    <col width="44" customWidth="1" min="6" max="6"/>
  </cols>
  <sheetData>
    <row r="1" ht="26" customHeight="1">
      <c r="A1" s="1" t="inlineStr">
        <is>
          <t>产能分层、海岸分布与第三方口径交叉核对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名义产能只能与「同口径」的数字相加比较；本表把本报告核实口径与三份第三方/新闻口径并列，用于识别误差来源。</t>
        </is>
      </c>
      <c r="B2" s="2" t="n"/>
      <c r="C2" s="2" t="n"/>
      <c r="D2" s="2" t="n"/>
      <c r="E2" s="2" t="n"/>
      <c r="F2" s="3" t="n"/>
    </row>
    <row r="3" ht="30" customHeight="1">
      <c r="A3" s="11" t="inlineStr">
        <is>
          <t>层级</t>
        </is>
      </c>
      <c r="B3" s="11" t="inlineStr">
        <is>
          <t>口径/分组</t>
        </is>
      </c>
      <c r="C3" s="11" t="inlineStr">
        <is>
          <t>名义产能 kt/a</t>
        </is>
      </c>
      <c r="D3" s="11" t="inlineStr">
        <is>
          <t>占比</t>
        </is>
      </c>
      <c r="E3" s="11" t="inlineStr">
        <is>
          <t>第三方对照口径</t>
        </is>
      </c>
      <c r="F3" s="11" t="inlineStr">
        <is>
          <t>差异与说明</t>
        </is>
      </c>
    </row>
    <row r="4">
      <c r="A4" s="12" t="inlineStr">
        <is>
          <t>全国</t>
        </is>
      </c>
      <c r="B4" s="12" t="inlineStr">
        <is>
          <t>本报告逐套核实合计（12 套）</t>
        </is>
      </c>
      <c r="C4" s="16" t="n">
        <v>7405</v>
      </c>
      <c r="D4" s="22" t="n">
        <v>1</v>
      </c>
      <c r="E4" s="12" t="inlineStr">
        <is>
          <t>沙特 MEG 总产能约 7.75 Mt/y</t>
        </is>
      </c>
      <c r="F4" s="12" t="inlineStr">
        <is>
          <t>第三方口径略高，因部分第三方把 DEG/TEG 与闲置线一并计入</t>
        </is>
      </c>
    </row>
    <row r="5">
      <c r="A5" s="14" t="inlineStr">
        <is>
          <t>东海岸</t>
        </is>
      </c>
      <c r="B5" s="14" t="inlineStr">
        <is>
          <t>朱拜勒（United 3 套 + SHARQ 4 套 + Kayan）</t>
        </is>
      </c>
      <c r="C5" s="15" t="n">
        <v>5205</v>
      </c>
      <c r="D5" s="23" t="n">
        <v>0.7029034436191762</v>
      </c>
      <c r="E5" s="14" t="inlineStr">
        <is>
          <t>沙特东海岸 5,040 kt/y</t>
        </is>
      </c>
      <c r="F5" s="14" t="inlineStr">
        <is>
          <t>本报告 SHARQ M1 为待核值(450kt)，若按第三方口径则高约 100–200 kt</t>
        </is>
      </c>
    </row>
    <row r="6">
      <c r="A6" s="12" t="inlineStr">
        <is>
          <t>西海岸</t>
        </is>
      </c>
      <c r="B6" s="12" t="inlineStr">
        <is>
          <t>延布（YANPET 2 套 + Yansab）+ 拉比格（Petro Rabigh）</t>
        </is>
      </c>
      <c r="C6" s="16" t="n">
        <v>2200</v>
      </c>
      <c r="D6" s="22" t="n">
        <v>0.2970965563808238</v>
      </c>
      <c r="E6" s="12" t="inlineStr">
        <is>
          <t>沙特西海岸约 2,100 kt/y</t>
        </is>
      </c>
      <c r="F6" s="12" t="inlineStr">
        <is>
          <t>本报告西海岸 2,200 kt 高于第三方 2,100 kt，差异来自 Yansab 700/770 与 Petro Rabigh 归属口径</t>
        </is>
      </c>
    </row>
    <row r="9">
      <c r="A9" s="24" t="inlineStr">
        <is>
          <t>四类口径的证据状态（不得互相推算）</t>
        </is>
      </c>
    </row>
    <row r="10" ht="30" customHeight="1">
      <c r="A10" s="11" t="inlineStr">
        <is>
          <t>口径</t>
        </is>
      </c>
      <c r="B10" s="11" t="inlineStr">
        <is>
          <t>数值</t>
        </is>
      </c>
      <c r="C10" s="11" t="inlineStr">
        <is>
          <t>单位</t>
        </is>
      </c>
      <c r="D10" s="11" t="inlineStr">
        <is>
          <t>证据等级</t>
        </is>
      </c>
      <c r="E10" s="11" t="inlineStr">
        <is>
          <t>数据来源/状态</t>
        </is>
      </c>
      <c r="F10" s="11" t="inlineStr">
        <is>
          <t>是否可用于谈判</t>
        </is>
      </c>
    </row>
    <row r="11">
      <c r="A11" s="12" t="inlineStr">
        <is>
          <t>① 名义设计产能</t>
        </is>
      </c>
      <c r="B11" s="25" t="n">
        <v>7405</v>
      </c>
      <c r="C11" s="12" t="inlineStr">
        <is>
          <t>kt/a</t>
        </is>
      </c>
      <c r="D11" s="12" t="inlineStr">
        <is>
          <t>A/B 混合</t>
        </is>
      </c>
      <c r="E11" s="12" t="inlineStr">
        <is>
          <t>12 套装置逐套核实（见 02 表）</t>
        </is>
      </c>
      <c r="F11" s="12" t="inlineStr">
        <is>
          <t>可作参考基数</t>
        </is>
      </c>
    </row>
    <row r="12">
      <c r="A12" s="26" t="inlineStr">
        <is>
          <t>② 实际产量（全国）</t>
        </is>
      </c>
      <c r="B12" s="27" t="inlineStr">
        <is>
          <t>数据缺口</t>
        </is>
      </c>
      <c r="C12" s="26" t="inlineStr">
        <is>
          <t>kt</t>
        </is>
      </c>
      <c r="D12" s="26" t="inlineStr">
        <is>
          <t>—</t>
        </is>
      </c>
      <c r="E12" s="26" t="inlineStr">
        <is>
          <t>沙特无公开逐企业 MEG 产量</t>
        </is>
      </c>
      <c r="F12" s="26" t="inlineStr">
        <is>
          <t>不可</t>
        </is>
      </c>
    </row>
    <row r="13">
      <c r="A13" s="12" t="inlineStr">
        <is>
          <t>② 实际产量（单点参考）</t>
        </is>
      </c>
      <c r="B13" s="25" t="inlineStr">
        <is>
          <t>24.7%（2026-04-15 开工率）</t>
        </is>
      </c>
      <c r="C13" s="12" t="inlineStr">
        <is>
          <t>%</t>
        </is>
      </c>
      <c r="D13" s="12" t="inlineStr">
        <is>
          <t>C</t>
        </is>
      </c>
      <c r="E13" s="12" t="inlineStr">
        <is>
          <t>CCFGroup 估算 S16</t>
        </is>
      </c>
      <c r="F13" s="12" t="inlineStr">
        <is>
          <t>仅作风险信号</t>
        </is>
      </c>
    </row>
    <row r="14">
      <c r="A14" s="14" t="inlineStr">
        <is>
          <t>③ 出口量（2025）</t>
        </is>
      </c>
      <c r="B14" s="28" t="n">
        <v>6372</v>
      </c>
      <c r="C14" s="14" t="inlineStr">
        <is>
          <t>kt</t>
        </is>
      </c>
      <c r="D14" s="14" t="inlineStr">
        <is>
          <t>A</t>
        </is>
      </c>
      <c r="E14" s="14" t="inlineStr">
        <is>
          <t>UN Comtrade / WITS S01</t>
        </is>
      </c>
      <c r="F14" s="14" t="inlineStr">
        <is>
          <t>可作分流判断</t>
        </is>
      </c>
    </row>
    <row r="15">
      <c r="A15" s="12" t="inlineStr">
        <is>
          <t>③ 对华出口（2025）</t>
        </is>
      </c>
      <c r="B15" s="25" t="n">
        <v>4042</v>
      </c>
      <c r="C15" s="12" t="inlineStr">
        <is>
          <t>kt</t>
        </is>
      </c>
      <c r="D15" s="12" t="inlineStr">
        <is>
          <t>A</t>
        </is>
      </c>
      <c r="E15" s="12" t="inlineStr">
        <is>
          <t>UN Comtrade / WITS S01</t>
        </is>
      </c>
      <c r="F15" s="12" t="inlineStr">
        <is>
          <t>可作目标量参照</t>
        </is>
      </c>
    </row>
    <row r="16">
      <c r="A16" s="26" t="inlineStr">
        <is>
          <t>④ 可供采购量</t>
        </is>
      </c>
      <c r="B16" s="27" t="inlineStr">
        <is>
          <t>数据缺口</t>
        </is>
      </c>
      <c r="C16" s="26" t="inlineStr">
        <is>
          <t>kt</t>
        </is>
      </c>
      <c r="D16" s="26" t="inlineStr">
        <is>
          <t>—</t>
        </is>
      </c>
      <c r="E16" s="26" t="inlineStr">
        <is>
          <t>需企业访谈 + 发票/提单核验</t>
        </is>
      </c>
      <c r="F16" s="26" t="inlineStr">
        <is>
          <t>不可由①②③推算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15" customWidth="1" min="4" max="4"/>
    <col width="10" customWidth="1" min="5" max="5"/>
    <col width="11" customWidth="1" min="6" max="6"/>
    <col width="46" customWidth="1" min="7" max="7"/>
  </cols>
  <sheetData>
    <row r="1" ht="26" customHeight="1">
      <c r="A1" s="1" t="inlineStr">
        <is>
          <t>生产与出口的企业集中程度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按生产法人计算（姓名牌产能口径，分母 7405 kt/a）。CR1=28.4%，CR3=70.3%，HHI=2073；SABIC 持股体系合计 6805 kt/a（91.9%）。</t>
        </is>
      </c>
      <c r="B2" s="2" t="n"/>
      <c r="C2" s="2" t="n"/>
      <c r="D2" s="2" t="n"/>
      <c r="E2" s="2" t="n"/>
      <c r="F2" s="2" t="n"/>
      <c r="G2" s="3" t="n"/>
    </row>
    <row r="3" ht="30" customHeight="1">
      <c r="A3" s="11" t="inlineStr">
        <is>
          <t>排名</t>
        </is>
      </c>
      <c r="B3" s="11" t="inlineStr">
        <is>
          <t>生产法人</t>
        </is>
      </c>
      <c r="C3" s="11" t="inlineStr">
        <is>
          <t>企业ID</t>
        </is>
      </c>
      <c r="D3" s="11" t="inlineStr">
        <is>
          <t>名义产能 kt/a</t>
        </is>
      </c>
      <c r="E3" s="11" t="inlineStr">
        <is>
          <t>份额</t>
        </is>
      </c>
      <c r="F3" s="11" t="inlineStr">
        <is>
          <t>累计份额</t>
        </is>
      </c>
      <c r="G3" s="11" t="inlineStr">
        <is>
          <t>说明</t>
        </is>
      </c>
    </row>
    <row r="4">
      <c r="A4" s="12" t="n">
        <v>1</v>
      </c>
      <c r="B4" s="12" t="inlineStr">
        <is>
          <t>SHARQ</t>
        </is>
      </c>
      <c r="C4" s="12" t="inlineStr">
        <is>
          <t>CO3</t>
        </is>
      </c>
      <c r="D4" s="16" t="n">
        <v>2100</v>
      </c>
      <c r="E4" s="29" t="n">
        <v>0.2836</v>
      </c>
      <c r="F4" s="29" t="n">
        <v>0.2836</v>
      </c>
      <c r="G4" s="12" t="inlineStr">
        <is>
          <t>MEG1-4 合计（P04 待核）</t>
        </is>
      </c>
    </row>
    <row r="5">
      <c r="A5" s="14" t="n">
        <v>2</v>
      </c>
      <c r="B5" s="14" t="inlineStr">
        <is>
          <t>United (JUPC)</t>
        </is>
      </c>
      <c r="C5" s="14" t="inlineStr">
        <is>
          <t>CO2</t>
        </is>
      </c>
      <c r="D5" s="15" t="n">
        <v>2040</v>
      </c>
      <c r="E5" s="30" t="n">
        <v>0.2755</v>
      </c>
      <c r="F5" s="30" t="n">
        <v>0.5591</v>
      </c>
      <c r="G5" s="14" t="inlineStr">
        <is>
          <t>EG-1/2/3</t>
        </is>
      </c>
    </row>
    <row r="6">
      <c r="A6" s="12" t="n">
        <v>3</v>
      </c>
      <c r="B6" s="12" t="inlineStr">
        <is>
          <t>Saudi Kayan</t>
        </is>
      </c>
      <c r="C6" s="12" t="inlineStr">
        <is>
          <t>CO6</t>
        </is>
      </c>
      <c r="D6" s="16" t="n">
        <v>1065</v>
      </c>
      <c r="E6" s="29" t="n">
        <v>0.1438</v>
      </c>
      <c r="F6" s="29" t="n">
        <v>0.7029</v>
      </c>
      <c r="G6" s="12" t="inlineStr">
        <is>
          <t>年报口径</t>
        </is>
      </c>
    </row>
    <row r="7">
      <c r="A7" s="14" t="n">
        <v>4</v>
      </c>
      <c r="B7" s="14" t="inlineStr">
        <is>
          <t>YANPET</t>
        </is>
      </c>
      <c r="C7" s="14" t="inlineStr">
        <is>
          <t>CO4</t>
        </is>
      </c>
      <c r="D7" s="15" t="n">
        <v>900</v>
      </c>
      <c r="E7" s="30" t="n">
        <v>0.1215</v>
      </c>
      <c r="F7" s="30" t="n">
        <v>0.8244</v>
      </c>
      <c r="G7" s="14" t="inlineStr">
        <is>
          <t>MEG-1/2</t>
        </is>
      </c>
    </row>
    <row r="8">
      <c r="A8" s="12" t="n">
        <v>5</v>
      </c>
      <c r="B8" s="12" t="inlineStr">
        <is>
          <t>Yansab</t>
        </is>
      </c>
      <c r="C8" s="12" t="inlineStr">
        <is>
          <t>CO5</t>
        </is>
      </c>
      <c r="D8" s="16" t="n">
        <v>700</v>
      </c>
      <c r="E8" s="29" t="n">
        <v>0.0945</v>
      </c>
      <c r="F8" s="29" t="n">
        <v>0.919</v>
      </c>
      <c r="G8" s="12" t="inlineStr">
        <is>
          <t>单装置</t>
        </is>
      </c>
    </row>
    <row r="9">
      <c r="A9" s="14" t="n">
        <v>6</v>
      </c>
      <c r="B9" s="14" t="inlineStr">
        <is>
          <t>Petro Rabigh</t>
        </is>
      </c>
      <c r="C9" s="14" t="inlineStr">
        <is>
          <t>CO7</t>
        </is>
      </c>
      <c r="D9" s="15" t="n">
        <v>600</v>
      </c>
      <c r="E9" s="30" t="n">
        <v>0.081</v>
      </c>
      <c r="F9" s="30" t="n">
        <v>1</v>
      </c>
      <c r="G9" s="14" t="inlineStr">
        <is>
          <t>OMEGA</t>
        </is>
      </c>
    </row>
    <row r="11">
      <c r="A11" s="31" t="inlineStr">
        <is>
          <t>指标</t>
        </is>
      </c>
      <c r="B11" s="32" t="inlineStr">
        <is>
          <t>数值</t>
        </is>
      </c>
      <c r="C11" s="33" t="inlineStr">
        <is>
          <t>解读</t>
        </is>
      </c>
    </row>
    <row r="12">
      <c r="A12" s="34" t="inlineStr">
        <is>
          <t>CR1</t>
        </is>
      </c>
      <c r="B12" s="35" t="inlineStr">
        <is>
          <t>28.4%</t>
        </is>
      </c>
      <c r="C12" t="inlineStr">
        <is>
          <t>第一大生产法人份额</t>
        </is>
      </c>
    </row>
    <row r="13">
      <c r="A13" s="34" t="inlineStr">
        <is>
          <t>CR3</t>
        </is>
      </c>
      <c r="B13" s="35" t="inlineStr">
        <is>
          <t>70.3%</t>
        </is>
      </c>
      <c r="C13" t="inlineStr">
        <is>
          <t>前三大合计</t>
        </is>
      </c>
    </row>
    <row r="14">
      <c r="A14" s="34" t="inlineStr">
        <is>
          <t>HHI（生产法人级）</t>
        </is>
      </c>
      <c r="B14" s="35" t="inlineStr">
        <is>
          <t>2073</t>
        </is>
      </c>
      <c r="C14" t="inlineStr">
        <is>
          <t>&gt;2500 视为高度集中</t>
        </is>
      </c>
    </row>
    <row r="15">
      <c r="A15" s="34" t="inlineStr">
        <is>
          <t>SABIC 持股体系合计</t>
        </is>
      </c>
      <c r="B15" s="35" t="inlineStr">
        <is>
          <t>91.9%（6805 kt/a）</t>
        </is>
      </c>
      <c r="C15" t="inlineStr">
        <is>
          <t>统一销售平台加剧实际议价集中</t>
        </is>
      </c>
    </row>
    <row r="16">
      <c r="A16" s="34" t="inlineStr">
        <is>
          <t>6 家生产法人</t>
        </is>
      </c>
      <c r="B16" s="35" t="inlineStr">
        <is>
          <t>100%</t>
        </is>
      </c>
      <c r="C16" t="inlineStr">
        <is>
          <t>无独立第三方法人进入 MEG 生产</t>
        </is>
      </c>
    </row>
  </sheetData>
  <autoFilter ref="A3:G9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2" customWidth="1" min="4" max="4"/>
    <col width="20" customWidth="1" min="5" max="5"/>
  </cols>
  <sheetData>
    <row r="1" ht="26" customHeight="1">
      <c r="A1" s="1" t="inlineStr">
        <is>
          <t>原料来源与产业基础（按工艺路线组织）</t>
        </is>
      </c>
      <c r="B1" s="2" t="n"/>
      <c r="C1" s="2" t="n"/>
      <c r="D1" s="2" t="n"/>
      <c r="E1" s="3" t="n"/>
    </row>
    <row r="2" ht="18" customHeight="1">
      <c r="A2" s="4" t="inlineStr">
        <is>
          <t>MEG 路线：乙烷/伴生气 → 蒸汽裂解制乙烯 → EO/EG 单元 → MEG；本表以工艺链为骨架，而不是按行业结构罗列。</t>
        </is>
      </c>
      <c r="B2" s="2" t="n"/>
      <c r="C2" s="2" t="n"/>
      <c r="D2" s="2" t="n"/>
      <c r="E2" s="3" t="n"/>
    </row>
    <row r="3" ht="30" customHeight="1">
      <c r="A3" s="11" t="inlineStr">
        <is>
          <t>ID</t>
        </is>
      </c>
      <c r="B3" s="11" t="inlineStr">
        <is>
          <t>环节/物料</t>
        </is>
      </c>
      <c r="C3" s="11" t="inlineStr">
        <is>
          <t>在链上的角色</t>
        </is>
      </c>
      <c r="D3" s="11" t="inlineStr">
        <is>
          <t>说明与证据</t>
        </is>
      </c>
      <c r="E3" s="11" t="inlineStr">
        <is>
          <t>来源ID</t>
        </is>
      </c>
    </row>
    <row r="4">
      <c r="A4" s="12" t="inlineStr">
        <is>
          <t>F1</t>
        </is>
      </c>
      <c r="B4" s="12" t="inlineStr">
        <is>
          <t>乙烯（Ethylene）</t>
        </is>
      </c>
      <c r="C4" s="12" t="inlineStr">
        <is>
          <t>直接原料</t>
        </is>
      </c>
      <c r="D4" s="12" t="inlineStr">
        <is>
          <t>沙特 MEG 全部走'乙烷裂解→乙烯→EO→水解/催化水合→MEG'路线；主要裂解装置：JUPC、SHARQ III、Petrokemya、Yansab(1.3 Mt 乙烯)、Kayan(1,485 kt 乙烯)、Yanpet(2 套，800 kt 级)、Petro Rabigh(1.3 Mt)</t>
        </is>
      </c>
      <c r="E4" s="12" t="inlineStr">
        <is>
          <t>S02、S11、S12、S36</t>
        </is>
      </c>
    </row>
    <row r="5">
      <c r="A5" s="14" t="inlineStr">
        <is>
          <t>F2</t>
        </is>
      </c>
      <c r="B5" s="14" t="inlineStr">
        <is>
          <t>乙烷/伴生气</t>
        </is>
      </c>
      <c r="C5" s="14" t="inlineStr">
        <is>
          <t>上游能源与原料</t>
        </is>
      </c>
      <c r="D5" s="14" t="inlineStr">
        <is>
          <t>乙烷主要来自沙特 Aramco 的伴生气处理(NGL)体系；2026 年 2 月末冲突后霍尔木兹关闭导致原油减产与伴生气骤降</t>
        </is>
      </c>
      <c r="E5" s="14" t="inlineStr">
        <is>
          <t>S15、S14</t>
        </is>
      </c>
    </row>
    <row r="6">
      <c r="A6" s="12" t="inlineStr">
        <is>
          <t>F3</t>
        </is>
      </c>
      <c r="B6" s="12" t="inlineStr">
        <is>
          <t>原料气价格机制</t>
        </is>
      </c>
      <c r="C6" s="12" t="inlineStr">
        <is>
          <t>成本与政策</t>
        </is>
      </c>
      <c r="D6" s="12" t="inlineStr">
        <is>
          <t>Aramco 长期以远低于国际价格的固定价供气（2009 年约 0.75 美元/MMBtu，后逐步上调）；自 2025-01-01 起连续第二年提价</t>
        </is>
      </c>
      <c r="E6" s="12" t="inlineStr">
        <is>
          <t>S12、S34</t>
        </is>
      </c>
    </row>
    <row r="7">
      <c r="A7" s="14" t="inlineStr">
        <is>
          <t>F4</t>
        </is>
      </c>
      <c r="B7" s="14" t="inlineStr">
        <is>
          <t>催化剂与工艺许可</t>
        </is>
      </c>
      <c r="C7" s="14" t="inlineStr">
        <is>
          <t>技术壁垒</t>
        </is>
      </c>
      <c r="D7" s="14" t="inlineStr">
        <is>
          <t>Scientific Design（JUPC、Yansab 等）与 Shell OMEGA（Petro Rabigh）；沙特主要专利工艺均来自外资授权</t>
        </is>
      </c>
      <c r="E7" s="14" t="inlineStr">
        <is>
          <t>S11、S13</t>
        </is>
      </c>
    </row>
    <row r="8">
      <c r="A8" s="12" t="inlineStr">
        <is>
          <t>F5</t>
        </is>
      </c>
      <c r="B8" s="12" t="inlineStr">
        <is>
          <t>公用工程（电、蒸汽、海水冷却）</t>
        </is>
      </c>
      <c r="C8" s="12" t="inlineStr">
        <is>
          <t>园区基础设施</t>
        </is>
      </c>
      <c r="D8" s="12" t="inlineStr">
        <is>
          <t>朱拜勒/延布为皇家委员会(RCJY)规划的工业城，统一供水电气；冲突期园区级中断会影响全园企业</t>
        </is>
      </c>
      <c r="E8" s="12" t="inlineStr">
        <is>
          <t>S22、S23、S47</t>
        </is>
      </c>
    </row>
    <row r="9">
      <c r="A9" s="14" t="inlineStr">
        <is>
          <t>F6</t>
        </is>
      </c>
      <c r="B9" s="14" t="inlineStr">
        <is>
          <t>下游配套</t>
        </is>
      </c>
      <c r="C9" s="14" t="inlineStr">
        <is>
          <t>副产物结构</t>
        </is>
      </c>
      <c r="D9" s="14" t="inlineStr">
        <is>
          <t>Kayan 同时产 EO 770 kt、乙醇胺 100 kt；JUPC 产 α-烯烃；MEG 与 EO 衍生物共用 EO 单元，EO 利润结构会影响 MEG 排产</t>
        </is>
      </c>
      <c r="E9" s="14" t="inlineStr">
        <is>
          <t>S02、S07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1" customWidth="1" min="4" max="4"/>
    <col width="14" customWidth="1" min="5" max="5"/>
    <col width="13" customWidth="1" min="6" max="6"/>
    <col width="10" customWidth="1" min="7" max="7"/>
    <col width="15" customWidth="1" min="8" max="8"/>
    <col width="14" customWidth="1" min="9" max="9"/>
    <col width="14" customWidth="1" min="10" max="10"/>
    <col width="26" customWidth="1" min="11" max="11"/>
    <col width="8" customWidth="1" min="12" max="12"/>
  </cols>
  <sheetData>
    <row r="1" ht="26" customHeight="1">
      <c r="A1" s="1" t="inlineStr">
        <is>
          <t>出口规模与对华贸易（2021–2025）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8" customHeight="1">
      <c r="A2" s="4" t="inlineStr">
        <is>
          <t>HS 2905.31 沙特申报出口。2025 年出口 6372 kt，对华 4042 kt（占 63.4%）。「出口量/名义产能」列为比值参考，不是产量，也不代表可供采购量。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30" customHeight="1">
      <c r="A3" s="11" t="inlineStr">
        <is>
          <t>年份</t>
        </is>
      </c>
      <c r="B3" s="11" t="inlineStr">
        <is>
          <t>出口总量 kt</t>
        </is>
      </c>
      <c r="C3" s="11" t="inlineStr">
        <is>
          <t>出口额 百万美元</t>
        </is>
      </c>
      <c r="D3" s="11" t="inlineStr">
        <is>
          <t>总量同比</t>
        </is>
      </c>
      <c r="E3" s="11" t="inlineStr">
        <is>
          <t>出口均价 美元/吨</t>
        </is>
      </c>
      <c r="F3" s="11" t="inlineStr">
        <is>
          <t>对华出口 kt</t>
        </is>
      </c>
      <c r="G3" s="11" t="inlineStr">
        <is>
          <t>对华占比</t>
        </is>
      </c>
      <c r="H3" s="11" t="inlineStr">
        <is>
          <t>对华额 百万美元</t>
        </is>
      </c>
      <c r="I3" s="11" t="inlineStr">
        <is>
          <t>对华均价 美元/吨</t>
        </is>
      </c>
      <c r="J3" s="11" t="inlineStr">
        <is>
          <t>出口量/名义产能</t>
        </is>
      </c>
      <c r="K3" s="11" t="inlineStr">
        <is>
          <t>统计口径</t>
        </is>
      </c>
      <c r="L3" s="11" t="inlineStr">
        <is>
          <t>来源ID</t>
        </is>
      </c>
    </row>
    <row r="4">
      <c r="A4" s="12" t="n">
        <v>2021</v>
      </c>
      <c r="B4" s="36" t="n">
        <v>2359</v>
      </c>
      <c r="C4" s="36" t="n">
        <v>1456</v>
      </c>
      <c r="D4" s="29" t="inlineStr"/>
      <c r="E4" s="36" t="n">
        <v>617</v>
      </c>
      <c r="F4" s="36" t="n">
        <v>1648</v>
      </c>
      <c r="G4" s="29" t="n">
        <v>0.6986</v>
      </c>
      <c r="H4" s="36" t="n">
        <v>999</v>
      </c>
      <c r="I4" s="36" t="n">
        <v>606</v>
      </c>
      <c r="J4" s="29" t="n">
        <v>0.2226</v>
      </c>
      <c r="K4" s="12" t="inlineStr">
        <is>
          <t>UN Comtrade / WITS（沙特申报）</t>
        </is>
      </c>
      <c r="L4" s="12" t="inlineStr">
        <is>
          <t>S01</t>
        </is>
      </c>
    </row>
    <row r="5">
      <c r="A5" s="14" t="n">
        <v>2022</v>
      </c>
      <c r="B5" s="37" t="n">
        <v>2417</v>
      </c>
      <c r="C5" s="37" t="n">
        <v>1360</v>
      </c>
      <c r="D5" s="30" t="n">
        <v>0.0246</v>
      </c>
      <c r="E5" s="37" t="n">
        <v>563</v>
      </c>
      <c r="F5" s="37" t="n">
        <v>1799</v>
      </c>
      <c r="G5" s="30" t="n">
        <v>0.7443</v>
      </c>
      <c r="H5" s="37" t="n">
        <v>1028</v>
      </c>
      <c r="I5" s="37" t="n">
        <v>571</v>
      </c>
      <c r="J5" s="30" t="n">
        <v>0.2429</v>
      </c>
      <c r="K5" s="14" t="inlineStr">
        <is>
          <t>UN Comtrade / WITS（沙特申报）</t>
        </is>
      </c>
      <c r="L5" s="14" t="inlineStr">
        <is>
          <t>S01</t>
        </is>
      </c>
    </row>
    <row r="6">
      <c r="A6" s="12" t="n">
        <v>2023</v>
      </c>
      <c r="B6" s="36" t="n">
        <v>3924</v>
      </c>
      <c r="C6" s="36" t="n">
        <v>2700</v>
      </c>
      <c r="D6" s="29" t="n">
        <v>0.6235000000000001</v>
      </c>
      <c r="E6" s="36" t="n">
        <v>688</v>
      </c>
      <c r="F6" s="36" t="n">
        <v>2336</v>
      </c>
      <c r="G6" s="29" t="n">
        <v>0.5953000000000001</v>
      </c>
      <c r="H6" s="36" t="n">
        <v>1600</v>
      </c>
      <c r="I6" s="36" t="n">
        <v>685</v>
      </c>
      <c r="J6" s="29" t="n">
        <v>0.3155</v>
      </c>
      <c r="K6" s="12" t="inlineStr">
        <is>
          <t>UN Comtrade / WITS（沙特申报）</t>
        </is>
      </c>
      <c r="L6" s="12" t="inlineStr">
        <is>
          <t>S01</t>
        </is>
      </c>
    </row>
    <row r="7">
      <c r="A7" s="14" t="n">
        <v>2024</v>
      </c>
      <c r="B7" s="37" t="n">
        <v>6021</v>
      </c>
      <c r="C7" s="37" t="n">
        <v>2784</v>
      </c>
      <c r="D7" s="30" t="n">
        <v>0.5344</v>
      </c>
      <c r="E7" s="37" t="n">
        <v>462</v>
      </c>
      <c r="F7" s="37" t="n">
        <v>3356</v>
      </c>
      <c r="G7" s="30" t="n">
        <v>0.5574</v>
      </c>
      <c r="H7" s="37" t="n">
        <v>1559</v>
      </c>
      <c r="I7" s="37" t="n">
        <v>465</v>
      </c>
      <c r="J7" s="30" t="n">
        <v>0.4532</v>
      </c>
      <c r="K7" s="14" t="inlineStr">
        <is>
          <t>UN Comtrade / WITS（沙特申报）</t>
        </is>
      </c>
      <c r="L7" s="14" t="inlineStr">
        <is>
          <t>S01</t>
        </is>
      </c>
    </row>
    <row r="8">
      <c r="A8" s="12" t="n">
        <v>2025</v>
      </c>
      <c r="B8" s="36" t="n">
        <v>6372</v>
      </c>
      <c r="C8" s="36" t="n">
        <v>2987</v>
      </c>
      <c r="D8" s="29" t="n">
        <v>0.0583</v>
      </c>
      <c r="E8" s="36" t="n">
        <v>469</v>
      </c>
      <c r="F8" s="36" t="n">
        <v>4042</v>
      </c>
      <c r="G8" s="29" t="n">
        <v>0.6343</v>
      </c>
      <c r="H8" s="36" t="n">
        <v>1900</v>
      </c>
      <c r="I8" s="36" t="n">
        <v>470</v>
      </c>
      <c r="J8" s="29" t="n">
        <v>0.5458</v>
      </c>
      <c r="K8" s="12" t="inlineStr">
        <is>
          <t>UN Comtrade / WITS（沙特申报）</t>
        </is>
      </c>
      <c r="L8" s="12" t="inlineStr">
        <is>
          <t>S01</t>
        </is>
      </c>
    </row>
  </sheetData>
  <autoFilter ref="A3:L8"/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4" customWidth="1" min="5" max="5"/>
    <col width="16" customWidth="1" min="6" max="6"/>
    <col width="26" customWidth="1" min="7" max="7"/>
    <col width="8" customWidth="1" min="8" max="8"/>
  </cols>
  <sheetData>
    <row r="1" ht="26" customHeight="1">
      <c r="A1" s="1" t="inlineStr">
        <is>
          <t>主要出口目的地（各国逐年）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仅为各年前 7–10 大目的地（完整 178 条伙伴-年记录见 data.json / WITS 原始页）。中国始终为第一大目的地且份额持续上升。</t>
        </is>
      </c>
      <c r="B2" s="2" t="n"/>
      <c r="C2" s="2" t="n"/>
      <c r="D2" s="2" t="n"/>
      <c r="E2" s="2" t="n"/>
      <c r="F2" s="2" t="n"/>
      <c r="G2" s="2" t="n"/>
      <c r="H2" s="3" t="n"/>
    </row>
    <row r="3" ht="30" customHeight="1">
      <c r="A3" s="11" t="inlineStr">
        <is>
          <t>年份</t>
        </is>
      </c>
      <c r="B3" s="11" t="inlineStr">
        <is>
          <t>目的国/地区</t>
        </is>
      </c>
      <c r="C3" s="11" t="inlineStr">
        <is>
          <t>数量 kt</t>
        </is>
      </c>
      <c r="D3" s="11" t="inlineStr">
        <is>
          <t>占当年出口</t>
        </is>
      </c>
      <c r="E3" s="11" t="inlineStr">
        <is>
          <t>占基准</t>
        </is>
      </c>
      <c r="F3" s="11" t="inlineStr">
        <is>
          <t>当年出口总量 kt</t>
        </is>
      </c>
      <c r="G3" s="11" t="inlineStr">
        <is>
          <t>统计口径</t>
        </is>
      </c>
      <c r="H3" s="11" t="inlineStr">
        <is>
          <t>来源ID</t>
        </is>
      </c>
    </row>
    <row r="4">
      <c r="A4" s="38" t="n">
        <v>2021</v>
      </c>
      <c r="B4" s="38" t="inlineStr">
        <is>
          <t>China</t>
        </is>
      </c>
      <c r="C4" s="39" t="n">
        <v>1648</v>
      </c>
      <c r="D4" s="40" t="n">
        <v>0.6986</v>
      </c>
      <c r="E4" s="38" t="inlineStr">
        <is>
          <t>当年出口总量</t>
        </is>
      </c>
      <c r="F4" s="38" t="n">
        <v>2359</v>
      </c>
      <c r="G4" s="38" t="inlineStr">
        <is>
          <t>UN Comtrade / WITS</t>
        </is>
      </c>
      <c r="H4" s="38" t="inlineStr">
        <is>
          <t>S01</t>
        </is>
      </c>
    </row>
    <row r="5">
      <c r="A5" s="14" t="n">
        <v>2021</v>
      </c>
      <c r="B5" s="14" t="inlineStr">
        <is>
          <t>India</t>
        </is>
      </c>
      <c r="C5" s="37" t="n">
        <v>93</v>
      </c>
      <c r="D5" s="30" t="n">
        <v>0.0394</v>
      </c>
      <c r="E5" s="14" t="inlineStr">
        <is>
          <t>当年出口总量</t>
        </is>
      </c>
      <c r="F5" s="14" t="n">
        <v>2359</v>
      </c>
      <c r="G5" s="14" t="inlineStr">
        <is>
          <t>UN Comtrade / WITS</t>
        </is>
      </c>
      <c r="H5" s="14" t="inlineStr">
        <is>
          <t>S01</t>
        </is>
      </c>
    </row>
    <row r="6">
      <c r="A6" s="12" t="n">
        <v>2021</v>
      </c>
      <c r="B6" s="12" t="inlineStr">
        <is>
          <t>Belgium</t>
        </is>
      </c>
      <c r="C6" s="36" t="n">
        <v>112</v>
      </c>
      <c r="D6" s="29" t="n">
        <v>0.0475</v>
      </c>
      <c r="E6" s="12" t="inlineStr">
        <is>
          <t>当年出口总量</t>
        </is>
      </c>
      <c r="F6" s="12" t="n">
        <v>2359</v>
      </c>
      <c r="G6" s="12" t="inlineStr">
        <is>
          <t>UN Comtrade / WITS</t>
        </is>
      </c>
      <c r="H6" s="12" t="inlineStr">
        <is>
          <t>S01</t>
        </is>
      </c>
    </row>
    <row r="7">
      <c r="A7" s="14" t="n">
        <v>2021</v>
      </c>
      <c r="B7" s="14" t="inlineStr">
        <is>
          <t>Turkey</t>
        </is>
      </c>
      <c r="C7" s="37" t="n">
        <v>72</v>
      </c>
      <c r="D7" s="30" t="n">
        <v>0.0305</v>
      </c>
      <c r="E7" s="14" t="inlineStr">
        <is>
          <t>当年出口总量</t>
        </is>
      </c>
      <c r="F7" s="14" t="n">
        <v>2359</v>
      </c>
      <c r="G7" s="14" t="inlineStr">
        <is>
          <t>UN Comtrade / WITS</t>
        </is>
      </c>
      <c r="H7" s="14" t="inlineStr">
        <is>
          <t>S01</t>
        </is>
      </c>
    </row>
    <row r="8">
      <c r="A8" s="12" t="n">
        <v>2021</v>
      </c>
      <c r="B8" s="12" t="inlineStr">
        <is>
          <t>Egypt</t>
        </is>
      </c>
      <c r="C8" s="36" t="n">
        <v>65</v>
      </c>
      <c r="D8" s="29" t="n">
        <v>0.0276</v>
      </c>
      <c r="E8" s="12" t="inlineStr">
        <is>
          <t>当年出口总量</t>
        </is>
      </c>
      <c r="F8" s="12" t="n">
        <v>2359</v>
      </c>
      <c r="G8" s="12" t="inlineStr">
        <is>
          <t>UN Comtrade / WITS</t>
        </is>
      </c>
      <c r="H8" s="12" t="inlineStr">
        <is>
          <t>S01</t>
        </is>
      </c>
    </row>
    <row r="9">
      <c r="A9" s="14" t="n">
        <v>2021</v>
      </c>
      <c r="B9" s="14" t="inlineStr">
        <is>
          <t>Spain</t>
        </is>
      </c>
      <c r="C9" s="37" t="n">
        <v>36</v>
      </c>
      <c r="D9" s="30" t="n">
        <v>0.0153</v>
      </c>
      <c r="E9" s="14" t="inlineStr">
        <is>
          <t>当年出口总量</t>
        </is>
      </c>
      <c r="F9" s="14" t="n">
        <v>2359</v>
      </c>
      <c r="G9" s="14" t="inlineStr">
        <is>
          <t>UN Comtrade / WITS</t>
        </is>
      </c>
      <c r="H9" s="14" t="inlineStr">
        <is>
          <t>S01</t>
        </is>
      </c>
    </row>
    <row r="10">
      <c r="A10" s="12" t="n">
        <v>2021</v>
      </c>
      <c r="B10" s="12" t="inlineStr">
        <is>
          <t>Indonesia</t>
        </is>
      </c>
      <c r="C10" s="36" t="n">
        <v>28</v>
      </c>
      <c r="D10" s="29" t="n">
        <v>0.0119</v>
      </c>
      <c r="E10" s="12" t="inlineStr">
        <is>
          <t>当年出口总量</t>
        </is>
      </c>
      <c r="F10" s="12" t="n">
        <v>2359</v>
      </c>
      <c r="G10" s="12" t="inlineStr">
        <is>
          <t>UN Comtrade / WITS</t>
        </is>
      </c>
      <c r="H10" s="12" t="inlineStr">
        <is>
          <t>S01</t>
        </is>
      </c>
    </row>
    <row r="11">
      <c r="A11" s="38" t="n">
        <v>2022</v>
      </c>
      <c r="B11" s="38" t="inlineStr">
        <is>
          <t>China</t>
        </is>
      </c>
      <c r="C11" s="39" t="n">
        <v>1799</v>
      </c>
      <c r="D11" s="40" t="n">
        <v>0.7443</v>
      </c>
      <c r="E11" s="38" t="inlineStr">
        <is>
          <t>当年出口总量</t>
        </is>
      </c>
      <c r="F11" s="38" t="n">
        <v>2417</v>
      </c>
      <c r="G11" s="38" t="inlineStr">
        <is>
          <t>UN Comtrade / WITS</t>
        </is>
      </c>
      <c r="H11" s="38" t="inlineStr">
        <is>
          <t>S01</t>
        </is>
      </c>
    </row>
    <row r="12">
      <c r="A12" s="12" t="n">
        <v>2022</v>
      </c>
      <c r="B12" s="12" t="inlineStr">
        <is>
          <t>Turkey</t>
        </is>
      </c>
      <c r="C12" s="36" t="n">
        <v>111</v>
      </c>
      <c r="D12" s="29" t="n">
        <v>0.0459</v>
      </c>
      <c r="E12" s="12" t="inlineStr">
        <is>
          <t>当年出口总量</t>
        </is>
      </c>
      <c r="F12" s="12" t="n">
        <v>2417</v>
      </c>
      <c r="G12" s="12" t="inlineStr">
        <is>
          <t>UN Comtrade / WITS</t>
        </is>
      </c>
      <c r="H12" s="12" t="inlineStr">
        <is>
          <t>S01</t>
        </is>
      </c>
    </row>
    <row r="13">
      <c r="A13" s="14" t="n">
        <v>2022</v>
      </c>
      <c r="B13" s="14" t="inlineStr">
        <is>
          <t>Belgium</t>
        </is>
      </c>
      <c r="C13" s="37" t="n">
        <v>99</v>
      </c>
      <c r="D13" s="30" t="n">
        <v>0.041</v>
      </c>
      <c r="E13" s="14" t="inlineStr">
        <is>
          <t>当年出口总量</t>
        </is>
      </c>
      <c r="F13" s="14" t="n">
        <v>2417</v>
      </c>
      <c r="G13" s="14" t="inlineStr">
        <is>
          <t>UN Comtrade / WITS</t>
        </is>
      </c>
      <c r="H13" s="14" t="inlineStr">
        <is>
          <t>S01</t>
        </is>
      </c>
    </row>
    <row r="14">
      <c r="A14" s="12" t="n">
        <v>2022</v>
      </c>
      <c r="B14" s="12" t="inlineStr">
        <is>
          <t>Egypt</t>
        </is>
      </c>
      <c r="C14" s="36" t="n">
        <v>70</v>
      </c>
      <c r="D14" s="29" t="n">
        <v>0.029</v>
      </c>
      <c r="E14" s="12" t="inlineStr">
        <is>
          <t>当年出口总量</t>
        </is>
      </c>
      <c r="F14" s="12" t="n">
        <v>2417</v>
      </c>
      <c r="G14" s="12" t="inlineStr">
        <is>
          <t>UN Comtrade / WITS</t>
        </is>
      </c>
      <c r="H14" s="12" t="inlineStr">
        <is>
          <t>S01</t>
        </is>
      </c>
    </row>
    <row r="15">
      <c r="A15" s="14" t="n">
        <v>2022</v>
      </c>
      <c r="B15" s="14" t="inlineStr">
        <is>
          <t>Korea</t>
        </is>
      </c>
      <c r="C15" s="37" t="n">
        <v>60</v>
      </c>
      <c r="D15" s="30" t="n">
        <v>0.0248</v>
      </c>
      <c r="E15" s="14" t="inlineStr">
        <is>
          <t>当年出口总量</t>
        </is>
      </c>
      <c r="F15" s="14" t="n">
        <v>2417</v>
      </c>
      <c r="G15" s="14" t="inlineStr">
        <is>
          <t>UN Comtrade / WITS</t>
        </is>
      </c>
      <c r="H15" s="14" t="inlineStr">
        <is>
          <t>S01</t>
        </is>
      </c>
    </row>
    <row r="16">
      <c r="A16" s="12" t="n">
        <v>2022</v>
      </c>
      <c r="B16" s="12" t="inlineStr">
        <is>
          <t>Singapore</t>
        </is>
      </c>
      <c r="C16" s="36" t="n">
        <v>57</v>
      </c>
      <c r="D16" s="29" t="n">
        <v>0.0236</v>
      </c>
      <c r="E16" s="12" t="inlineStr">
        <is>
          <t>当年出口总量</t>
        </is>
      </c>
      <c r="F16" s="12" t="n">
        <v>2417</v>
      </c>
      <c r="G16" s="12" t="inlineStr">
        <is>
          <t>UN Comtrade / WITS</t>
        </is>
      </c>
      <c r="H16" s="12" t="inlineStr">
        <is>
          <t>S01</t>
        </is>
      </c>
    </row>
    <row r="17">
      <c r="A17" s="14" t="n">
        <v>2022</v>
      </c>
      <c r="B17" s="14" t="inlineStr">
        <is>
          <t>Spain</t>
        </is>
      </c>
      <c r="C17" s="37" t="n">
        <v>53</v>
      </c>
      <c r="D17" s="30" t="n">
        <v>0.0219</v>
      </c>
      <c r="E17" s="14" t="inlineStr">
        <is>
          <t>当年出口总量</t>
        </is>
      </c>
      <c r="F17" s="14" t="n">
        <v>2417</v>
      </c>
      <c r="G17" s="14" t="inlineStr">
        <is>
          <t>UN Comtrade / WITS</t>
        </is>
      </c>
      <c r="H17" s="14" t="inlineStr">
        <is>
          <t>S01</t>
        </is>
      </c>
    </row>
    <row r="18">
      <c r="A18" s="12" t="n">
        <v>2022</v>
      </c>
      <c r="B18" s="12" t="inlineStr">
        <is>
          <t>United Arab Emirates</t>
        </is>
      </c>
      <c r="C18" s="36" t="n">
        <v>50</v>
      </c>
      <c r="D18" s="29" t="n">
        <v>0.0207</v>
      </c>
      <c r="E18" s="12" t="inlineStr">
        <is>
          <t>当年出口总量</t>
        </is>
      </c>
      <c r="F18" s="12" t="n">
        <v>2417</v>
      </c>
      <c r="G18" s="12" t="inlineStr">
        <is>
          <t>UN Comtrade / WITS</t>
        </is>
      </c>
      <c r="H18" s="12" t="inlineStr">
        <is>
          <t>S01</t>
        </is>
      </c>
    </row>
    <row r="19">
      <c r="A19" s="38" t="n">
        <v>2023</v>
      </c>
      <c r="B19" s="38" t="inlineStr">
        <is>
          <t>China</t>
        </is>
      </c>
      <c r="C19" s="39" t="n">
        <v>2336</v>
      </c>
      <c r="D19" s="40" t="n">
        <v>0.5953000000000001</v>
      </c>
      <c r="E19" s="38" t="inlineStr">
        <is>
          <t>当年出口总量</t>
        </is>
      </c>
      <c r="F19" s="38" t="n">
        <v>3924</v>
      </c>
      <c r="G19" s="38" t="inlineStr">
        <is>
          <t>UN Comtrade / WITS</t>
        </is>
      </c>
      <c r="H19" s="38" t="inlineStr">
        <is>
          <t>S01</t>
        </is>
      </c>
    </row>
    <row r="20">
      <c r="A20" s="12" t="n">
        <v>2023</v>
      </c>
      <c r="B20" s="12" t="inlineStr">
        <is>
          <t>India</t>
        </is>
      </c>
      <c r="C20" s="36" t="n">
        <v>211</v>
      </c>
      <c r="D20" s="29" t="n">
        <v>0.0538</v>
      </c>
      <c r="E20" s="12" t="inlineStr">
        <is>
          <t>当年出口总量</t>
        </is>
      </c>
      <c r="F20" s="12" t="n">
        <v>3924</v>
      </c>
      <c r="G20" s="12" t="inlineStr">
        <is>
          <t>UN Comtrade / WITS</t>
        </is>
      </c>
      <c r="H20" s="12" t="inlineStr">
        <is>
          <t>S01</t>
        </is>
      </c>
    </row>
    <row r="21">
      <c r="A21" s="14" t="n">
        <v>2023</v>
      </c>
      <c r="B21" s="14" t="inlineStr">
        <is>
          <t>Turkey</t>
        </is>
      </c>
      <c r="C21" s="37" t="n">
        <v>196</v>
      </c>
      <c r="D21" s="30" t="n">
        <v>0.0499</v>
      </c>
      <c r="E21" s="14" t="inlineStr">
        <is>
          <t>当年出口总量</t>
        </is>
      </c>
      <c r="F21" s="14" t="n">
        <v>3924</v>
      </c>
      <c r="G21" s="14" t="inlineStr">
        <is>
          <t>UN Comtrade / WITS</t>
        </is>
      </c>
      <c r="H21" s="14" t="inlineStr">
        <is>
          <t>S01</t>
        </is>
      </c>
    </row>
    <row r="22">
      <c r="A22" s="12" t="n">
        <v>2023</v>
      </c>
      <c r="B22" s="12" t="inlineStr">
        <is>
          <t>Indonesia</t>
        </is>
      </c>
      <c r="C22" s="36" t="n">
        <v>175</v>
      </c>
      <c r="D22" s="29" t="n">
        <v>0.0446</v>
      </c>
      <c r="E22" s="12" t="inlineStr">
        <is>
          <t>当年出口总量</t>
        </is>
      </c>
      <c r="F22" s="12" t="n">
        <v>3924</v>
      </c>
      <c r="G22" s="12" t="inlineStr">
        <is>
          <t>UN Comtrade / WITS</t>
        </is>
      </c>
      <c r="H22" s="12" t="inlineStr">
        <is>
          <t>S01</t>
        </is>
      </c>
    </row>
    <row r="23">
      <c r="A23" s="14" t="n">
        <v>2023</v>
      </c>
      <c r="B23" s="14" t="inlineStr">
        <is>
          <t>Belgium</t>
        </is>
      </c>
      <c r="C23" s="37" t="n">
        <v>152</v>
      </c>
      <c r="D23" s="30" t="n">
        <v>0.0387</v>
      </c>
      <c r="E23" s="14" t="inlineStr">
        <is>
          <t>当年出口总量</t>
        </is>
      </c>
      <c r="F23" s="14" t="n">
        <v>3924</v>
      </c>
      <c r="G23" s="14" t="inlineStr">
        <is>
          <t>UN Comtrade / WITS</t>
        </is>
      </c>
      <c r="H23" s="14" t="inlineStr">
        <is>
          <t>S01</t>
        </is>
      </c>
    </row>
    <row r="24">
      <c r="A24" s="12" t="n">
        <v>2023</v>
      </c>
      <c r="B24" s="12" t="inlineStr">
        <is>
          <t>Egypt</t>
        </is>
      </c>
      <c r="C24" s="36" t="n">
        <v>158</v>
      </c>
      <c r="D24" s="29" t="n">
        <v>0.0403</v>
      </c>
      <c r="E24" s="12" t="inlineStr">
        <is>
          <t>当年出口总量</t>
        </is>
      </c>
      <c r="F24" s="12" t="n">
        <v>3924</v>
      </c>
      <c r="G24" s="12" t="inlineStr">
        <is>
          <t>UN Comtrade / WITS</t>
        </is>
      </c>
      <c r="H24" s="12" t="inlineStr">
        <is>
          <t>S01</t>
        </is>
      </c>
    </row>
    <row r="25">
      <c r="A25" s="14" t="n">
        <v>2023</v>
      </c>
      <c r="B25" s="14" t="inlineStr">
        <is>
          <t>Vietnam</t>
        </is>
      </c>
      <c r="C25" s="37" t="n">
        <v>94</v>
      </c>
      <c r="D25" s="30" t="n">
        <v>0.024</v>
      </c>
      <c r="E25" s="14" t="inlineStr">
        <is>
          <t>当年出口总量</t>
        </is>
      </c>
      <c r="F25" s="14" t="n">
        <v>3924</v>
      </c>
      <c r="G25" s="14" t="inlineStr">
        <is>
          <t>UN Comtrade / WITS</t>
        </is>
      </c>
      <c r="H25" s="14" t="inlineStr">
        <is>
          <t>S01</t>
        </is>
      </c>
    </row>
    <row r="26">
      <c r="A26" s="12" t="n">
        <v>2023</v>
      </c>
      <c r="B26" s="12" t="inlineStr">
        <is>
          <t>Singapore</t>
        </is>
      </c>
      <c r="C26" s="36" t="n">
        <v>79</v>
      </c>
      <c r="D26" s="29" t="n">
        <v>0.0201</v>
      </c>
      <c r="E26" s="12" t="inlineStr">
        <is>
          <t>当年出口总量</t>
        </is>
      </c>
      <c r="F26" s="12" t="n">
        <v>3924</v>
      </c>
      <c r="G26" s="12" t="inlineStr">
        <is>
          <t>UN Comtrade / WITS</t>
        </is>
      </c>
      <c r="H26" s="12" t="inlineStr">
        <is>
          <t>S01</t>
        </is>
      </c>
    </row>
    <row r="27">
      <c r="A27" s="38" t="n">
        <v>2024</v>
      </c>
      <c r="B27" s="38" t="inlineStr">
        <is>
          <t>China</t>
        </is>
      </c>
      <c r="C27" s="39" t="n">
        <v>3356</v>
      </c>
      <c r="D27" s="40" t="n">
        <v>0.5574</v>
      </c>
      <c r="E27" s="38" t="inlineStr">
        <is>
          <t>当年出口总量</t>
        </is>
      </c>
      <c r="F27" s="38" t="n">
        <v>6021</v>
      </c>
      <c r="G27" s="38" t="inlineStr">
        <is>
          <t>UN Comtrade / WITS</t>
        </is>
      </c>
      <c r="H27" s="38" t="inlineStr">
        <is>
          <t>S01</t>
        </is>
      </c>
    </row>
    <row r="28">
      <c r="A28" s="12" t="n">
        <v>2024</v>
      </c>
      <c r="B28" s="12" t="inlineStr">
        <is>
          <t>India</t>
        </is>
      </c>
      <c r="C28" s="36" t="n">
        <v>406</v>
      </c>
      <c r="D28" s="29" t="n">
        <v>0.0674</v>
      </c>
      <c r="E28" s="12" t="inlineStr">
        <is>
          <t>当年出口总量</t>
        </is>
      </c>
      <c r="F28" s="12" t="n">
        <v>6021</v>
      </c>
      <c r="G28" s="12" t="inlineStr">
        <is>
          <t>UN Comtrade / WITS</t>
        </is>
      </c>
      <c r="H28" s="12" t="inlineStr">
        <is>
          <t>S01</t>
        </is>
      </c>
    </row>
    <row r="29">
      <c r="A29" s="14" t="n">
        <v>2024</v>
      </c>
      <c r="B29" s="14" t="inlineStr">
        <is>
          <t>Indonesia</t>
        </is>
      </c>
      <c r="C29" s="37" t="n">
        <v>357</v>
      </c>
      <c r="D29" s="30" t="n">
        <v>0.0593</v>
      </c>
      <c r="E29" s="14" t="inlineStr">
        <is>
          <t>当年出口总量</t>
        </is>
      </c>
      <c r="F29" s="14" t="n">
        <v>6021</v>
      </c>
      <c r="G29" s="14" t="inlineStr">
        <is>
          <t>UN Comtrade / WITS</t>
        </is>
      </c>
      <c r="H29" s="14" t="inlineStr">
        <is>
          <t>S01</t>
        </is>
      </c>
    </row>
    <row r="30">
      <c r="A30" s="12" t="n">
        <v>2024</v>
      </c>
      <c r="B30" s="12" t="inlineStr">
        <is>
          <t>Egypt</t>
        </is>
      </c>
      <c r="C30" s="36" t="n">
        <v>247</v>
      </c>
      <c r="D30" s="29" t="n">
        <v>0.041</v>
      </c>
      <c r="E30" s="12" t="inlineStr">
        <is>
          <t>当年出口总量</t>
        </is>
      </c>
      <c r="F30" s="12" t="n">
        <v>6021</v>
      </c>
      <c r="G30" s="12" t="inlineStr">
        <is>
          <t>UN Comtrade / WITS</t>
        </is>
      </c>
      <c r="H30" s="12" t="inlineStr">
        <is>
          <t>S01</t>
        </is>
      </c>
    </row>
    <row r="31">
      <c r="A31" s="14" t="n">
        <v>2024</v>
      </c>
      <c r="B31" s="14" t="inlineStr">
        <is>
          <t>Belgium</t>
        </is>
      </c>
      <c r="C31" s="37" t="n">
        <v>240</v>
      </c>
      <c r="D31" s="30" t="n">
        <v>0.0399</v>
      </c>
      <c r="E31" s="14" t="inlineStr">
        <is>
          <t>当年出口总量</t>
        </is>
      </c>
      <c r="F31" s="14" t="n">
        <v>6021</v>
      </c>
      <c r="G31" s="14" t="inlineStr">
        <is>
          <t>UN Comtrade / WITS</t>
        </is>
      </c>
      <c r="H31" s="14" t="inlineStr">
        <is>
          <t>S01</t>
        </is>
      </c>
    </row>
    <row r="32">
      <c r="A32" s="12" t="n">
        <v>2024</v>
      </c>
      <c r="B32" s="12" t="inlineStr">
        <is>
          <t>Korea</t>
        </is>
      </c>
      <c r="C32" s="36" t="n">
        <v>183</v>
      </c>
      <c r="D32" s="29" t="n">
        <v>0.0304</v>
      </c>
      <c r="E32" s="12" t="inlineStr">
        <is>
          <t>当年出口总量</t>
        </is>
      </c>
      <c r="F32" s="12" t="n">
        <v>6021</v>
      </c>
      <c r="G32" s="12" t="inlineStr">
        <is>
          <t>UN Comtrade / WITS</t>
        </is>
      </c>
      <c r="H32" s="12" t="inlineStr">
        <is>
          <t>S01</t>
        </is>
      </c>
    </row>
    <row r="33">
      <c r="A33" s="14" t="n">
        <v>2024</v>
      </c>
      <c r="B33" s="14" t="inlineStr">
        <is>
          <t>Pakistan</t>
        </is>
      </c>
      <c r="C33" s="37" t="n">
        <v>169</v>
      </c>
      <c r="D33" s="30" t="n">
        <v>0.0281</v>
      </c>
      <c r="E33" s="14" t="inlineStr">
        <is>
          <t>当年出口总量</t>
        </is>
      </c>
      <c r="F33" s="14" t="n">
        <v>6021</v>
      </c>
      <c r="G33" s="14" t="inlineStr">
        <is>
          <t>UN Comtrade / WITS</t>
        </is>
      </c>
      <c r="H33" s="14" t="inlineStr">
        <is>
          <t>S01</t>
        </is>
      </c>
    </row>
    <row r="34">
      <c r="A34" s="12" t="n">
        <v>2024</v>
      </c>
      <c r="B34" s="12" t="inlineStr">
        <is>
          <t>Spain</t>
        </is>
      </c>
      <c r="C34" s="36" t="n">
        <v>162</v>
      </c>
      <c r="D34" s="29" t="n">
        <v>0.0269</v>
      </c>
      <c r="E34" s="12" t="inlineStr">
        <is>
          <t>当年出口总量</t>
        </is>
      </c>
      <c r="F34" s="12" t="n">
        <v>6021</v>
      </c>
      <c r="G34" s="12" t="inlineStr">
        <is>
          <t>UN Comtrade / WITS</t>
        </is>
      </c>
      <c r="H34" s="12" t="inlineStr">
        <is>
          <t>S01</t>
        </is>
      </c>
    </row>
    <row r="35">
      <c r="A35" s="14" t="n">
        <v>2024</v>
      </c>
      <c r="B35" s="14" t="inlineStr">
        <is>
          <t>Turkey</t>
        </is>
      </c>
      <c r="C35" s="37" t="n">
        <v>160</v>
      </c>
      <c r="D35" s="30" t="n">
        <v>0.0266</v>
      </c>
      <c r="E35" s="14" t="inlineStr">
        <is>
          <t>当年出口总量</t>
        </is>
      </c>
      <c r="F35" s="14" t="n">
        <v>6021</v>
      </c>
      <c r="G35" s="14" t="inlineStr">
        <is>
          <t>UN Comtrade / WITS</t>
        </is>
      </c>
      <c r="H35" s="14" t="inlineStr">
        <is>
          <t>S01</t>
        </is>
      </c>
    </row>
    <row r="36">
      <c r="A36" s="12" t="n">
        <v>2024</v>
      </c>
      <c r="B36" s="12" t="inlineStr">
        <is>
          <t>Vietnam</t>
        </is>
      </c>
      <c r="C36" s="36" t="n">
        <v>157</v>
      </c>
      <c r="D36" s="29" t="n">
        <v>0.0261</v>
      </c>
      <c r="E36" s="12" t="inlineStr">
        <is>
          <t>当年出口总量</t>
        </is>
      </c>
      <c r="F36" s="12" t="n">
        <v>6021</v>
      </c>
      <c r="G36" s="12" t="inlineStr">
        <is>
          <t>UN Comtrade / WITS</t>
        </is>
      </c>
      <c r="H36" s="12" t="inlineStr">
        <is>
          <t>S01</t>
        </is>
      </c>
    </row>
    <row r="37">
      <c r="A37" s="38" t="n">
        <v>2025</v>
      </c>
      <c r="B37" s="38" t="inlineStr">
        <is>
          <t>China</t>
        </is>
      </c>
      <c r="C37" s="39" t="n">
        <v>4042</v>
      </c>
      <c r="D37" s="40" t="n">
        <v>0.6343</v>
      </c>
      <c r="E37" s="38" t="inlineStr">
        <is>
          <t>当年出口总量</t>
        </is>
      </c>
      <c r="F37" s="38" t="n">
        <v>6372</v>
      </c>
      <c r="G37" s="38" t="inlineStr">
        <is>
          <t>UN Comtrade / WITS</t>
        </is>
      </c>
      <c r="H37" s="38" t="inlineStr">
        <is>
          <t>S01</t>
        </is>
      </c>
    </row>
    <row r="38">
      <c r="A38" s="12" t="n">
        <v>2025</v>
      </c>
      <c r="B38" s="12" t="inlineStr">
        <is>
          <t>India</t>
        </is>
      </c>
      <c r="C38" s="36" t="n">
        <v>368</v>
      </c>
      <c r="D38" s="29" t="n">
        <v>0.0578</v>
      </c>
      <c r="E38" s="12" t="inlineStr">
        <is>
          <t>当年出口总量</t>
        </is>
      </c>
      <c r="F38" s="12" t="n">
        <v>6372</v>
      </c>
      <c r="G38" s="12" t="inlineStr">
        <is>
          <t>UN Comtrade / WITS</t>
        </is>
      </c>
      <c r="H38" s="12" t="inlineStr">
        <is>
          <t>S01</t>
        </is>
      </c>
    </row>
    <row r="39">
      <c r="A39" s="14" t="n">
        <v>2025</v>
      </c>
      <c r="B39" s="14" t="inlineStr">
        <is>
          <t>Egypt</t>
        </is>
      </c>
      <c r="C39" s="37" t="n">
        <v>273</v>
      </c>
      <c r="D39" s="30" t="n">
        <v>0.0428</v>
      </c>
      <c r="E39" s="14" t="inlineStr">
        <is>
          <t>当年出口总量</t>
        </is>
      </c>
      <c r="F39" s="14" t="n">
        <v>6372</v>
      </c>
      <c r="G39" s="14" t="inlineStr">
        <is>
          <t>UN Comtrade / WITS</t>
        </is>
      </c>
      <c r="H39" s="14" t="inlineStr">
        <is>
          <t>S01</t>
        </is>
      </c>
    </row>
    <row r="40">
      <c r="A40" s="12" t="n">
        <v>2025</v>
      </c>
      <c r="B40" s="12" t="inlineStr">
        <is>
          <t>Indonesia</t>
        </is>
      </c>
      <c r="C40" s="36" t="n">
        <v>232</v>
      </c>
      <c r="D40" s="29" t="n">
        <v>0.0364</v>
      </c>
      <c r="E40" s="12" t="inlineStr">
        <is>
          <t>当年出口总量</t>
        </is>
      </c>
      <c r="F40" s="12" t="n">
        <v>6372</v>
      </c>
      <c r="G40" s="12" t="inlineStr">
        <is>
          <t>UN Comtrade / WITS</t>
        </is>
      </c>
      <c r="H40" s="12" t="inlineStr">
        <is>
          <t>S01</t>
        </is>
      </c>
    </row>
    <row r="41">
      <c r="A41" s="14" t="n">
        <v>2025</v>
      </c>
      <c r="B41" s="14" t="inlineStr">
        <is>
          <t>Turkey</t>
        </is>
      </c>
      <c r="C41" s="37" t="n">
        <v>186</v>
      </c>
      <c r="D41" s="30" t="n">
        <v>0.0292</v>
      </c>
      <c r="E41" s="14" t="inlineStr">
        <is>
          <t>当年出口总量</t>
        </is>
      </c>
      <c r="F41" s="14" t="n">
        <v>6372</v>
      </c>
      <c r="G41" s="14" t="inlineStr">
        <is>
          <t>UN Comtrade / WITS</t>
        </is>
      </c>
      <c r="H41" s="14" t="inlineStr">
        <is>
          <t>S01</t>
        </is>
      </c>
    </row>
    <row r="42">
      <c r="A42" s="12" t="n">
        <v>2025</v>
      </c>
      <c r="B42" s="12" t="inlineStr">
        <is>
          <t>Vietnam</t>
        </is>
      </c>
      <c r="C42" s="36" t="n">
        <v>187</v>
      </c>
      <c r="D42" s="29" t="n">
        <v>0.0293</v>
      </c>
      <c r="E42" s="12" t="inlineStr">
        <is>
          <t>当年出口总量</t>
        </is>
      </c>
      <c r="F42" s="12" t="n">
        <v>6372</v>
      </c>
      <c r="G42" s="12" t="inlineStr">
        <is>
          <t>UN Comtrade / WITS</t>
        </is>
      </c>
      <c r="H42" s="12" t="inlineStr">
        <is>
          <t>S01</t>
        </is>
      </c>
    </row>
    <row r="43">
      <c r="A43" s="14" t="n">
        <v>2025</v>
      </c>
      <c r="B43" s="14" t="inlineStr">
        <is>
          <t>Korea</t>
        </is>
      </c>
      <c r="C43" s="37" t="n">
        <v>182</v>
      </c>
      <c r="D43" s="30" t="n">
        <v>0.0286</v>
      </c>
      <c r="E43" s="14" t="inlineStr">
        <is>
          <t>当年出口总量</t>
        </is>
      </c>
      <c r="F43" s="14" t="n">
        <v>6372</v>
      </c>
      <c r="G43" s="14" t="inlineStr">
        <is>
          <t>UN Comtrade / WITS</t>
        </is>
      </c>
      <c r="H43" s="14" t="inlineStr">
        <is>
          <t>S01</t>
        </is>
      </c>
    </row>
    <row r="44">
      <c r="A44" s="12" t="n">
        <v>2025</v>
      </c>
      <c r="B44" s="12" t="inlineStr">
        <is>
          <t>Italy</t>
        </is>
      </c>
      <c r="C44" s="36" t="n">
        <v>170</v>
      </c>
      <c r="D44" s="29" t="n">
        <v>0.0267</v>
      </c>
      <c r="E44" s="12" t="inlineStr">
        <is>
          <t>当年出口总量</t>
        </is>
      </c>
      <c r="F44" s="12" t="n">
        <v>6372</v>
      </c>
      <c r="G44" s="12" t="inlineStr">
        <is>
          <t>UN Comtrade / WITS</t>
        </is>
      </c>
      <c r="H44" s="12" t="inlineStr">
        <is>
          <t>S01</t>
        </is>
      </c>
    </row>
    <row r="45">
      <c r="A45" s="14" t="n">
        <v>2025</v>
      </c>
      <c r="B45" s="14" t="inlineStr">
        <is>
          <t>Pakistan</t>
        </is>
      </c>
      <c r="C45" s="37" t="n">
        <v>153</v>
      </c>
      <c r="D45" s="30" t="n">
        <v>0.024</v>
      </c>
      <c r="E45" s="14" t="inlineStr">
        <is>
          <t>当年出口总量</t>
        </is>
      </c>
      <c r="F45" s="14" t="n">
        <v>6372</v>
      </c>
      <c r="G45" s="14" t="inlineStr">
        <is>
          <t>UN Comtrade / WITS</t>
        </is>
      </c>
      <c r="H45" s="14" t="inlineStr">
        <is>
          <t>S01</t>
        </is>
      </c>
    </row>
    <row r="46">
      <c r="A46" s="12" t="n">
        <v>2025</v>
      </c>
      <c r="B46" s="12" t="inlineStr">
        <is>
          <t>Spain</t>
        </is>
      </c>
      <c r="C46" s="36" t="n">
        <v>150</v>
      </c>
      <c r="D46" s="29" t="n">
        <v>0.0235</v>
      </c>
      <c r="E46" s="12" t="inlineStr">
        <is>
          <t>当年出口总量</t>
        </is>
      </c>
      <c r="F46" s="12" t="n">
        <v>6372</v>
      </c>
      <c r="G46" s="12" t="inlineStr">
        <is>
          <t>UN Comtrade / WITS</t>
        </is>
      </c>
      <c r="H46" s="12" t="inlineStr">
        <is>
          <t>S01</t>
        </is>
      </c>
    </row>
  </sheetData>
  <autoFilter ref="A3:H46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30" customWidth="1" min="4" max="4"/>
    <col width="9" customWidth="1" min="5" max="5"/>
    <col width="9" customWidth="1" min="6" max="6"/>
    <col width="78" customWidth="1" min="7" max="7"/>
    <col width="18" customWidth="1" min="8" max="8"/>
  </cols>
  <sheetData>
    <row r="1" ht="26" customHeight="1">
      <c r="A1" s="1" t="inlineStr">
        <is>
          <t>出口港口（第一部分）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工业港与商业港分工；经纬度用于 HTML 地图定位。</t>
        </is>
      </c>
      <c r="B2" s="2" t="n"/>
      <c r="C2" s="2" t="n"/>
      <c r="D2" s="2" t="n"/>
      <c r="E2" s="2" t="n"/>
      <c r="F2" s="2" t="n"/>
      <c r="G2" s="2" t="n"/>
      <c r="H2" s="3" t="n"/>
    </row>
    <row r="3" ht="30" customHeight="1">
      <c r="A3" s="11" t="inlineStr">
        <is>
          <t>ID</t>
        </is>
      </c>
      <c r="B3" s="11" t="inlineStr">
        <is>
          <t>港口</t>
        </is>
      </c>
      <c r="C3" s="11" t="inlineStr">
        <is>
          <t>海岸</t>
        </is>
      </c>
      <c r="D3" s="11" t="inlineStr">
        <is>
          <t>服务定位</t>
        </is>
      </c>
      <c r="E3" s="11" t="inlineStr">
        <is>
          <t>纬度</t>
        </is>
      </c>
      <c r="F3" s="11" t="inlineStr">
        <is>
          <t>经度</t>
        </is>
      </c>
      <c r="G3" s="11" t="inlineStr">
        <is>
          <t>基础设施与证据</t>
        </is>
      </c>
      <c r="H3" s="11" t="inlineStr">
        <is>
          <t>来源ID</t>
        </is>
      </c>
    </row>
    <row r="4">
      <c r="A4" s="12" t="inlineStr">
        <is>
          <t>PT1</t>
        </is>
      </c>
      <c r="B4" s="12" t="inlineStr">
        <is>
          <t>King Fahd Industrial Port, Jubail（法赫德国王工业港-朱拜勒）</t>
        </is>
      </c>
      <c r="C4" s="12" t="inlineStr">
        <is>
          <t>波斯湾</t>
        </is>
      </c>
      <c r="D4" s="12" t="inlineStr">
        <is>
          <t>东部石化基地的工业散液与液体化工主出运港</t>
        </is>
      </c>
      <c r="E4" s="12" t="n">
        <v>27.03</v>
      </c>
      <c r="F4" s="12" t="n">
        <v>49.68</v>
      </c>
      <c r="G4" s="12" t="inlineStr">
        <is>
          <t>与朱拜勒商业港(Jubail Commercial Port)分工：工业港服务园区散货与液体化学品；Vopak-SABIC 合资罐区初期容量约 25 万 m³（2015 年初建成）。朱拜勒商业港由 ACT 运营化学品罐区并持续扩建（新增 13 罐）。</t>
        </is>
      </c>
      <c r="H4" s="12" t="inlineStr">
        <is>
          <t>S31、S32、S33</t>
        </is>
      </c>
    </row>
    <row r="5">
      <c r="A5" s="14" t="inlineStr">
        <is>
          <t>PT2</t>
        </is>
      </c>
      <c r="B5" s="14" t="inlineStr">
        <is>
          <t>Jubail Commercial Port（朱拜勒商业港）</t>
        </is>
      </c>
      <c r="C5" s="14" t="inlineStr">
        <is>
          <t>波斯湾</t>
        </is>
      </c>
      <c r="D5" s="14" t="inlineStr">
        <is>
          <t>化学品/石化品罐区与集装箱/杂货</t>
        </is>
      </c>
      <c r="E5" s="14" t="n">
        <v>27.02</v>
      </c>
      <c r="F5" s="14" t="n">
        <v>49.63</v>
      </c>
      <c r="G5" s="14" t="inlineStr">
        <is>
          <t>Mawani 与 ACT 合作建设化工罐区（投资&gt;5 亿里亚尔，4.9 万 m²）。</t>
        </is>
      </c>
      <c r="H5" s="14" t="inlineStr">
        <is>
          <t>S32、S33</t>
        </is>
      </c>
    </row>
    <row r="6">
      <c r="A6" s="12" t="inlineStr">
        <is>
          <t>PT3</t>
        </is>
      </c>
      <c r="B6" s="12" t="inlineStr">
        <is>
          <t>King Fahad Industrial Port, Yanbu（法赫德国王工业港-延布）</t>
        </is>
      </c>
      <c r="C6" s="12" t="inlineStr">
        <is>
          <t>红海</t>
        </is>
      </c>
      <c r="D6" s="12" t="inlineStr">
        <is>
          <t>红海侧最大石油与石化出口港</t>
        </is>
      </c>
      <c r="E6" s="12" t="n">
        <v>23.95</v>
      </c>
      <c r="F6" s="12" t="n">
        <v>38.2</v>
      </c>
      <c r="G6" s="12" t="inlineStr">
        <is>
          <t>总岸线约 25 km、面积约 50 km²、约 34 个泊位；2024 年出港货量约占沙特全部港口出口的 51.1%（约 1.14 亿吨），为王国第一大出口港。2026 年 8 月延布出口一度中断。</t>
        </is>
      </c>
      <c r="H6" s="12" t="inlineStr">
        <is>
          <t>S29、S30、S44</t>
        </is>
      </c>
    </row>
    <row r="7">
      <c r="A7" s="14" t="inlineStr">
        <is>
          <t>PT4</t>
        </is>
      </c>
      <c r="B7" s="14" t="inlineStr">
        <is>
          <t>Rabigh（拉比格港/泊位）</t>
        </is>
      </c>
      <c r="C7" s="14" t="inlineStr">
        <is>
          <t>红海</t>
        </is>
      </c>
      <c r="D7" s="14" t="inlineStr">
        <is>
          <t>Petro Rabigh 出口通道</t>
        </is>
      </c>
      <c r="E7" s="14" t="n">
        <v>22.81</v>
      </c>
      <c r="F7" s="14" t="n">
        <v>39.02</v>
      </c>
      <c r="G7" s="14" t="inlineStr">
        <is>
          <t>Petro Rabigh 以自有码头/泊位出运液体化工品；公开资料未给出独立液体化工泊位的明确吨位数据（待核实）。</t>
        </is>
      </c>
      <c r="H7" s="14" t="inlineStr">
        <is>
          <t>S12、S13</t>
        </is>
      </c>
    </row>
    <row r="9">
      <c r="A9" s="24" t="inlineStr">
        <is>
          <t>至中国主要港口的路线条件</t>
        </is>
      </c>
    </row>
    <row r="10" ht="30" customHeight="1">
      <c r="A10" s="11" t="inlineStr">
        <is>
          <t>装货地</t>
        </is>
      </c>
      <c r="B10" s="11" t="inlineStr">
        <is>
          <t>航线（经）</t>
        </is>
      </c>
      <c r="C10" s="11" t="inlineStr">
        <is>
          <t>航程</t>
        </is>
      </c>
      <c r="D10" s="11" t="inlineStr">
        <is>
          <t>2026 年状态</t>
        </is>
      </c>
      <c r="E10" s="11" t="inlineStr">
        <is>
          <t>来源ID</t>
        </is>
      </c>
    </row>
    <row r="11">
      <c r="A11" s="12" t="inlineStr">
        <is>
          <t>Jubail（波斯湾）</t>
        </is>
      </c>
      <c r="B11" s="12" t="inlineStr">
        <is>
          <t>霍尔木兹海峡 → 马六甲 → 南海</t>
        </is>
      </c>
      <c r="C11" s="12" t="inlineStr">
        <is>
          <t>20–28 天（含等泊）</t>
        </is>
      </c>
      <c r="D11" s="12" t="inlineStr">
        <is>
          <t>2026 年 3 月-6 月中霍尔木兹有效关闭，东海岸 MEG 基本停发；6 月下旬起化学品船逐步恢复通行</t>
        </is>
      </c>
      <c r="E11" s="12" t="inlineStr">
        <is>
          <t>S17、S27</t>
        </is>
      </c>
    </row>
    <row r="12">
      <c r="A12" s="14" t="inlineStr">
        <is>
          <t>Yanbu/Rabigh（红海）</t>
        </is>
      </c>
      <c r="B12" s="14" t="inlineStr">
        <is>
          <t>Bab el-Mandeb → 亚丁湾 → 印度洋 → 马六甲</t>
        </is>
      </c>
      <c r="C12" s="14" t="inlineStr">
        <is>
          <t>18–25 天</t>
        </is>
      </c>
      <c r="D12" s="14" t="inlineStr">
        <is>
          <t>自 2026 年二季度起对华 40–50 kt/月；2026-08-11 曼德海峡袭击后战争险升至约 3%，部分改经苏伊士或转售东南亚</t>
        </is>
      </c>
      <c r="E12" s="14" t="inlineStr">
        <is>
          <t>S18</t>
        </is>
      </c>
    </row>
    <row r="13">
      <c r="A13" s="12" t="inlineStr">
        <is>
          <t>Yanbu/Rabigh（红海）</t>
        </is>
      </c>
      <c r="B13" s="12" t="inlineStr">
        <is>
          <t>苏伊士运河 → 地中海 → 绕行好望角/直布罗陀（替代路径）</t>
        </is>
      </c>
      <c r="C13" s="12" t="inlineStr">
        <is>
          <t>35–45 天</t>
        </is>
      </c>
      <c r="D13" s="12" t="inlineStr">
        <is>
          <t>2026 年 7-8 月部分西海岸货改道苏伊士</t>
        </is>
      </c>
      <c r="E13" s="12" t="inlineStr">
        <is>
          <t>S18</t>
        </is>
      </c>
    </row>
    <row r="14">
      <c r="A14" s="24" t="inlineStr">
        <is>
          <t>船型与运保条件</t>
        </is>
      </c>
    </row>
    <row r="15">
      <c r="A15" s="34" t="inlineStr">
        <is>
          <t>典型船型</t>
        </is>
      </c>
      <c r="B15" s="41" t="inlineStr">
        <is>
          <t>25,000–26,000 DWT 不锈钢化学品船</t>
        </is>
      </c>
      <c r="C15" s="2" t="n"/>
      <c r="D15" s="2" t="n"/>
      <c r="E15" s="2" t="n"/>
      <c r="F15" s="2" t="n"/>
      <c r="G15" s="2" t="n"/>
      <c r="H15" s="3" t="n"/>
    </row>
    <row r="16">
      <c r="A16" s="34" t="inlineStr">
        <is>
          <t>单航次货量</t>
        </is>
      </c>
      <c r="B16" s="41" t="inlineStr">
        <is>
          <t>约 22,000–25,000 吨</t>
        </is>
      </c>
      <c r="C16" s="2" t="n"/>
      <c r="D16" s="2" t="n"/>
      <c r="E16" s="2" t="n"/>
      <c r="F16" s="2" t="n"/>
      <c r="G16" s="2" t="n"/>
      <c r="H16" s="3" t="n"/>
    </row>
    <row r="17">
      <c r="A17" s="34" t="inlineStr">
        <is>
          <t>运费序列</t>
        </is>
      </c>
      <c r="B17" s="41" t="inlineStr">
        <is>
          <t>【数据缺口】未取得可公开核验的分航线散水运价序列</t>
        </is>
      </c>
      <c r="C17" s="2" t="n"/>
      <c r="D17" s="2" t="n"/>
      <c r="E17" s="2" t="n"/>
      <c r="F17" s="2" t="n"/>
      <c r="G17" s="2" t="n"/>
      <c r="H17" s="3" t="n"/>
    </row>
    <row r="18">
      <c r="A18" s="34" t="inlineStr">
        <is>
          <t>2026 年运保变化</t>
        </is>
      </c>
      <c r="B18" s="41" t="inlineStr">
        <is>
          <t>战争险保费 0.3%→约 3%；单船每航次 +135 万美元 ≈ +55 美元/吨；综合增加数十至 100 美元/吨</t>
        </is>
      </c>
      <c r="C18" s="2" t="n"/>
      <c r="D18" s="2" t="n"/>
      <c r="E18" s="2" t="n"/>
      <c r="F18" s="2" t="n"/>
      <c r="G18" s="2" t="n"/>
      <c r="H18" s="3" t="n"/>
    </row>
    <row r="19">
      <c r="A19" s="34" t="inlineStr">
        <is>
          <t>中国目的港</t>
        </is>
      </c>
      <c r="B19" s="41" t="inlineStr">
        <is>
          <t>宁波/舟山（华东最大 MEG 接卸与库存地之一）；太仓/张家港/南通/江阴（长江口）（长江流域聚酯企业主要接卸点）；天津/青岛（北方聚酯与防冻液用户）</t>
        </is>
      </c>
      <c r="C19" s="2" t="n"/>
      <c r="D19" s="2" t="n"/>
      <c r="E19" s="2" t="n"/>
      <c r="F19" s="2" t="n"/>
      <c r="G19" s="2" t="n"/>
      <c r="H19" s="3" t="n"/>
    </row>
  </sheetData>
  <autoFilter ref="A3:H7"/>
  <mergeCells count="7">
    <mergeCell ref="B17:H17"/>
    <mergeCell ref="B18:H18"/>
    <mergeCell ref="A2:H2"/>
    <mergeCell ref="B16:H16"/>
    <mergeCell ref="B15:H15"/>
    <mergeCell ref="A1:H1"/>
    <mergeCell ref="B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96" customWidth="1" min="4" max="4"/>
    <col width="18" customWidth="1" min="5" max="5"/>
    <col width="20" customWidth="1" min="6" max="6"/>
  </cols>
  <sheetData>
    <row r="1" ht="26" customHeight="1">
      <c r="A1" s="1" t="inlineStr">
        <is>
          <t>与生产、出口有关的政策与监管要求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分两类：出口国（沙特）制度条件 与 进口方（中国）+ 贸易救济/合规条件；标「需官网复核」的为常识性监管事实，签约前必须以官方最新公告核定。</t>
        </is>
      </c>
      <c r="B2" s="2" t="n"/>
      <c r="C2" s="2" t="n"/>
      <c r="D2" s="2" t="n"/>
      <c r="E2" s="2" t="n"/>
      <c r="F2" s="3" t="n"/>
    </row>
    <row r="3" ht="30" customHeight="1">
      <c r="A3" s="11" t="inlineStr">
        <is>
          <t>ID</t>
        </is>
      </c>
      <c r="B3" s="11" t="inlineStr">
        <is>
          <t>类别</t>
        </is>
      </c>
      <c r="C3" s="11" t="inlineStr">
        <is>
          <t>事项</t>
        </is>
      </c>
      <c r="D3" s="11" t="inlineStr">
        <is>
          <t>内容与对采购的影响</t>
        </is>
      </c>
      <c r="E3" s="11" t="inlineStr">
        <is>
          <t>可核验度</t>
        </is>
      </c>
      <c r="F3" s="11" t="inlineStr">
        <is>
          <t>来源ID</t>
        </is>
      </c>
    </row>
    <row r="4">
      <c r="A4" s="12" t="inlineStr">
        <is>
          <t>PL1</t>
        </is>
      </c>
      <c r="B4" s="12" t="inlineStr">
        <is>
          <t>沙特出口监管</t>
        </is>
      </c>
      <c r="C4" s="12" t="inlineStr">
        <is>
          <t>出口无配额、无出口许可（石化品）</t>
        </is>
      </c>
      <c r="D4" s="12" t="inlineStr">
        <is>
          <t>沙特对 HS 2905.31 出口未设配额或出口许可制度；出口由企业自行报关，主要约束在港口与航运条件，而非行政审批。</t>
        </is>
      </c>
      <c r="E4" s="12" t="inlineStr">
        <is>
          <t>D（监管事实，需在签约前以沙特海关/工贸部最新公告复核）</t>
        </is>
      </c>
      <c r="F4" s="12" t="inlineStr">
        <is>
          <t>需官网复核</t>
        </is>
      </c>
    </row>
    <row r="5">
      <c r="A5" s="14" t="inlineStr">
        <is>
          <t>PL2</t>
        </is>
      </c>
      <c r="B5" s="14" t="inlineStr">
        <is>
          <t>沙特产业政策</t>
        </is>
      </c>
      <c r="C5" s="14" t="inlineStr">
        <is>
          <t>原料配额与原料气价格由能源部/Aramco 定价</t>
        </is>
      </c>
      <c r="D5" s="14" t="inlineStr">
        <is>
          <t>新建或扩产的石化项目须获能源部原料(feedstock)配额；Aramco 原料气价格连续上调（2025-01-01 生效），直接改变 MEG 现金成本。</t>
        </is>
      </c>
      <c r="E5" s="14" t="inlineStr">
        <is>
          <t>A/B</t>
        </is>
      </c>
      <c r="F5" s="14" t="inlineStr">
        <is>
          <t>S34、S35、S38、S41</t>
        </is>
      </c>
    </row>
    <row r="6">
      <c r="A6" s="12" t="inlineStr">
        <is>
          <t>PL3</t>
        </is>
      </c>
      <c r="B6" s="12" t="inlineStr">
        <is>
          <t>沙特产业政策</t>
        </is>
      </c>
      <c r="C6" s="12" t="inlineStr">
        <is>
          <t>外资与本地化：Vision 2030 与本地化(iktva)政策</t>
        </is>
      </c>
      <c r="D6" s="12" t="inlineStr">
        <is>
          <t>沙特鼓励本地下游延伸与本地化采购；Aramco/SABIC 系企业的销售存在长期合约优先与本地化偏好，现货比例有限。</t>
        </is>
      </c>
      <c r="E6" s="12" t="inlineStr">
        <is>
          <t>C</t>
        </is>
      </c>
      <c r="F6" s="12" t="inlineStr">
        <is>
          <t>需官网复核</t>
        </is>
      </c>
    </row>
    <row r="7">
      <c r="A7" s="14" t="inlineStr">
        <is>
          <t>PL4</t>
        </is>
      </c>
      <c r="B7" s="14" t="inlineStr">
        <is>
          <t>贸易救济</t>
        </is>
      </c>
      <c r="C7" s="14" t="inlineStr">
        <is>
          <t>欧盟对沙特 MEG 反倾销税</t>
        </is>
      </c>
      <c r="D7" s="14" t="inlineStr">
        <is>
          <t>欧盟自 2021-06-12 起对原产沙特 MEG 征收 11.1% 反倾销税（为期 6 个月，后经复审调整）；沙特就此向 WTO 提出磋商。影响沙特对欧流向，间接改变对华可供量。</t>
        </is>
      </c>
      <c r="E7" s="14" t="inlineStr">
        <is>
          <t>A</t>
        </is>
      </c>
      <c r="F7" s="14" t="inlineStr">
        <is>
          <t>S21</t>
        </is>
      </c>
    </row>
    <row r="8">
      <c r="A8" s="12" t="inlineStr">
        <is>
          <t>PL5</t>
        </is>
      </c>
      <c r="B8" s="12" t="inlineStr">
        <is>
          <t>中国进口监管</t>
        </is>
      </c>
      <c r="C8" s="12" t="inlineStr">
        <is>
          <t>中国进口端：MEG 关税与检验</t>
        </is>
      </c>
      <c r="D8" s="12" t="inlineStr">
        <is>
          <t>中国对 MEG 的最惠国/协定税率与检验检疫要求需以海关总署税则与《危险化学品目录（2015 版）》最新公告为准；MEG 属易燃液体、危险货物，进口须符合 GB 30000 系列与危化品登记要求。</t>
        </is>
      </c>
      <c r="E8" s="12" t="inlineStr">
        <is>
          <t>D（须在签约前核定税则号列与监管条件）</t>
        </is>
      </c>
      <c r="F8" s="12" t="inlineStr">
        <is>
          <t>需官网复核</t>
        </is>
      </c>
    </row>
    <row r="9">
      <c r="A9" s="14" t="inlineStr">
        <is>
          <t>PL6</t>
        </is>
      </c>
      <c r="B9" s="14" t="inlineStr">
        <is>
          <t>合规</t>
        </is>
      </c>
      <c r="C9" s="14" t="inlineStr">
        <is>
          <t>运输与保险：战争险与制裁合规</t>
        </is>
      </c>
      <c r="D9" s="14" t="inlineStr">
        <is>
          <t>2026 年海湾冲突使战争险承保条件成为签约前提；另须核查交易对手是否被 OFAC/EU/UN 列入制裁名单，以及港口/船舶AIS与制裁合规。</t>
        </is>
      </c>
      <c r="E9" s="14" t="inlineStr">
        <is>
          <t>A</t>
        </is>
      </c>
      <c r="F9" s="14" t="inlineStr">
        <is>
          <t>S18、S27</t>
        </is>
      </c>
    </row>
    <row r="10">
      <c r="A10" s="12" t="inlineStr">
        <is>
          <t>PL7</t>
        </is>
      </c>
      <c r="B10" s="12" t="inlineStr">
        <is>
          <t>园区管理</t>
        </is>
      </c>
      <c r="C10" s="12" t="inlineStr">
        <is>
          <t>朱拜勒/延布工业城管制（RCJY）</t>
        </is>
      </c>
      <c r="D10" s="12" t="inlineStr">
        <is>
          <t>两座工业城由皇家委员会(RCJY)管理，厂区与港区准入受管制，实地考察须提前申请；出口提单抬头与发货人须与生产法人一致。</t>
        </is>
      </c>
      <c r="E10" s="12" t="inlineStr">
        <is>
          <t>D</t>
        </is>
      </c>
      <c r="F10" s="12" t="inlineStr">
        <is>
          <t>需官网复核</t>
        </is>
      </c>
    </row>
  </sheetData>
  <autoFilter ref="A3:F10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4" customWidth="1" min="4" max="4"/>
    <col width="10" customWidth="1" min="5" max="5"/>
    <col width="96" customWidth="1" min="6" max="6"/>
    <col width="20" customWidth="1" min="7" max="7"/>
  </cols>
  <sheetData>
    <row r="1" ht="26" customHeight="1">
      <c r="A1" s="1" t="inlineStr">
        <is>
          <t>可能影响供应的公开事件时间线（2011–2026）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含装置检修、装置故障、新增产能、通道中断、设施损毁、市场后果。2026 年事件集中且影响等级最高。</t>
        </is>
      </c>
      <c r="B2" s="2" t="n"/>
      <c r="C2" s="2" t="n"/>
      <c r="D2" s="2" t="n"/>
      <c r="E2" s="2" t="n"/>
      <c r="F2" s="2" t="n"/>
      <c r="G2" s="3" t="n"/>
    </row>
    <row r="3" ht="30" customHeight="1">
      <c r="A3" s="11" t="inlineStr">
        <is>
          <t>ID</t>
        </is>
      </c>
      <c r="B3" s="11" t="inlineStr">
        <is>
          <t>日期</t>
        </is>
      </c>
      <c r="C3" s="11" t="inlineStr">
        <is>
          <t>事件</t>
        </is>
      </c>
      <c r="D3" s="11" t="inlineStr">
        <is>
          <t>类型</t>
        </is>
      </c>
      <c r="E3" s="11" t="inlineStr">
        <is>
          <t>影响强度</t>
        </is>
      </c>
      <c r="F3" s="11" t="inlineStr">
        <is>
          <t>内容与依据</t>
        </is>
      </c>
      <c r="G3" s="11" t="inlineStr">
        <is>
          <t>来源ID</t>
        </is>
      </c>
    </row>
    <row r="4">
      <c r="A4" s="12" t="inlineStr">
        <is>
          <t>EV1</t>
        </is>
      </c>
      <c r="B4" s="12" t="inlineStr">
        <is>
          <t>2011-01</t>
        </is>
      </c>
      <c r="C4" s="12" t="inlineStr">
        <is>
          <t>SABIC 2011 年 8 套 MEG 装置集中检修</t>
        </is>
      </c>
      <c r="D4" s="12" t="inlineStr">
        <is>
          <t>计划检修</t>
        </is>
      </c>
      <c r="E4" s="17" t="inlineStr">
        <is>
          <t>中</t>
        </is>
      </c>
      <c r="F4" s="12" t="inlineStr">
        <is>
          <t>6 套在上半年、2 套在四季度；为避免夏季高温。反映沙特 MEG 存在共同的检修季节性（夏季限产/检修）。</t>
        </is>
      </c>
      <c r="G4" s="12" t="inlineStr">
        <is>
          <t>S07</t>
        </is>
      </c>
    </row>
    <row r="5">
      <c r="A5" s="14" t="inlineStr">
        <is>
          <t>EV2</t>
        </is>
      </c>
      <c r="B5" s="14" t="inlineStr">
        <is>
          <t>2013-2015</t>
        </is>
      </c>
      <c r="C5" s="14" t="inlineStr">
        <is>
          <t>SHARQ 4 号线反应器更换与停车</t>
        </is>
      </c>
      <c r="D5" s="14" t="inlineStr">
        <is>
          <t>装置故障</t>
        </is>
      </c>
      <c r="E5" s="17" t="inlineStr">
        <is>
          <t>中</t>
        </is>
      </c>
      <c r="F5" s="14" t="inlineStr">
        <is>
          <t>2015-02 末 SHARQ No.4（700kt）因更换反应器停车，4 月初复产。</t>
        </is>
      </c>
      <c r="G5" s="14" t="inlineStr">
        <is>
          <t>S09</t>
        </is>
      </c>
    </row>
    <row r="6">
      <c r="A6" s="12" t="inlineStr">
        <is>
          <t>EV3</t>
        </is>
      </c>
      <c r="B6" s="12" t="inlineStr">
        <is>
          <t>2021-06-12</t>
        </is>
      </c>
      <c r="C6" s="12" t="inlineStr">
        <is>
          <t>欧盟对沙特 MEG 征 11.1% 反倾销税</t>
        </is>
      </c>
      <c r="D6" s="12" t="inlineStr">
        <is>
          <t>贸易政策</t>
        </is>
      </c>
      <c r="E6" s="17" t="inlineStr">
        <is>
          <t>中</t>
        </is>
      </c>
      <c r="F6" s="12" t="inlineStr">
        <is>
          <t>多国沙特 MEG 出口商被点名；沙特向 WTO 提起磋商。导致对欧流向阶段性受阻。</t>
        </is>
      </c>
      <c r="G6" s="12" t="inlineStr">
        <is>
          <t>S21</t>
        </is>
      </c>
    </row>
    <row r="7">
      <c r="A7" s="14" t="inlineStr">
        <is>
          <t>EV4</t>
        </is>
      </c>
      <c r="B7" s="14" t="inlineStr">
        <is>
          <t>2022-10-17</t>
        </is>
      </c>
      <c r="C7" s="14" t="inlineStr">
        <is>
          <t>United EG-3（700kt）投产</t>
        </is>
      </c>
      <c r="D7" s="14" t="inlineStr">
        <is>
          <t>新增产能</t>
        </is>
      </c>
      <c r="E7" s="38" t="inlineStr">
        <is>
          <t>正向</t>
        </is>
      </c>
      <c r="F7" s="14" t="inlineStr">
        <is>
          <t>沙特 MEG 名义产能一次性增加 700 kt，是 2023-2025 年出口量跃升的主要供给侧解释之一（与出口增长方向一致，但不可直接等同）。</t>
        </is>
      </c>
      <c r="G7" s="14" t="inlineStr">
        <is>
          <t>S03、S05</t>
        </is>
      </c>
    </row>
    <row r="8">
      <c r="A8" s="12" t="inlineStr">
        <is>
          <t>EV5</t>
        </is>
      </c>
      <c r="B8" s="12" t="inlineStr">
        <is>
          <t>2023-11</t>
        </is>
      </c>
      <c r="C8" s="12" t="inlineStr">
        <is>
          <t>SHARQ 3/4 号线计划检修</t>
        </is>
      </c>
      <c r="D8" s="12" t="inlineStr">
        <is>
          <t>计划检修</t>
        </is>
      </c>
      <c r="E8" s="17" t="inlineStr">
        <is>
          <t>中</t>
        </is>
      </c>
      <c r="F8" s="12" t="inlineStr">
        <is>
          <t>3 号线(500kt)11-04 起检修，4 号线(700kt)11 月起检修，2024-01 下半月重启，合计 1,200 kt 名义产能短期离线。</t>
        </is>
      </c>
      <c r="G8" s="12" t="inlineStr">
        <is>
          <t>S06</t>
        </is>
      </c>
    </row>
    <row r="9">
      <c r="A9" s="14" t="inlineStr">
        <is>
          <t>EV6</t>
        </is>
      </c>
      <c r="B9" s="14" t="inlineStr">
        <is>
          <t>2026-01-25</t>
        </is>
      </c>
      <c r="C9" s="14" t="inlineStr">
        <is>
          <t>Yansab EG 装置 25 天预防性检修</t>
        </is>
      </c>
      <c r="D9" s="14" t="inlineStr">
        <is>
          <t>计划检修</t>
        </is>
      </c>
      <c r="E9" s="17" t="inlineStr">
        <is>
          <t>中</t>
        </is>
      </c>
      <c r="F9" s="14" t="inlineStr">
        <is>
          <t>公司公告；为装置投运以来最长连续运行周期后的检修，影响体现在 2026 年一季度业绩。</t>
        </is>
      </c>
      <c r="G9" s="14" t="inlineStr">
        <is>
          <t>S20、S40</t>
        </is>
      </c>
    </row>
    <row r="10">
      <c r="A10" s="12" t="inlineStr">
        <is>
          <t>EV7</t>
        </is>
      </c>
      <c r="B10" s="12" t="inlineStr">
        <is>
          <t>2026-02-28</t>
        </is>
      </c>
      <c r="C10" s="12" t="inlineStr">
        <is>
          <t>区域冲突爆发，霍尔木兹海峡有效关闭</t>
        </is>
      </c>
      <c r="D10" s="12" t="inlineStr">
        <is>
          <t>地缘政治</t>
        </is>
      </c>
      <c r="E10" s="26" t="inlineStr">
        <is>
          <t>极高</t>
        </is>
      </c>
      <c r="F10" s="12" t="inlineStr">
        <is>
          <t>冲突头几天海峡有效关闭；沙特原油减产、伴生气骤降、炼厂降负荷；沙特 MEG 东海岸装置全部停车，西海岸成为区域内唯一稳定来源。</t>
        </is>
      </c>
      <c r="G10" s="12" t="inlineStr">
        <is>
          <t>S15、S16</t>
        </is>
      </c>
    </row>
    <row r="11">
      <c r="A11" s="14" t="inlineStr">
        <is>
          <t>EV8</t>
        </is>
      </c>
      <c r="B11" s="14" t="inlineStr">
        <is>
          <t>2026-03-26</t>
        </is>
      </c>
      <c r="C11" s="14" t="inlineStr">
        <is>
          <t>SABIC 宣布多产品不可抗力</t>
        </is>
      </c>
      <c r="D11" s="14" t="inlineStr">
        <is>
          <t>不可抗力</t>
        </is>
      </c>
      <c r="E11" s="26" t="inlineStr">
        <is>
          <t>极高</t>
        </is>
      </c>
      <c r="F11" s="14" t="inlineStr">
        <is>
          <t>SABIC 对多个产品（含 MEG/EG、SM、乙醇胺）宣布不可抗力，出口因海峡关闭受阻。</t>
        </is>
      </c>
      <c r="G11" s="14" t="inlineStr">
        <is>
          <t>S27</t>
        </is>
      </c>
    </row>
    <row r="12">
      <c r="A12" s="12" t="inlineStr">
        <is>
          <t>EV9</t>
        </is>
      </c>
      <c r="B12" s="12" t="inlineStr">
        <is>
          <t>2026-03-31</t>
        </is>
      </c>
      <c r="C12" s="12" t="inlineStr">
        <is>
          <t>Sadara 朱拜勒园区全面停车</t>
        </is>
      </c>
      <c r="D12" s="12" t="inlineStr">
        <is>
          <t>园区级中断</t>
        </is>
      </c>
      <c r="E12" s="12" t="inlineStr">
        <is>
          <t>高（产业链间接）</t>
        </is>
      </c>
      <c r="F12" s="12" t="inlineStr">
        <is>
          <t>Sadara 以'持续供应中断'为由临时全面停车（Sadara 不产 MEG），显示朱拜勒园区级公用工程/原料中断的传导。</t>
        </is>
      </c>
      <c r="G12" s="12" t="inlineStr">
        <is>
          <t>S22、S23、S47</t>
        </is>
      </c>
    </row>
    <row r="13">
      <c r="A13" s="14" t="inlineStr">
        <is>
          <t>EV10</t>
        </is>
      </c>
      <c r="B13" s="14" t="inlineStr">
        <is>
          <t>2026-04-07</t>
        </is>
      </c>
      <c r="C13" s="14" t="inlineStr">
        <is>
          <t>朱拜勒石化综合体遭袭，SABIC 装置火灾</t>
        </is>
      </c>
      <c r="D13" s="14" t="inlineStr">
        <is>
          <t>物理损毁</t>
        </is>
      </c>
      <c r="E13" s="26" t="inlineStr">
        <is>
          <t>极高</t>
        </is>
      </c>
      <c r="F13" s="14" t="inlineStr">
        <is>
          <t>伊朗宣布袭击朱拜勒石化综合体；SABIC 运营装置起火；Mysteel 记录核心装置停车、全球 MEG 短期可供应骤减、中国 MEG 价格创五年新高；CCFGroup 记录 4 月中旬沙特 MEG 开工率仅 24.7%。</t>
        </is>
      </c>
      <c r="G13" s="14" t="inlineStr">
        <is>
          <t>S24、S25、S26、S16</t>
        </is>
      </c>
    </row>
    <row r="14">
      <c r="A14" s="12" t="inlineStr">
        <is>
          <t>EV11</t>
        </is>
      </c>
      <c r="B14" s="12" t="inlineStr">
        <is>
          <t>2026-04-05</t>
        </is>
      </c>
      <c r="C14" s="12" t="inlineStr">
        <is>
          <t>Advanced Petrochemical 丙烷短缺</t>
        </is>
      </c>
      <c r="D14" s="12" t="inlineStr">
        <is>
          <t>原料短缺</t>
        </is>
      </c>
      <c r="E14" s="12" t="inlineStr">
        <is>
          <t>中（非 MEG 但同园区）</t>
        </is>
      </c>
      <c r="F14" s="12" t="inlineStr">
        <is>
          <t>2026 年 4-5 月 Advanced 丙烷供应减少（伊朗打击沙特 NGL 装置），其后恢复。</t>
        </is>
      </c>
      <c r="G14" s="12" t="inlineStr">
        <is>
          <t>S14</t>
        </is>
      </c>
    </row>
    <row r="15">
      <c r="A15" s="14" t="inlineStr">
        <is>
          <t>EV12</t>
        </is>
      </c>
      <c r="B15" s="14" t="inlineStr">
        <is>
          <t>2026-06-下旬</t>
        </is>
      </c>
      <c r="C15" s="14" t="inlineStr">
        <is>
          <t>化学品船恢复通行霍尔木兹</t>
        </is>
      </c>
      <c r="D15" s="14" t="inlineStr">
        <is>
          <t>通道恢复</t>
        </is>
      </c>
      <c r="E15" s="38" t="inlineStr">
        <is>
          <t>正向</t>
        </is>
      </c>
      <c r="F15" s="14" t="inlineStr">
        <is>
          <t>约 4-5 艘 MEG 船滞留湾内，其中 3 艘确认发往中国大陆（合计约 7 万吨）；预计 7-8 月中国 MEG 进口回升。</t>
        </is>
      </c>
      <c r="G15" s="14" t="inlineStr">
        <is>
          <t>S17</t>
        </is>
      </c>
    </row>
    <row r="16">
      <c r="A16" s="12" t="inlineStr">
        <is>
          <t>EV13</t>
        </is>
      </c>
      <c r="B16" s="12" t="inlineStr">
        <is>
          <t>2026-07-下旬</t>
        </is>
      </c>
      <c r="C16" s="12" t="inlineStr">
        <is>
          <t>胡塞对沙特海上封锁威胁升级</t>
        </is>
      </c>
      <c r="D16" s="12" t="inlineStr">
        <is>
          <t>地缘政治</t>
        </is>
      </c>
      <c r="E16" s="26" t="inlineStr">
        <is>
          <t>高</t>
        </is>
      </c>
      <c r="F16" s="12" t="inlineStr">
        <is>
          <t>胡塞方面宣布对沙特的海上封锁/并公开将沙特能源与工业设施列为目标；两海通道同时承压。</t>
        </is>
      </c>
      <c r="G16" s="12" t="inlineStr">
        <is>
          <t>S18、S19</t>
        </is>
      </c>
    </row>
    <row r="17">
      <c r="A17" s="14" t="inlineStr">
        <is>
          <t>EV14</t>
        </is>
      </c>
      <c r="B17" s="14" t="inlineStr">
        <is>
          <t>2026-08-11</t>
        </is>
      </c>
      <c r="C17" s="14" t="inlineStr">
        <is>
          <t>曼德海峡导弹袭击 'Tahama'</t>
        </is>
      </c>
      <c r="D17" s="14" t="inlineStr">
        <is>
          <t>航运中断</t>
        </is>
      </c>
      <c r="E17" s="26" t="inlineStr">
        <is>
          <t>高</t>
        </is>
      </c>
      <c r="F17" s="14" t="inlineStr">
        <is>
          <t>6 死 10 伤；沙特相关船舶战争险由 0.3% 升至约 3%；单船每航次增约 135 万美元（约 55 美元/吨）；西海岸部分 MEG 改经苏伊士或转售东南亚。</t>
        </is>
      </c>
      <c r="G17" s="14" t="inlineStr">
        <is>
          <t>S18</t>
        </is>
      </c>
    </row>
    <row r="18">
      <c r="A18" s="12" t="inlineStr">
        <is>
          <t>EV15</t>
        </is>
      </c>
      <c r="B18" s="12" t="inlineStr">
        <is>
          <t>2026-08</t>
        </is>
      </c>
      <c r="C18" s="12" t="inlineStr">
        <is>
          <t>延布出口一度中断</t>
        </is>
      </c>
      <c r="D18" s="12" t="inlineStr">
        <is>
          <t>港口中断</t>
        </is>
      </c>
      <c r="E18" s="26" t="inlineStr">
        <is>
          <t>高</t>
        </is>
      </c>
      <c r="F18" s="12" t="inlineStr">
        <is>
          <t>MEES 报道 2026-08-14 前后延布原油出口一度中断，反映红海侧港口运行受扰。</t>
        </is>
      </c>
      <c r="G18" s="12" t="inlineStr">
        <is>
          <t>S44</t>
        </is>
      </c>
    </row>
    <row r="19">
      <c r="A19" s="14" t="inlineStr">
        <is>
          <t>EV16</t>
        </is>
      </c>
      <c r="B19" s="14" t="inlineStr">
        <is>
          <t>2026-09</t>
        </is>
      </c>
      <c r="C19" s="14" t="inlineStr">
        <is>
          <t>华东 MEG 港存降至 12 万吨，价格创四年新高</t>
        </is>
      </c>
      <c r="D19" s="14" t="inlineStr">
        <is>
          <t>市场后果</t>
        </is>
      </c>
      <c r="E19" s="26" t="inlineStr">
        <is>
          <t>高</t>
        </is>
      </c>
      <c r="F19" s="14" t="inlineStr">
        <is>
          <t>2026-09-07 华东主港库存 12 万吨（较 3 月高点 92.64 万吨下降 80.6 万吨）；国内油制 MEG 均价 6,458 元/吨，年内 +67%。</t>
        </is>
      </c>
      <c r="G19" s="14" t="inlineStr">
        <is>
          <t>S19</t>
        </is>
      </c>
    </row>
  </sheetData>
  <autoFilter ref="A3:G19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4" customWidth="1" min="3" max="3"/>
    <col width="46" customWidth="1" min="4" max="4"/>
    <col width="34" customWidth="1" min="5" max="5"/>
  </cols>
  <sheetData>
    <row r="1" ht="26" customHeight="1">
      <c r="A1" s="1" t="inlineStr">
        <is>
          <t>尚无法核实的数据与核实路径</t>
        </is>
      </c>
      <c r="B1" s="2" t="n"/>
      <c r="C1" s="2" t="n"/>
      <c r="D1" s="2" t="n"/>
      <c r="E1" s="3" t="n"/>
    </row>
    <row r="2" ht="18" customHeight="1">
      <c r="A2" s="4" t="inlineStr">
        <is>
          <t>凡无法公开核实的数字，一律列为缺口并给出可执行的核实路径；不做填补式估算，不以行业规模倒推可供采购量。</t>
        </is>
      </c>
      <c r="B2" s="2" t="n"/>
      <c r="C2" s="2" t="n"/>
      <c r="D2" s="2" t="n"/>
      <c r="E2" s="3" t="n"/>
    </row>
    <row r="3" ht="30" customHeight="1">
      <c r="A3" s="11" t="inlineStr">
        <is>
          <t>#</t>
        </is>
      </c>
      <c r="B3" s="11" t="inlineStr">
        <is>
          <t>缺口项</t>
        </is>
      </c>
      <c r="C3" s="11" t="inlineStr">
        <is>
          <t>为什么无法确认</t>
        </is>
      </c>
      <c r="D3" s="11" t="inlineStr">
        <is>
          <t>核实路径</t>
        </is>
      </c>
      <c r="E3" s="11" t="inlineStr">
        <is>
          <t>对采购决策的影响</t>
        </is>
      </c>
    </row>
    <row r="4">
      <c r="A4" s="12" t="n">
        <v>1</v>
      </c>
      <c r="B4" s="12" t="inlineStr">
        <is>
          <t>SHARQ MEG-1 的独立姓名牌产能</t>
        </is>
      </c>
      <c r="C4" s="12" t="inlineStr">
        <is>
          <t>S07 只逐一登记了 No.2/No.3；No.1 未找到一手公开值，暂列 450 kt。</t>
        </is>
      </c>
      <c r="D4" s="12" t="inlineStr">
        <is>
          <t>向 SHARQ/SABIC 索取 EG 装置清单；或订阅 GlobalData/ICIS 装置库。</t>
        </is>
      </c>
      <c r="E4" s="12" t="inlineStr">
        <is>
          <t>影响 SHARQ 合计产能 ±200 kt</t>
        </is>
      </c>
    </row>
    <row r="5">
      <c r="A5" s="14" t="n">
        <v>2</v>
      </c>
      <c r="B5" s="14" t="inlineStr">
        <is>
          <t>SHARQ MEG-3 为 500 还是 450 kt</t>
        </is>
      </c>
      <c r="C5" s="14" t="inlineStr">
        <is>
          <t>S06(500) 与 S07(450) 冲突</t>
        </is>
      </c>
      <c r="D5" s="14" t="inlineStr">
        <is>
          <t>同上</t>
        </is>
      </c>
      <c r="E5" s="14" t="inlineStr">
        <is>
          <t>合计产能 ±50 kt</t>
        </is>
      </c>
    </row>
    <row r="6">
      <c r="A6" s="12" t="n">
        <v>3</v>
      </c>
      <c r="B6" s="12" t="inlineStr">
        <is>
          <t>Yansab EG 为 700 还是 770 kt</t>
        </is>
      </c>
      <c r="C6" s="12" t="inlineStr">
        <is>
          <t>S11 总包 700 kt vs S07 检修名录 770 kt</t>
        </is>
      </c>
      <c r="D6" s="12" t="inlineStr">
        <is>
          <t>Yansab 年报/招股书装置表、Tadawul 公告</t>
        </is>
      </c>
      <c r="E6" s="12" t="inlineStr">
        <is>
          <t>合计产能 ±70 kt</t>
        </is>
      </c>
    </row>
    <row r="7">
      <c r="A7" s="14" t="n">
        <v>4</v>
      </c>
      <c r="B7" s="14" t="inlineStr">
        <is>
          <t>各企业实际产量与实际可出口量</t>
        </is>
      </c>
      <c r="C7" s="14" t="inlineStr">
        <is>
          <t>沙特未见逐企业 MEG 实际产量的公开统计；S36 只给 Yansab 全部产品合计产量</t>
        </is>
      </c>
      <c r="D7" s="14" t="inlineStr">
        <is>
          <t>企业访谈/合同询价/中国海关收货记录</t>
        </is>
      </c>
      <c r="E7" s="14" t="inlineStr">
        <is>
          <t>决定'可供采购量'，不能用产能替代</t>
        </is>
      </c>
    </row>
    <row r="8">
      <c r="A8" s="12" t="n">
        <v>5</v>
      </c>
      <c r="B8" s="12" t="inlineStr">
        <is>
          <t>2026 年沙特 MEG 月度出口与对华量</t>
        </is>
      </c>
      <c r="C8" s="12" t="inlineStr">
        <is>
          <t>UN Comtrade 2026 年数据尚未发布</t>
        </is>
      </c>
      <c r="D8" s="12" t="inlineStr">
        <is>
          <t>中国海关月度进口分国别数据、CCFGroup/Mysteel 到船预报</t>
        </is>
      </c>
      <c r="E8" s="12" t="inlineStr">
        <is>
          <t>决定当前实际可获量</t>
        </is>
      </c>
    </row>
    <row r="9">
      <c r="A9" s="14" t="n">
        <v>6</v>
      </c>
      <c r="B9" s="14" t="inlineStr">
        <is>
          <t>朱拜勒 MEG 装置复产时间表</t>
        </is>
      </c>
      <c r="C9" s="14" t="inlineStr">
        <is>
          <t>SABIC 公开称无法估计</t>
        </is>
      </c>
      <c r="D9" s="14" t="inlineStr">
        <is>
          <t>Tadawul 公告、公司书面确认</t>
        </is>
      </c>
      <c r="E9" s="14" t="inlineStr">
        <is>
          <t>决定 2026-2027 年供应可用性</t>
        </is>
      </c>
    </row>
    <row r="10">
      <c r="A10" s="12" t="n">
        <v>7</v>
      </c>
      <c r="B10" s="12" t="inlineStr">
        <is>
          <t>散水化学品船分航线运价与战争险报价</t>
        </is>
      </c>
      <c r="C10" s="12" t="inlineStr">
        <is>
          <t>未取得公开可核验序列</t>
        </is>
      </c>
      <c r="D10" s="12" t="inlineStr">
        <is>
          <t>货代/船东询价、Lloyd's List 战争险费率</t>
        </is>
      </c>
      <c r="E10" s="12" t="inlineStr">
        <is>
          <t>到岸成本测算</t>
        </is>
      </c>
    </row>
  </sheetData>
  <autoFilter ref="A3:E10"/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30" customWidth="1" min="3" max="3"/>
    <col width="22" customWidth="1" min="4" max="4"/>
    <col width="20" customWidth="1" min="5" max="5"/>
    <col width="10" customWidth="1" min="6" max="6"/>
    <col width="60" customWidth="1" min="7" max="7"/>
    <col width="82" customWidth="1" min="8" max="8"/>
  </cols>
  <sheetData>
    <row r="1" ht="26" customHeight="1">
      <c r="A1" s="1" t="inlineStr">
        <is>
          <t>来源记录（可点击核验）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每条来源保留标题、发布方、日期、类型、可信度与关键摘录；URL 可直接打开原文。</t>
        </is>
      </c>
      <c r="B2" s="2" t="n"/>
      <c r="C2" s="2" t="n"/>
      <c r="D2" s="2" t="n"/>
      <c r="E2" s="2" t="n"/>
      <c r="F2" s="2" t="n"/>
      <c r="G2" s="2" t="n"/>
      <c r="H2" s="3" t="n"/>
    </row>
    <row r="3" ht="30" customHeight="1">
      <c r="A3" s="11" t="inlineStr">
        <is>
          <t>ID</t>
        </is>
      </c>
      <c r="B3" s="11" t="inlineStr">
        <is>
          <t>标题</t>
        </is>
      </c>
      <c r="C3" s="11" t="inlineStr">
        <is>
          <t>发布方</t>
        </is>
      </c>
      <c r="D3" s="11" t="inlineStr">
        <is>
          <t>日期</t>
        </is>
      </c>
      <c r="E3" s="11" t="inlineStr">
        <is>
          <t>类型</t>
        </is>
      </c>
      <c r="F3" s="11" t="inlineStr">
        <is>
          <t>可信度</t>
        </is>
      </c>
      <c r="G3" s="11" t="inlineStr">
        <is>
          <t>URL</t>
        </is>
      </c>
      <c r="H3" s="11" t="inlineStr">
        <is>
          <t>关键摘录（口径说明）</t>
        </is>
      </c>
    </row>
    <row r="4">
      <c r="A4" s="12" t="inlineStr">
        <is>
          <t>S01</t>
        </is>
      </c>
      <c r="B4" s="12" t="inlineStr">
        <is>
          <t>WITS / UN Comtrade: Saudi Arabia exports of HS 2905.31, 2021-2025</t>
        </is>
      </c>
      <c r="C4" s="12" t="inlineStr">
        <is>
          <t>World Bank WITS (UN Comtrade)</t>
        </is>
      </c>
      <c r="D4" s="12" t="inlineStr">
        <is>
          <t>2025 年数据于 2026 年发布；页面刷新 2026-10-19</t>
        </is>
      </c>
      <c r="E4" s="12" t="inlineStr">
        <is>
          <t>官方统计数据库</t>
        </is>
      </c>
      <c r="F4" s="38" t="inlineStr">
        <is>
          <t>高</t>
        </is>
      </c>
      <c r="G4" s="42" t="inlineStr">
        <is>
          <t>https://wits.worldbank.org/trade/comtrade/en/country/SAU/year/2024/tradeflow/Exports/partner/ALL/product/290531</t>
        </is>
      </c>
      <c r="H4" s="12" t="inlineStr">
        <is>
          <t>报告国自行申报的口径，货值按 USD 计、数量按 kg 计；2021-2025 年逐年抓取（2021-2025 共 178 个伙伴-年记录）。</t>
        </is>
      </c>
    </row>
    <row r="5">
      <c r="A5" s="14" t="inlineStr">
        <is>
          <t>S02</t>
        </is>
      </c>
      <c r="B5" s="14" t="inlineStr">
        <is>
          <t>Saudi Kayan Petrochemical Company Annual Report 2022 - Operating divisions / 产品年产能表</t>
        </is>
      </c>
      <c r="C5" s="14" t="inlineStr">
        <is>
          <t>Saudi Kayan (saudikayan.com)</t>
        </is>
      </c>
      <c r="D5" s="14" t="inlineStr">
        <is>
          <t>2023 年发布（2022 财年）</t>
        </is>
      </c>
      <c r="E5" s="14" t="inlineStr">
        <is>
          <t>上市公司年报（一手）</t>
        </is>
      </c>
      <c r="F5" s="38" t="inlineStr">
        <is>
          <t>高</t>
        </is>
      </c>
      <c r="G5" s="43" t="inlineStr">
        <is>
          <t>https://www.saudikayan.com/en/Images/Annual%20Report%202022%20En_tcm1043-42458.pdf</t>
        </is>
      </c>
      <c r="H5" s="14" t="inlineStr">
        <is>
          <t>官方产品口径：Ethylene Glycol 1,065 千公吨/年；Ethylene 1,485；EOX 770；SABIC 持股 35%。</t>
        </is>
      </c>
    </row>
    <row r="6">
      <c r="A6" s="12" t="inlineStr">
        <is>
          <t>S03</t>
        </is>
      </c>
      <c r="B6" s="12" t="inlineStr">
        <is>
          <t>SABIC 2022 Annual Report - Petrochemicals（United EG-3 投产）</t>
        </is>
      </c>
      <c r="C6" s="12" t="inlineStr">
        <is>
          <t>SABIC</t>
        </is>
      </c>
      <c r="D6" s="12" t="inlineStr">
        <is>
          <t>2023 年发布</t>
        </is>
      </c>
      <c r="E6" s="12" t="inlineStr">
        <is>
          <t>上市公司年报（一手）</t>
        </is>
      </c>
      <c r="F6" s="38" t="inlineStr">
        <is>
          <t>高</t>
        </is>
      </c>
      <c r="G6" s="42" t="inlineStr">
        <is>
          <t>https://www.sabic.com/en/reports/annual-2022/our-businesses/petrochemicals</t>
        </is>
      </c>
      <c r="H6" s="12" t="inlineStr">
        <is>
          <t>2022 年 10 月 United 第三套乙二醇装置商业化运营，年产能 700,000 公吨 MEG。</t>
        </is>
      </c>
    </row>
    <row r="7">
      <c r="A7" s="14" t="inlineStr">
        <is>
          <t>S04</t>
        </is>
      </c>
      <c r="B7" s="14" t="inlineStr">
        <is>
          <t>SABIC press release: United begins startup activities at its new ethylene glycol plant</t>
        </is>
      </c>
      <c r="C7" s="14" t="inlineStr">
        <is>
          <t>SABIC</t>
        </is>
      </c>
      <c r="D7" s="14" t="inlineStr">
        <is>
          <t>2021-11-17</t>
        </is>
      </c>
      <c r="E7" s="14" t="inlineStr">
        <is>
          <t>企业公告（一手）</t>
        </is>
      </c>
      <c r="F7" s="38" t="inlineStr">
        <is>
          <t>高</t>
        </is>
      </c>
      <c r="G7" s="43" t="inlineStr">
        <is>
          <t>https://www.sabic.com/en/news/31184-sabic-affiliate-united-begins-startup-activities-at-its-new-ethylene-glycol-plant</t>
        </is>
      </c>
      <c r="H7" s="14" t="inlineStr">
        <is>
          <t>United EG-3 估计年产能 700,000 公吨 MEG；初始开车 2021 年 11 月。</t>
        </is>
      </c>
    </row>
    <row r="8">
      <c r="A8" s="12" t="inlineStr">
        <is>
          <t>S05</t>
        </is>
      </c>
      <c r="B8" s="12" t="inlineStr">
        <is>
          <t>MEES: Sabic: Jubail MEG Start-Up</t>
        </is>
      </c>
      <c r="C8" s="12" t="inlineStr">
        <is>
          <t>Middle East Economic Survey</t>
        </is>
      </c>
      <c r="D8" s="12" t="inlineStr">
        <is>
          <t>2022-10-21</t>
        </is>
      </c>
      <c r="E8" s="12" t="inlineStr">
        <is>
          <t>行业媒体</t>
        </is>
      </c>
      <c r="F8" s="38" t="inlineStr">
        <is>
          <t>高</t>
        </is>
      </c>
      <c r="G8" s="42" t="inlineStr">
        <is>
          <t>https://www.mees.com/2022/10/21/refining-petrochemicals/sabic-jubail-meg-start-up/9026f600-5130-11ed-9c64-736c27d572dc</t>
        </is>
      </c>
      <c r="H8" s="12" t="inlineStr">
        <is>
          <t>JUPC(United) 第三套 MEG 装置 700,000 t/y 于 2022-10-17 宣布投产；股东结构 SABIC 75% / 公共养老基金 15% / 社保机构 10%；Samsung Engineering 2017 年 12 月签约，投资 7 亿美元。</t>
        </is>
      </c>
    </row>
    <row r="9">
      <c r="A9" s="14" t="inlineStr">
        <is>
          <t>S06</t>
        </is>
      </c>
      <c r="B9" s="14" t="inlineStr">
        <is>
          <t>ChemAnalyst: SHARQ Announces Intent to Restart MEG Line 4 Production in Jubail</t>
        </is>
      </c>
      <c r="C9" s="14" t="inlineStr">
        <is>
          <t>ChemAnalyst</t>
        </is>
      </c>
      <c r="D9" s="14" t="inlineStr">
        <is>
          <t>2024-01-12</t>
        </is>
      </c>
      <c r="E9" s="14" t="inlineStr">
        <is>
          <t>行业媒体</t>
        </is>
      </c>
      <c r="F9" s="14" t="inlineStr">
        <is>
          <t>中高</t>
        </is>
      </c>
      <c r="G9" s="43" t="inlineStr">
        <is>
          <t>https://www.chemanalyst.com/NewsAndDeals/NewsDetails/sharq-announces-intent-to-restart-meg-line-4-production-in-jubail-24497</t>
        </is>
      </c>
      <c r="H9" s="14" t="inlineStr">
        <is>
          <t>SHARQ 在朱拜勒的 MEG 4 号线年产能 700 千吨（2023 年 11 月起停车检修，2024 年 1 月下半月重启）；3 号线年产能 500 千吨（2023-11-04 起检修）。</t>
        </is>
      </c>
    </row>
    <row r="10">
      <c r="A10" s="12" t="inlineStr">
        <is>
          <t>S07</t>
        </is>
      </c>
      <c r="B10" s="12" t="inlineStr">
        <is>
          <t>ICIS (via Vinachem 转载): Saudi Arabia's SABIC plans heavy MEG shutdown in 2011</t>
        </is>
      </c>
      <c r="C10" s="12" t="inlineStr">
        <is>
          <t>ICIS / Vinachem</t>
        </is>
      </c>
      <c r="D10" s="12" t="inlineStr">
        <is>
          <t>2010-12（转载）；原文 ICIS 2011-01</t>
        </is>
      </c>
      <c r="E10" s="12" t="inlineStr">
        <is>
          <t>行业专业媒体（装置级）</t>
        </is>
      </c>
      <c r="F10" s="12" t="inlineStr">
        <is>
          <t>中高</t>
        </is>
      </c>
      <c r="G10" s="42" t="inlineStr">
        <is>
          <t>https://www.vinachem.com.vn/articles/news-vnc/saudi_arabias_sabic_plans_heavy_meg_shutdown_in_2011.html</t>
        </is>
      </c>
      <c r="H10" s="12" t="inlineStr">
        <is>
          <t>逐一列出 2011 年 SABIC 体系 8 套 MEG 装置检修，并给出姓名牌产能：JUPC No.1 700kt、JUPC No.2 640kt、Yansab 770kt、Yanpet No.1 380kt、Yanpet No.2 520kt、Sharq No.2 450kt、Sharq No.3 450kt（2011 年该文登记为 450kt）、Saudi Kayan 650kt；同时给出 SABIC 在沙特 MEG 总产能 5.71 Mt/y。该文写于 Sharq 4 号线(700kt)与 United EG-3(700kt)之前。</t>
        </is>
      </c>
    </row>
    <row r="11">
      <c r="A11" s="14" t="inlineStr">
        <is>
          <t>S08</t>
        </is>
      </c>
      <c r="B11" s="14" t="inlineStr">
        <is>
          <t>ICIS: Saudi's Yanpet to shut 520,000 tonne/year MEG unit in mid-May</t>
        </is>
      </c>
      <c r="C11" s="14" t="inlineStr">
        <is>
          <t>ICIS</t>
        </is>
      </c>
      <c r="D11" s="14" t="inlineStr">
        <is>
          <t>2011-05-04</t>
        </is>
      </c>
      <c r="E11" s="14" t="inlineStr">
        <is>
          <t>行业专业媒体</t>
        </is>
      </c>
      <c r="F11" s="14" t="inlineStr">
        <is>
          <t>中高</t>
        </is>
      </c>
      <c r="G11" s="43" t="inlineStr">
        <is>
          <t>https://www.icis.com/explore/resources/news/2011/05/04/9456607/saudi-s-yanpet-to-shut-520-000-tonne-year-meg-unit-in-mid-may/</t>
        </is>
      </c>
      <c r="H11" s="14" t="inlineStr">
        <is>
          <t>Yanpet 520 千吨/年 MEG 装置 2011 年 5 月中旬起 35 天检修。交叉验证 S07 的 Yanpet No.2 产能。</t>
        </is>
      </c>
    </row>
    <row r="12">
      <c r="A12" s="12" t="inlineStr">
        <is>
          <t>S09</t>
        </is>
      </c>
      <c r="B12" s="12" t="inlineStr">
        <is>
          <t>Argaam (Platts 引用): Saudi Sharq Petrochemical said to resume MEG facility operations early April</t>
        </is>
      </c>
      <c r="C12" s="12" t="inlineStr">
        <is>
          <t>Argaam</t>
        </is>
      </c>
      <c r="D12" s="12" t="inlineStr">
        <is>
          <t>2015-03-15</t>
        </is>
      </c>
      <c r="E12" s="12" t="inlineStr">
        <is>
          <t>财经媒体</t>
        </is>
      </c>
      <c r="F12" s="12" t="inlineStr">
        <is>
          <t>中高</t>
        </is>
      </c>
      <c r="G12" s="42" t="inlineStr">
        <is>
          <t>https://www.argaam.com/en/article/articledetail/id/372959</t>
        </is>
      </c>
      <c r="H12" s="12" t="inlineStr">
        <is>
          <t>SHARQ No.4 MEG 年产能 700,000 吨，2015 年 2 月末因更换反应器停车，4 月初复产；其余三套装置正常。</t>
        </is>
      </c>
    </row>
    <row r="13">
      <c r="A13" s="14" t="inlineStr">
        <is>
          <t>S10</t>
        </is>
      </c>
      <c r="B13" s="14" t="inlineStr">
        <is>
          <t>Plastemart: Saudi Kayan starts 537,000 tpa ethylene glycol line at Jubail Industrial City complex</t>
        </is>
      </c>
      <c r="C13" s="14" t="inlineStr">
        <is>
          <t>Plastemart (Platts 引用)</t>
        </is>
      </c>
      <c r="D13" s="14" t="inlineStr">
        <is>
          <t>2010-08-16</t>
        </is>
      </c>
      <c r="E13" s="14" t="inlineStr">
        <is>
          <t>行业媒体</t>
        </is>
      </c>
      <c r="F13" s="14" t="inlineStr">
        <is>
          <t>中</t>
        </is>
      </c>
      <c r="G13" s="43" t="inlineStr">
        <is>
          <t>https://www.plastemart.com/news-plastics-information/saudi-kayan-starts-537-000-tpa-ethylene-glycol-line-at-jubail-industrial-city-complex/18256</t>
        </is>
      </c>
      <c r="H13" s="14" t="inlineStr">
        <is>
          <t>Kayan MEG 生产线单系列 537 千吨/年（2010 年 8 月开车试运行）；与其年报合计 1,065 千吨/年（约 2 条 537kt 线）相互印证。</t>
        </is>
      </c>
    </row>
    <row r="14">
      <c r="A14" s="12" t="inlineStr">
        <is>
          <t>S11</t>
        </is>
      </c>
      <c r="B14" s="12" t="inlineStr">
        <is>
          <t>Toyo Engineering: Largest Scale Yansab Ethylene Glycol Plant for SABIC/Saudi Arabia awarded to TOYO</t>
        </is>
      </c>
      <c r="C14" s="12" t="inlineStr">
        <is>
          <t>Toyo Engineering</t>
        </is>
      </c>
      <c r="D14" s="12" t="inlineStr">
        <is>
          <t>2005-07-19</t>
        </is>
      </c>
      <c r="E14" s="12" t="inlineStr">
        <is>
          <t>工程专利商公告（一手）</t>
        </is>
      </c>
      <c r="F14" s="38" t="inlineStr">
        <is>
          <t>高</t>
        </is>
      </c>
      <c r="G14" s="42" t="inlineStr">
        <is>
          <t>https://www.toyo-eng.com/jp/en/company/news/?n=1397</t>
        </is>
      </c>
      <c r="H14" s="12" t="inlineStr">
        <is>
          <t>Yansab EG 装置 700,000 MTPA，Scientific Design 技术，LSTK 总包；同期在建 JUPC(United) 630,000 MTPA 装置；1999-2000 年为 YANPET 建成 420,000 MTPA EG 装置。</t>
        </is>
      </c>
    </row>
    <row r="15">
      <c r="A15" s="14" t="inlineStr">
        <is>
          <t>S12</t>
        </is>
      </c>
      <c r="B15" s="14" t="inlineStr">
        <is>
          <t>Oil &amp; Gas Journal: Looming Mideast olefin production may or may not spell oversupply</t>
        </is>
      </c>
      <c r="C15" s="14" t="inlineStr">
        <is>
          <t>Oil &amp; Gas Journal</t>
        </is>
      </c>
      <c r="D15" s="14" t="inlineStr">
        <is>
          <t>2009-03-23</t>
        </is>
      </c>
      <c r="E15" s="14" t="inlineStr">
        <is>
          <t>行业专业期刊</t>
        </is>
      </c>
      <c r="F15" s="38" t="inlineStr">
        <is>
          <t>高</t>
        </is>
      </c>
      <c r="G15" s="43" t="inlineStr">
        <is>
          <t>https://www.ogj.com/home/article/17221497/looming-mideast-olefin-production-mayor-may-notspell-oversupply</t>
        </is>
      </c>
      <c r="H15" s="14" t="inlineStr">
        <is>
          <t>Yansab 2008 年末建成，含 MEG 700kt；Sharq III 700kt EG 2009 年初投产；PetroRabigh 600kt MEG（Rabigh 为红海沿岸）；Aramco 曾以 0.75 美元/MMBtu 固定价供应石化原料气。</t>
        </is>
      </c>
    </row>
    <row r="16">
      <c r="A16" s="12" t="inlineStr">
        <is>
          <t>S13</t>
        </is>
      </c>
      <c r="B16" s="12" t="inlineStr">
        <is>
          <t>Hydrocarbon Engineering (AIChE 会议论文摘要): High catalyst selectivity at Petro Rabigh MEG plant</t>
        </is>
      </c>
      <c r="C16" s="12" t="inlineStr">
        <is>
          <t>Hydrocarbon Engineering / AIChE</t>
        </is>
      </c>
      <c r="D16" s="12" t="inlineStr">
        <is>
          <t>2021-02-17；论文出处 AIChE 2023 春季会议</t>
        </is>
      </c>
      <c r="E16" s="12" t="inlineStr">
        <is>
          <t>专业会议/期刊</t>
        </is>
      </c>
      <c r="F16" s="38" t="inlineStr">
        <is>
          <t>高</t>
        </is>
      </c>
      <c r="G16" s="42" t="inlineStr">
        <is>
          <t>https://www.hydrocarbonengineering.com/petrochemicals/17022021/high-catalyst-selectivity-prompts-cycle-length-extension-at-petro-rabigh-monoethylene-glycol-plant/</t>
        </is>
      </c>
      <c r="H16" s="12" t="inlineStr">
        <is>
          <t>Petro Rabigh MEG 装置 600,000 t/y，采用 Shell OMEGA 工艺，催化剂选择性 92%。</t>
        </is>
      </c>
    </row>
    <row r="17">
      <c r="A17" s="14" t="inlineStr">
        <is>
          <t>S14</t>
        </is>
      </c>
      <c r="B17" s="14" t="inlineStr">
        <is>
          <t>MEES: Saudi Petchems Firm Hit By Propane Shortfall</t>
        </is>
      </c>
      <c r="C17" s="14" t="inlineStr">
        <is>
          <t>Middle East Economic Survey</t>
        </is>
      </c>
      <c r="D17" s="14" t="inlineStr">
        <is>
          <t>2026-07-17</t>
        </is>
      </c>
      <c r="E17" s="14" t="inlineStr">
        <is>
          <t>行业媒体</t>
        </is>
      </c>
      <c r="F17" s="38" t="inlineStr">
        <is>
          <t>高</t>
        </is>
      </c>
      <c r="G17" s="43" t="inlineStr">
        <is>
          <t>https://www.mees.com/2026/7/17/refining-petrochemicals/saudi-petchems-firm-hit-by-propane-shortfall/cccd19d0-81eb-11f1-b733-e97c1c399b47</t>
        </is>
      </c>
      <c r="H17" s="14" t="inlineStr">
        <is>
          <t>2026 年 4-5 月 Advanced Petrochemical 丙烷供应减少（伊朗打击沙特关键 NGL 装置），其后恢复；沙特石化部门当季受冲突显著扰动。</t>
        </is>
      </c>
    </row>
    <row r="18">
      <c r="A18" s="12" t="inlineStr">
        <is>
          <t>S15</t>
        </is>
      </c>
      <c r="B18" s="12" t="inlineStr">
        <is>
          <t>MEES: Saudi Oil Sector Recovering From Conflict Outages</t>
        </is>
      </c>
      <c r="C18" s="12" t="inlineStr">
        <is>
          <t>MEES</t>
        </is>
      </c>
      <c r="D18" s="12" t="inlineStr">
        <is>
          <t>2026-08-21</t>
        </is>
      </c>
      <c r="E18" s="12" t="inlineStr">
        <is>
          <t>行业媒体</t>
        </is>
      </c>
      <c r="F18" s="38" t="inlineStr">
        <is>
          <t>高</t>
        </is>
      </c>
      <c r="G18" s="42" t="inlineStr">
        <is>
          <t>https://www.mees.com/2026/8/21/refining-petrochemicals/saudi-oil-sector-recovering-from-conflict-outages/6715fbf0-9d7c-11f1-928b-0d544f0ff1e0</t>
        </is>
      </c>
      <c r="H18" s="12" t="inlineStr">
        <is>
          <t>区域冲突自 2026-02-28 开始，头几天霍尔木兹海峡有效关闭；伴生气产量骤降、油品自用烧油激增。</t>
        </is>
      </c>
    </row>
    <row r="19">
      <c r="A19" s="14" t="inlineStr">
        <is>
          <t>S16</t>
        </is>
      </c>
      <c r="B19" s="14" t="inlineStr">
        <is>
          <t>CCFGroup Insight: MEG 2026 - how geopolitical supply shocks erased the global surplus</t>
        </is>
      </c>
      <c r="C19" s="14" t="inlineStr">
        <is>
          <t>CCFGroup（华瑞信息）</t>
        </is>
      </c>
      <c r="D19" s="14" t="inlineStr">
        <is>
          <t>2026-04-16</t>
        </is>
      </c>
      <c r="E19" s="14" t="inlineStr">
        <is>
          <t>行业研究机构</t>
        </is>
      </c>
      <c r="F19" s="14" t="inlineStr">
        <is>
          <t>中高（估算）</t>
        </is>
      </c>
      <c r="G19" s="43" t="inlineStr">
        <is>
          <t>https://cnc.ccfgroup.com/newscenter/newsview.php?Class_ID=D00000&amp;Info_ID=2026041630125</t>
        </is>
      </c>
      <c r="H19" s="14" t="inlineStr">
        <is>
          <t>给出区域产能与开工：沙特东海岸 MEG 产能 5,040 kt/y（被列'全部装置停车'）、沙特当周 MEG 开工率 24.7%；波斯湾冲突区开工率 19.1%；2026 年 3-5 月全球供应损失 1.8-1.9 Mt。</t>
        </is>
      </c>
    </row>
    <row r="20">
      <c r="A20" s="12" t="inlineStr">
        <is>
          <t>S17</t>
        </is>
      </c>
      <c r="B20" s="12" t="inlineStr">
        <is>
          <t>CCFGroup: MEG imports may rise as chemical tankers clear Hormuz</t>
        </is>
      </c>
      <c r="C20" s="12" t="inlineStr">
        <is>
          <t>CCFGroup</t>
        </is>
      </c>
      <c r="D20" s="12" t="inlineStr">
        <is>
          <t>2026-06-24</t>
        </is>
      </c>
      <c r="E20" s="12" t="inlineStr">
        <is>
          <t>行业研究机构</t>
        </is>
      </c>
      <c r="F20" s="12" t="inlineStr">
        <is>
          <t>中高</t>
        </is>
      </c>
      <c r="G20" s="42" t="inlineStr">
        <is>
          <t>https://cnc.ccfgroup.com/newscenter/newsview.php?Class_ID=D00000&amp;Info_ID=2026062430087</t>
        </is>
      </c>
      <c r="H20" s="12" t="inlineStr">
        <is>
          <t>2026 年 6 月下旬 MEG 相关化学品船逐步恢复通行霍尔木兹海峡；约 4-5 艘 MEG 船滞留湾内，其中 3 艘确认发往中国大陆（合计约 7 万吨）；沙特西海岸有装货活动。</t>
        </is>
      </c>
    </row>
    <row r="21">
      <c r="A21" s="14" t="inlineStr">
        <is>
          <t>S18</t>
        </is>
      </c>
      <c r="B21" s="14" t="inlineStr">
        <is>
          <t>CCFGroup: Red Sea attack raises cost of Saudi MEG cargoes to China</t>
        </is>
      </c>
      <c r="C21" s="14" t="inlineStr">
        <is>
          <t>CCFGroup</t>
        </is>
      </c>
      <c r="D21" s="14" t="inlineStr">
        <is>
          <t>2026-08-13</t>
        </is>
      </c>
      <c r="E21" s="14" t="inlineStr">
        <is>
          <t>行业研究机构</t>
        </is>
      </c>
      <c r="F21" s="14" t="inlineStr">
        <is>
          <t>中高</t>
        </is>
      </c>
      <c r="G21" s="43" t="inlineStr">
        <is>
          <t>https://cnc.ccfgroup.com/newscenter/newsview.php?Class_ID=D00000&amp;Info_ID=2026081330067</t>
        </is>
      </c>
      <c r="H21" s="14" t="inlineStr">
        <is>
          <t>沙特西海岸 MEG 产能约 2.1 Mt/y；自 2026 年二季度起对华发运 40-50 千吨/月；2026-08-11 曼德海峡袭击使战争险保费由 0.3% 升至约 3%，单船 2.5-2.6 万载重吨增加约 135 万美元/航次约合 55 美元/吨，综合增加数十至 100 美元/吨。</t>
        </is>
      </c>
    </row>
    <row r="22">
      <c r="A22" s="12" t="inlineStr">
        <is>
          <t>S19</t>
        </is>
      </c>
      <c r="B22" s="12" t="inlineStr">
        <is>
          <t>SunSirs: Uncertainty Surrounded Ethylene Glycol Imports from Saudi Arabia, and Its Price Rose</t>
        </is>
      </c>
      <c r="C22" s="12" t="inlineStr">
        <is>
          <t>SunSirs（生意社）</t>
        </is>
      </c>
      <c r="D22" s="12" t="inlineStr">
        <is>
          <t>2026-09-09</t>
        </is>
      </c>
      <c r="E22" s="12" t="inlineStr">
        <is>
          <t>商品资讯机构</t>
        </is>
      </c>
      <c r="F22" s="12" t="inlineStr">
        <is>
          <t>中</t>
        </is>
      </c>
      <c r="G22" s="42" t="inlineStr">
        <is>
          <t>https://www.sunsirs.com/commodity-news/petail-35975.html</t>
        </is>
      </c>
      <c r="H22" s="12" t="inlineStr">
        <is>
          <t>2025 年中国 MEG 进口 772 万吨、对外依存度约 27-28%；沙特占中国进口 54-55%（约 422 万吨/年）；沙特 MEG 总产能 7.75 Mt；2026-09-07 华东主港 MEG 库存 12 万吨（年初高值 92.64 万吨）。</t>
        </is>
      </c>
    </row>
    <row r="23">
      <c r="A23" s="14" t="inlineStr">
        <is>
          <t>S20</t>
        </is>
      </c>
      <c r="B23" s="14" t="inlineStr">
        <is>
          <t>Argaam: Yansab plans 25-day ethylene glycol plant shutdown</t>
        </is>
      </c>
      <c r="C23" s="14" t="inlineStr">
        <is>
          <t>Argaam（援引 Tadawul 公告）</t>
        </is>
      </c>
      <c r="D23" s="14" t="inlineStr">
        <is>
          <t>2026-01-22</t>
        </is>
      </c>
      <c r="E23" s="14" t="inlineStr">
        <is>
          <t>交易所公告转述</t>
        </is>
      </c>
      <c r="F23" s="38" t="inlineStr">
        <is>
          <t>高</t>
        </is>
      </c>
      <c r="G23" s="43" t="inlineStr">
        <is>
          <t>https://www.argaam.com/en/article/articledetail/id/1874631</t>
        </is>
      </c>
      <c r="H23" s="14" t="inlineStr">
        <is>
          <t>Yansab EG 装置自 2026-01-25 起停车 25 天做预防性检修，为装置投运以来最长连续运行周期后的检修；影响将体现在 2026 年一季度业绩。</t>
        </is>
      </c>
    </row>
    <row r="24">
      <c r="A24" s="12" t="inlineStr">
        <is>
          <t>S21</t>
        </is>
      </c>
      <c r="B24" s="12" t="inlineStr">
        <is>
          <t>Argaam: Saudi Arabia files complaint to WTO about levying anti-dumping duties on MEG imports</t>
        </is>
      </c>
      <c r="C24" s="12" t="inlineStr">
        <is>
          <t>Argaam</t>
        </is>
      </c>
      <c r="D24" s="12" t="inlineStr">
        <is>
          <t>2021-08-20</t>
        </is>
      </c>
      <c r="E24" s="12" t="inlineStr">
        <is>
          <t>财经媒体</t>
        </is>
      </c>
      <c r="F24" s="38" t="inlineStr">
        <is>
          <t>高</t>
        </is>
      </c>
      <c r="G24" s="42" t="inlineStr">
        <is>
          <t>https://www.argaam.com/en/article/articledetail/id/1490717</t>
        </is>
      </c>
      <c r="H24" s="12" t="inlineStr">
        <is>
          <t>欧盟自 2021-06-12 起对原产沙特的 MEG 征收为期 6 个月的反倾销税，税率 11.1%，涉及所有沙特企业，点名 Yansab、Saudi Kayan、SHARQ、YANPET、Petrokemya 等；沙特随后向 WTO 提起磋商。</t>
        </is>
      </c>
    </row>
    <row r="25">
      <c r="A25" s="14" t="inlineStr">
        <is>
          <t>S22</t>
        </is>
      </c>
      <c r="B25" s="14" t="inlineStr">
        <is>
          <t>Bloomberg: Saudi Arabia Chemical Plant Shuts Down as War Disrupts Supply Chains</t>
        </is>
      </c>
      <c r="C25" s="14" t="inlineStr">
        <is>
          <t>Bloomberg</t>
        </is>
      </c>
      <c r="D25" s="14" t="inlineStr">
        <is>
          <t>2026-03-31</t>
        </is>
      </c>
      <c r="E25" s="14" t="inlineStr">
        <is>
          <t>财经媒体</t>
        </is>
      </c>
      <c r="F25" s="38" t="inlineStr">
        <is>
          <t>高</t>
        </is>
      </c>
      <c r="G25" s="43" t="inlineStr">
        <is>
          <t>https://www.bloomberg.com/news/articles/2026-03-31/saudi-chemical-plant-shuts-down-as-war-disrupts-supply-chains</t>
        </is>
      </c>
      <c r="H25" s="14" t="inlineStr">
        <is>
          <t>Sadara 位于朱拜勒的装置临时全面停车（Sadara 不产 MEG，为产业链关联信号：朱拜勒一体化园区供电/供料中断）。</t>
        </is>
      </c>
    </row>
    <row r="26">
      <c r="A26" s="12" t="inlineStr">
        <is>
          <t>S23</t>
        </is>
      </c>
      <c r="B26" s="12" t="inlineStr">
        <is>
          <t>Argus Media: Saudi Sadara petchem site shuts down on US-Iran war</t>
        </is>
      </c>
      <c r="C26" s="12" t="inlineStr">
        <is>
          <t>Argus Media</t>
        </is>
      </c>
      <c r="D26" s="12" t="inlineStr">
        <is>
          <t>2026-03-31</t>
        </is>
      </c>
      <c r="E26" s="12" t="inlineStr">
        <is>
          <t>行业专业媒体</t>
        </is>
      </c>
      <c r="F26" s="38" t="inlineStr">
        <is>
          <t>高</t>
        </is>
      </c>
      <c r="G26" s="42" t="inlineStr">
        <is>
          <t>https://www.argusmedia.com/en/news-and-insights/latest-market-news/2808400-saudi-sadara-petchem-site-shuts-down-on-us-iran-war</t>
        </is>
      </c>
      <c r="H26" s="12" t="inlineStr">
        <is>
          <t>Sadara 以'持续供应中断'为由临时停车；Sadara 为 Aramco-Dow 合资，位于朱拜勒。</t>
        </is>
      </c>
    </row>
    <row r="27">
      <c r="A27" s="14" t="inlineStr">
        <is>
          <t>S24</t>
        </is>
      </c>
      <c r="B27" s="14" t="inlineStr">
        <is>
          <t>Reuters: Iran has attacked Saudi Arabia's Jubail petrochemical complex</t>
        </is>
      </c>
      <c r="C27" s="14" t="inlineStr">
        <is>
          <t>Reuters</t>
        </is>
      </c>
      <c r="D27" s="14" t="inlineStr">
        <is>
          <t>2026-04-07</t>
        </is>
      </c>
      <c r="E27" s="14" t="inlineStr">
        <is>
          <t>国际通讯社</t>
        </is>
      </c>
      <c r="F27" s="38" t="inlineStr">
        <is>
          <t>高</t>
        </is>
      </c>
      <c r="G27" s="43" t="inlineStr">
        <is>
          <t>https://www.reuters.com/world/middle-east/iran-has-attacked-saudi-petrochemical-complex-jubail-fars-news-agency-says-2026-04-07/</t>
        </is>
      </c>
      <c r="H27" s="14" t="inlineStr">
        <is>
          <t>伊朗方面称 2026-04-07 袭击了朱拜勒石化综合体（沙特石化下游核心）。</t>
        </is>
      </c>
    </row>
    <row r="28">
      <c r="A28" s="12" t="inlineStr">
        <is>
          <t>S25</t>
        </is>
      </c>
      <c r="B28" s="12" t="inlineStr">
        <is>
          <t>OPIS: Sabic Petchem Complex Hit as Gulf Strikes Escalate</t>
        </is>
      </c>
      <c r="C28" s="12" t="inlineStr">
        <is>
          <t>OPIS (Dow Jones)</t>
        </is>
      </c>
      <c r="D28" s="12" t="inlineStr">
        <is>
          <t>2026-04-07</t>
        </is>
      </c>
      <c r="E28" s="12" t="inlineStr">
        <is>
          <t>行业专业媒体</t>
        </is>
      </c>
      <c r="F28" s="38" t="inlineStr">
        <is>
          <t>高</t>
        </is>
      </c>
      <c r="G28" s="42" t="inlineStr">
        <is>
          <t>https://www.opis.com/resources/energy-market-news-from-opis/sabic-petchem-complex-hit-as-gulf-strikes-escalate-adding-to-supply-side-risks/</t>
        </is>
      </c>
      <c r="H28" s="12" t="inlineStr">
        <is>
          <t>朱拜勒受袭引发 SABIC 运营装置火灾；夜间发生爆炸。</t>
        </is>
      </c>
    </row>
    <row r="29">
      <c r="A29" s="14" t="inlineStr">
        <is>
          <t>S26</t>
        </is>
      </c>
      <c r="B29" s="14" t="inlineStr">
        <is>
          <t>Mysteel: Blast in Jubail Industrial City pushes up MEG prices to five-year high</t>
        </is>
      </c>
      <c r="C29" s="14" t="inlineStr">
        <is>
          <t>Mysteel Global</t>
        </is>
      </c>
      <c r="D29" s="14" t="inlineStr">
        <is>
          <t>2026-04-08</t>
        </is>
      </c>
      <c r="E29" s="14" t="inlineStr">
        <is>
          <t>行业专业媒体</t>
        </is>
      </c>
      <c r="F29" s="14" t="inlineStr">
        <is>
          <t>中高</t>
        </is>
      </c>
      <c r="G29" s="43" t="inlineStr">
        <is>
          <t>https://www.mysteel.net/news/5118932-blast-in-jubail-industrial-city-pushes-up-meg-prices-to-five-year-high</t>
        </is>
      </c>
      <c r="H29" s="14" t="inlineStr">
        <is>
          <t>2026-04-07 对朱拜勒关键石化基础设施的重大袭击导致核心装置停车、MEG 短期可供应量骤减，中国 MEG 价格升至五年高位。</t>
        </is>
      </c>
    </row>
    <row r="30">
      <c r="A30" s="12" t="inlineStr">
        <is>
          <t>S27</t>
        </is>
      </c>
      <c r="B30" s="12" t="inlineStr">
        <is>
          <t>ICIS: INSIGHT - Saudi SABIC force majeure aggravates global chemicals shortage</t>
        </is>
      </c>
      <c r="C30" s="12" t="inlineStr">
        <is>
          <t>ICIS</t>
        </is>
      </c>
      <c r="D30" s="12" t="inlineStr">
        <is>
          <t>2026-03-30</t>
        </is>
      </c>
      <c r="E30" s="12" t="inlineStr">
        <is>
          <t>行业专业媒体</t>
        </is>
      </c>
      <c r="F30" s="38" t="inlineStr">
        <is>
          <t>高</t>
        </is>
      </c>
      <c r="G30" s="42" t="inlineStr">
        <is>
          <t>https://www.icis.com/explore/resources/news/2026/03/30/11193220/insight-saudi-sabic-force-majeure-aggravates-global-chemicals-shortage/</t>
        </is>
      </c>
      <c r="H30" s="12" t="inlineStr">
        <is>
          <t>SABIC 于 2026-03-26 对多个产品宣布不可抗力，出口因霍尔木兹海峡有效关闭受阻；SM、EG、乙醇胺对亚洲供应受影响。</t>
        </is>
      </c>
    </row>
    <row r="31">
      <c r="A31" s="14" t="inlineStr">
        <is>
          <t>S28</t>
        </is>
      </c>
      <c r="B31" s="14" t="inlineStr">
        <is>
          <t>ChemAnalyst / SABIC 系（转载）: Sabic starts-up operations at Jubail MEG plant</t>
        </is>
      </c>
      <c r="C31" s="14" t="inlineStr">
        <is>
          <t>eog-asia / SABIC</t>
        </is>
      </c>
      <c r="D31" s="14" t="inlineStr">
        <is>
          <t>2022-10-18</t>
        </is>
      </c>
      <c r="E31" s="14" t="inlineStr">
        <is>
          <t>行业媒体</t>
        </is>
      </c>
      <c r="F31" s="14" t="inlineStr">
        <is>
          <t>中</t>
        </is>
      </c>
      <c r="G31" s="43" t="inlineStr">
        <is>
          <t>http://www.eog-asia.com/sabic-starts-up-operations-at-jubail-meg-plant/</t>
        </is>
      </c>
      <c r="H31" s="14" t="inlineStr">
        <is>
          <t>United EG-3 700,000 t/y 装置试车后正式商业化。</t>
        </is>
      </c>
    </row>
    <row r="32">
      <c r="A32" s="12" t="inlineStr">
        <is>
          <t>S29</t>
        </is>
      </c>
      <c r="B32" s="12" t="inlineStr">
        <is>
          <t>GASTAT: Maritime Transport Statistics Publication 2024</t>
        </is>
      </c>
      <c r="C32" s="12" t="inlineStr">
        <is>
          <t>General Authority for Statistics (Kingdom of Saudi Arabia)</t>
        </is>
      </c>
      <c r="D32" s="12" t="inlineStr">
        <is>
          <t>2025-09 发布（2024 年数据）</t>
        </is>
      </c>
      <c r="E32" s="12" t="inlineStr">
        <is>
          <t>国家统计机构（一手）</t>
        </is>
      </c>
      <c r="F32" s="38" t="inlineStr">
        <is>
          <t>高</t>
        </is>
      </c>
      <c r="G32" s="42" t="inlineStr">
        <is>
          <t>https://www.stats.gov.sa/documents/20117/2435281/Maritime+Transport+Statistics+Publication+2024+-+EN.pdf/3ff86956-7844-2137-44ad-32338b01c4fe?t=1758090474814</t>
        </is>
      </c>
      <c r="H32" s="12" t="inlineStr">
        <is>
          <t>2024 年沙特各港出港货量约 2.224 亿吨；延布法赫德国王工业港出口占比 51.1%（约 1.14 亿吨）；液体散货 1.77 亿吨以上。</t>
        </is>
      </c>
    </row>
    <row r="33">
      <c r="A33" s="14" t="inlineStr">
        <is>
          <t>S30</t>
        </is>
      </c>
      <c r="B33" s="14" t="inlineStr">
        <is>
          <t>Zawya: Saudi ports handle over 331mln tons of cargo in 2024 - GASTAT</t>
        </is>
      </c>
      <c r="C33" s="14" t="inlineStr">
        <is>
          <t>Zawya</t>
        </is>
      </c>
      <c r="D33" s="14" t="inlineStr">
        <is>
          <t>2025-09-19</t>
        </is>
      </c>
      <c r="E33" s="14" t="inlineStr">
        <is>
          <t>财经媒体（转述官方数据）</t>
        </is>
      </c>
      <c r="F33" s="14" t="inlineStr">
        <is>
          <t>中高</t>
        </is>
      </c>
      <c r="G33" s="43" t="inlineStr">
        <is>
          <t>https://www.zawya.com/en/business/transport-and-logistics/saudi-ports-handle-over-331mln-tons-of-cargo-in-2024-gastat-qg3h4lh4</t>
        </is>
      </c>
      <c r="H33" s="14" t="inlineStr">
        <is>
          <t>转述 GASTAT：延布法赫德国王工业港为该王国第一大出口港；达曼阿卜杜勒阿齐兹港集装箱第一。</t>
        </is>
      </c>
    </row>
    <row r="34">
      <c r="A34" s="12" t="inlineStr">
        <is>
          <t>S31</t>
        </is>
      </c>
      <c r="B34" s="12" t="inlineStr">
        <is>
          <t>Royal Vopak: Vopak and SABIC to invest in new storage terminal in Jubail (King Fahd Industrial Port)</t>
        </is>
      </c>
      <c r="C34" s="12" t="inlineStr">
        <is>
          <t>Royal Vopak</t>
        </is>
      </c>
      <c r="D34" s="12" t="inlineStr">
        <is>
          <t>2014-12-29</t>
        </is>
      </c>
      <c r="E34" s="12" t="inlineStr">
        <is>
          <t>企业公告（一手）</t>
        </is>
      </c>
      <c r="F34" s="38" t="inlineStr">
        <is>
          <t>高</t>
        </is>
      </c>
      <c r="G34" s="42" t="inlineStr">
        <is>
          <t>https://www.vopak.com/newsroom/news/vopak-and-sabic-invest-new-storage-terminal-jubail-saudi-arabia</t>
        </is>
      </c>
      <c r="H34" s="12" t="inlineStr">
        <is>
          <t>与 SABIC 合资在朱拜勒法赫德国王工业港建罐区，初期容量约 25 万立方米，2015 年初建成，服务石化及下游出口扩建。</t>
        </is>
      </c>
    </row>
    <row r="35">
      <c r="A35" s="14" t="inlineStr">
        <is>
          <t>S32</t>
        </is>
      </c>
      <c r="B35" s="14" t="inlineStr">
        <is>
          <t>Trade Arabia: Mawani, Arabian Chemical Terminals in deal to set up storage tanks at Jubail port</t>
        </is>
      </c>
      <c r="C35" s="14" t="inlineStr">
        <is>
          <t>Trade Arabia</t>
        </is>
      </c>
      <c r="D35" s="14" t="inlineStr">
        <is>
          <t>2018-03-09</t>
        </is>
      </c>
      <c r="E35" s="14" t="inlineStr">
        <is>
          <t>行业媒体</t>
        </is>
      </c>
      <c r="F35" s="14" t="inlineStr">
        <is>
          <t>中</t>
        </is>
      </c>
      <c r="G35" s="43" t="inlineStr">
        <is>
          <t>https://www.tradearabia.com/News/331866/Mawani-Arabian-Chemical-Terminals-in-deal-to-set-up-storage-tanks-at-Jubail-port</t>
        </is>
      </c>
      <c r="H35" s="14" t="inlineStr">
        <is>
          <t>沙特港务局(Mawani)与 ACT 就朱拜勒商港化工/石化品罐区签约，投资超 5 亿里亚尔、占地 4.9 万平方米。</t>
        </is>
      </c>
    </row>
    <row r="36">
      <c r="A36" s="12" t="inlineStr">
        <is>
          <t>S33</t>
        </is>
      </c>
      <c r="B36" s="12" t="inlineStr">
        <is>
          <t>Arabian Chemical Terminals: Ongoing Development of ACT's Facilities</t>
        </is>
      </c>
      <c r="C36" s="12" t="inlineStr">
        <is>
          <t>ACT (act-ksa.com)</t>
        </is>
      </c>
      <c r="D36" s="12" t="inlineStr">
        <is>
          <t>持续更新</t>
        </is>
      </c>
      <c r="E36" s="12" t="inlineStr">
        <is>
          <t>终端运营商（一手）</t>
        </is>
      </c>
      <c r="F36" s="38" t="inlineStr">
        <is>
          <t>高</t>
        </is>
      </c>
      <c r="G36" s="42" t="inlineStr">
        <is>
          <t>https://act-ksa.com/ongoing-development-of-acts-facilities/</t>
        </is>
      </c>
      <c r="H36" s="12" t="inlineStr">
        <is>
          <t>ACT 在朱拜勒商港继续新建 13 座储罐，面向海湾地区化学品储存与出口。</t>
        </is>
      </c>
    </row>
    <row r="37">
      <c r="A37" s="14" t="inlineStr">
        <is>
          <t>S34</t>
        </is>
      </c>
      <c r="B37" s="14" t="inlineStr">
        <is>
          <t>S&amp;P Global: Saudi feedstock hikes seen as a bet on US LNG exports surge</t>
        </is>
      </c>
      <c r="C37" s="14" t="inlineStr">
        <is>
          <t>S&amp;P Global Commodity Insights</t>
        </is>
      </c>
      <c r="D37" s="14" t="inlineStr">
        <is>
          <t>2025-01-28</t>
        </is>
      </c>
      <c r="E37" s="14" t="inlineStr">
        <is>
          <t>行业专业媒体</t>
        </is>
      </c>
      <c r="F37" s="38" t="inlineStr">
        <is>
          <t>高</t>
        </is>
      </c>
      <c r="G37" s="43" t="inlineStr">
        <is>
          <t>https://www.spglobal.com/energy/en/news-research/latest-news/crude-oil/012825-saudi-feedstock-hikes-seen-as-a-bet-on-us-lng-exports-surge</t>
        </is>
      </c>
      <c r="H37" s="14" t="inlineStr">
        <is>
          <t>Aramco 连续第二年提高化工原料气价格，自 2025-01-01 生效；背景是美国 LNG 出口增长与乙烷竞争。</t>
        </is>
      </c>
    </row>
    <row r="38">
      <c r="A38" s="12" t="inlineStr">
        <is>
          <t>S35</t>
        </is>
      </c>
      <c r="B38" s="12" t="inlineStr">
        <is>
          <t>Zawya: Saudi Arabia allocates feedstock for new petchem complexes in Jubail</t>
        </is>
      </c>
      <c r="C38" s="12" t="inlineStr">
        <is>
          <t>Zawya</t>
        </is>
      </c>
      <c r="D38" s="12" t="inlineStr">
        <is>
          <t>2025-02-27</t>
        </is>
      </c>
      <c r="E38" s="12" t="inlineStr">
        <is>
          <t>财经媒体</t>
        </is>
      </c>
      <c r="F38" s="12" t="inlineStr">
        <is>
          <t>中高</t>
        </is>
      </c>
      <c r="G38" s="42" t="inlineStr">
        <is>
          <t>https://www.zawya.com/en/projects/industry/saudi-arabia-allocates-feedstock-for-new-petchem-complexes-in-jubail-y8nt9zf3</t>
        </is>
      </c>
      <c r="H38" s="12" t="inlineStr">
        <is>
          <t>2025 年 2 月沙特能源部向 Tasnee 与 Sipchem 批复朱拜勒新建工业综合体的原料配额。</t>
        </is>
      </c>
    </row>
    <row r="39">
      <c r="A39" s="14" t="inlineStr">
        <is>
          <t>S36</t>
        </is>
      </c>
      <c r="B39" s="14" t="inlineStr">
        <is>
          <t>Yansab Annual Report 2024（董事会报告）</t>
        </is>
      </c>
      <c r="C39" s="14" t="inlineStr">
        <is>
          <t>Yanbu National Petrochemical Company</t>
        </is>
      </c>
      <c r="D39" s="14" t="inlineStr">
        <is>
          <t>2025 年发布（2024 财年）</t>
        </is>
      </c>
      <c r="E39" s="14" t="inlineStr">
        <is>
          <t>上市公司年报（一手）</t>
        </is>
      </c>
      <c r="F39" s="38" t="inlineStr">
        <is>
          <t>高</t>
        </is>
      </c>
      <c r="G39" s="43" t="inlineStr">
        <is>
          <t>https://www.yansab.com.sa/en/Images/Yansab%20Annual%20Report%202024%20-EN_tcm1047-46828.pdf</t>
        </is>
      </c>
      <c r="H39" s="14" t="inlineStr">
        <is>
          <t>Yansab 成立于 2006 年 2 月，SABIC 持股 51%；延布工业城；2024 年产量 3,625 千吨（同比 +22%），销量 2,136 千吨；销售区域：亚洲 32%、欧洲 29%、中东 14%、美洲 19%、非洲 6%；产品全部通过 SABIC 统一销售；2018 年 EG 检修(EG DBN 2)、2023 年全厂大修。年报未单列 EG 装置的产能数字。</t>
        </is>
      </c>
    </row>
    <row r="40">
      <c r="A40" s="12" t="inlineStr">
        <is>
          <t>S37</t>
        </is>
      </c>
      <c r="B40" s="12" t="inlineStr">
        <is>
          <t>SABIC Integrated Annual Report 2025（合资公司列表节选）</t>
        </is>
      </c>
      <c r="C40" s="12" t="inlineStr">
        <is>
          <t>SABIC</t>
        </is>
      </c>
      <c r="D40" s="12" t="inlineStr">
        <is>
          <t>2026 年发布（2025 财年）</t>
        </is>
      </c>
      <c r="E40" s="12" t="inlineStr">
        <is>
          <t>上市公司年报（一手）</t>
        </is>
      </c>
      <c r="F40" s="38" t="inlineStr">
        <is>
          <t>高</t>
        </is>
      </c>
      <c r="G40" s="42" t="inlineStr">
        <is>
          <t>https://www.sabic.com/en/Images/SABIC-Integrated-Annual-Report-2025-EN_tcm1010-49452.pdf</t>
        </is>
      </c>
      <c r="H40" s="12" t="inlineStr">
        <is>
          <t>列出 SHARQ（持股 50%）、YANPET（50%）、Al-Jubail Petrochemical Company (Kemya) 等合资方与账面价值，用于核对企业法人主体与集团关系。</t>
        </is>
      </c>
    </row>
    <row r="41">
      <c r="A41" s="14" t="inlineStr">
        <is>
          <t>S38</t>
        </is>
      </c>
      <c r="B41" s="14" t="inlineStr">
        <is>
          <t>S&amp;P Global: Middle East powers ahead with new petrochemicals investments</t>
        </is>
      </c>
      <c r="C41" s="14" t="inlineStr">
        <is>
          <t>S&amp;P Global</t>
        </is>
      </c>
      <c r="D41" s="14" t="inlineStr">
        <is>
          <t>2025-03-10</t>
        </is>
      </c>
      <c r="E41" s="14" t="inlineStr">
        <is>
          <t>行业专业媒体</t>
        </is>
      </c>
      <c r="F41" s="38" t="inlineStr">
        <is>
          <t>高</t>
        </is>
      </c>
      <c r="G41" s="43" t="inlineStr">
        <is>
          <t>https://www.spglobal.com/energy/en/news-research/latest-news/chemicals/031025-middle-east-powers-ahead-with-new-petrochemicals-investments-as-europe-consolidates</t>
        </is>
      </c>
      <c r="H41" s="14" t="inlineStr">
        <is>
          <t>Tasnee 计划朱拜勒新综合体（含乙烯裂解及 PE/MTBE 等）规模至多 330 万吨/年；Sipchem 获批原料。</t>
        </is>
      </c>
    </row>
    <row r="42">
      <c r="A42" s="12" t="inlineStr">
        <is>
          <t>S39</t>
        </is>
      </c>
      <c r="B42" s="12" t="inlineStr">
        <is>
          <t>SunSirs: MEG - A Turning Point in the Tight Supply-Demand Balance</t>
        </is>
      </c>
      <c r="C42" s="12" t="inlineStr">
        <is>
          <t>SunSirs</t>
        </is>
      </c>
      <c r="D42" s="12" t="inlineStr">
        <is>
          <t>2026-10-14</t>
        </is>
      </c>
      <c r="E42" s="12" t="inlineStr">
        <is>
          <t>商品资讯机构</t>
        </is>
      </c>
      <c r="F42" s="12" t="inlineStr">
        <is>
          <t>中</t>
        </is>
      </c>
      <c r="G42" s="42" t="inlineStr">
        <is>
          <t>https://www.sunsirs.com/commodity-news/petail-36772.html</t>
        </is>
      </c>
      <c r="H42" s="12" t="inlineStr">
        <is>
          <t>2026 年 10 月 MEG 供需与价格最新跟踪（用于确认截至报告日的市场状态）。</t>
        </is>
      </c>
    </row>
    <row r="43">
      <c r="A43" s="14" t="inlineStr">
        <is>
          <t>S40</t>
        </is>
      </c>
      <c r="B43" s="14" t="inlineStr">
        <is>
          <t>U Capital: Yansab 1Q26 Result Review</t>
        </is>
      </c>
      <c r="C43" s="14" t="inlineStr">
        <is>
          <t>Ubhar Capital</t>
        </is>
      </c>
      <c r="D43" s="14" t="inlineStr">
        <is>
          <t>2026-04-28</t>
        </is>
      </c>
      <c r="E43" s="14" t="inlineStr">
        <is>
          <t>券商研究</t>
        </is>
      </c>
      <c r="F43" s="14" t="inlineStr">
        <is>
          <t>中高</t>
        </is>
      </c>
      <c r="G43" s="43" t="inlineStr">
        <is>
          <t>https://u-capital.net/research-report/u-capital-yanbu-national-petrochemical-company-yansab-ab-1q26-result-review/</t>
        </is>
      </c>
      <c r="H43" s="14" t="inlineStr">
        <is>
          <t>Yansab 1Q26 收入 13.20 亿里亚尔（同比 -13%），并公告 EG 装置计划检修。</t>
        </is>
      </c>
    </row>
    <row r="44">
      <c r="A44" s="12" t="inlineStr">
        <is>
          <t>S41</t>
        </is>
      </c>
      <c r="B44" s="12" t="inlineStr">
        <is>
          <t>Saudi Exchange: Sipchem 获得能源部原料配额公告</t>
        </is>
      </c>
      <c r="C44" s="12" t="inlineStr">
        <is>
          <t>Tadawul / saudiexchange.sa</t>
        </is>
      </c>
      <c r="D44" s="12" t="inlineStr">
        <is>
          <t>2025-02-27</t>
        </is>
      </c>
      <c r="E44" s="12" t="inlineStr">
        <is>
          <t>交易所披露（一手）</t>
        </is>
      </c>
      <c r="F44" s="38" t="inlineStr">
        <is>
          <t>高</t>
        </is>
      </c>
      <c r="G44" s="42" t="inlineStr">
        <is>
          <t>https://www.saudiexchange.sa/wps/portal/saudiexchange/newsandreports/issuer-news/issuer-announcements/issuer-announcements-details/?anCat=1&amp;anId=85467&amp;cs=2310&amp;locale=en</t>
        </is>
      </c>
      <c r="H44" s="12" t="inlineStr">
        <is>
          <t>Sipchem 公告获得能源部原料配额拟建石化综合体——注意：Sipchem 现有产品链不含 MEG，属未来可能新增供给。</t>
        </is>
      </c>
    </row>
    <row r="45">
      <c r="A45" s="14" t="inlineStr">
        <is>
          <t>S42</t>
        </is>
      </c>
      <c r="B45" s="14" t="inlineStr">
        <is>
          <t>WITS: Saudi Arabia exports of HS 2905.31 to China, 2024</t>
        </is>
      </c>
      <c r="C45" s="14" t="inlineStr">
        <is>
          <t>World Bank WITS</t>
        </is>
      </c>
      <c r="D45" s="14" t="inlineStr">
        <is>
          <t>2026 年页面刷新</t>
        </is>
      </c>
      <c r="E45" s="14" t="inlineStr">
        <is>
          <t>官方统计数据库</t>
        </is>
      </c>
      <c r="F45" s="38" t="inlineStr">
        <is>
          <t>高</t>
        </is>
      </c>
      <c r="G45" s="43" t="inlineStr">
        <is>
          <t>https://wits.worldbank.org/trade/comtrade/en/country/All/year/2024/tradeflow/Exports/partner/CHN/product/290531</t>
        </is>
      </c>
      <c r="H45" s="14" t="inlineStr">
        <is>
          <t>对华 MEG 出口的报告方口径，可与 S01 交叉核对。</t>
        </is>
      </c>
    </row>
    <row r="46">
      <c r="A46" s="12" t="inlineStr">
        <is>
          <t>S43</t>
        </is>
      </c>
      <c r="B46" s="12" t="inlineStr">
        <is>
          <t>SABIC Q1 2026 Earnings Transcript</t>
        </is>
      </c>
      <c r="C46" s="12" t="inlineStr">
        <is>
          <t>SABIC</t>
        </is>
      </c>
      <c r="D46" s="12" t="inlineStr">
        <is>
          <t>2026 年发布</t>
        </is>
      </c>
      <c r="E46" s="12" t="inlineStr">
        <is>
          <t>上市公司业绩会议记录（一手）</t>
        </is>
      </c>
      <c r="F46" s="38" t="inlineStr">
        <is>
          <t>高</t>
        </is>
      </c>
      <c r="G46" s="42" t="inlineStr">
        <is>
          <t>https://www.sabic.com/en/Images/SABIC-Earnings-Transcript-Q1-2026_tcm1010-51326.pdf</t>
        </is>
      </c>
      <c r="H46" s="12" t="inlineStr">
        <is>
          <t>中东在 MEG/甲醇等关键产品全球进口中占比约一半，是重要出口枢纽（用于判断沙特在全球 MEG 贸易中的地位）。</t>
        </is>
      </c>
    </row>
    <row r="47">
      <c r="A47" s="14" t="inlineStr">
        <is>
          <t>S44</t>
        </is>
      </c>
      <c r="B47" s="14" t="inlineStr">
        <is>
          <t>MEES: Crude Exports From Saudi Arabia's Yanbu Go Dark</t>
        </is>
      </c>
      <c r="C47" s="14" t="inlineStr">
        <is>
          <t>MEES</t>
        </is>
      </c>
      <c r="D47" s="14" t="inlineStr">
        <is>
          <t>2026-08-14</t>
        </is>
      </c>
      <c r="E47" s="14" t="inlineStr">
        <is>
          <t>行业媒体</t>
        </is>
      </c>
      <c r="F47" s="38" t="inlineStr">
        <is>
          <t>高</t>
        </is>
      </c>
      <c r="G47" s="43" t="inlineStr">
        <is>
          <t>https://www.mees.com/2026/8/14/oil-gas/crude-exports-from-saudi-arabias-yanbu-go-dark/e7221380-97dc-11f1-9d82-add89800e9b0</t>
        </is>
      </c>
      <c r="H47" s="14" t="inlineStr">
        <is>
          <t>2026 年 8 月延布出口一度中断——红海通道同时承压，影响西海岸 MEG 出运能力。</t>
        </is>
      </c>
    </row>
    <row r="48">
      <c r="A48" s="12" t="inlineStr">
        <is>
          <t>S45</t>
        </is>
      </c>
      <c r="B48" s="12" t="inlineStr">
        <is>
          <t>Industrial Info: Saudi Kayan Moves Forward with Construction of Ethylene Glycol Plant at Jubail</t>
        </is>
      </c>
      <c r="C48" s="12" t="inlineStr">
        <is>
          <t>Industrial Info Resources</t>
        </is>
      </c>
      <c r="D48" s="12" t="inlineStr">
        <is>
          <t>2008-10-21</t>
        </is>
      </c>
      <c r="E48" s="12" t="inlineStr">
        <is>
          <t>行业数据库媒体</t>
        </is>
      </c>
      <c r="F48" s="12" t="inlineStr">
        <is>
          <t>中</t>
        </is>
      </c>
      <c r="G48" s="42" t="inlineStr">
        <is>
          <t>https://www.industrialinfo.com/news/article/saudi-kayan-moves-forward-with-construction-of-ethylene-glycol-plant-at-jubail-industrial-city--140258</t>
        </is>
      </c>
      <c r="H48" s="12" t="inlineStr">
        <is>
          <t>Kayan 拟建 EO/EG 装置设计产能：EO 至多 550 kt/y，MEG 700 kt/y（早期规划值，与最终 1,065 kt 合计口径不同，仅作历史对照）。</t>
        </is>
      </c>
    </row>
    <row r="49">
      <c r="A49" s="14" t="inlineStr">
        <is>
          <t>S46</t>
        </is>
      </c>
      <c r="B49" s="14" t="inlineStr">
        <is>
          <t>Gulf Industry (SABIC 声明转载): Yanbu expansion comes on stream</t>
        </is>
      </c>
      <c r="C49" s="14" t="inlineStr">
        <is>
          <t>Gulf Industry / SABIC</t>
        </is>
      </c>
      <c r="D49" s="14" t="inlineStr">
        <is>
          <t>2001-06-27</t>
        </is>
      </c>
      <c r="E49" s="14" t="inlineStr">
        <is>
          <t>行业媒体（转述官方声明）</t>
        </is>
      </c>
      <c r="F49" s="14" t="inlineStr">
        <is>
          <t>中</t>
        </is>
      </c>
      <c r="G49" s="43" t="inlineStr">
        <is>
          <t>https://gulfindustryonline.com/news/1046_Yanbu-expansion-comes-on-stream.html</t>
        </is>
      </c>
      <c r="H49" s="14" t="inlineStr">
        <is>
          <t>Yanpet 26 亿美元扩能项目投产，新增乙二醇 420,000 吨/年（TOYO 建于 2000 年），PE 535,000 吨/年。</t>
        </is>
      </c>
    </row>
    <row r="50">
      <c r="A50" s="12" t="inlineStr">
        <is>
          <t>S47</t>
        </is>
      </c>
      <c r="B50" s="12" t="inlineStr">
        <is>
          <t>Reuters / Argus (Sadara 停产后续)</t>
        </is>
      </c>
      <c r="C50" s="12" t="inlineStr">
        <is>
          <t>bne IntelliNews</t>
        </is>
      </c>
      <c r="D50" s="12" t="inlineStr">
        <is>
          <t>2026-04-03</t>
        </is>
      </c>
      <c r="E50" s="12" t="inlineStr">
        <is>
          <t>媒体分析</t>
        </is>
      </c>
      <c r="F50" s="12" t="inlineStr">
        <is>
          <t>中</t>
        </is>
      </c>
      <c r="G50" s="42" t="inlineStr">
        <is>
          <t>https://www.intellinews.com/saudi-sadara-petrochemical-giant-closed-down-creating-a-new-plastics-chokepoint-435543/</t>
        </is>
      </c>
      <c r="H50" s="12" t="inlineStr">
        <is>
          <t>Sadara 因原料输入被切断而被迫全面停车；反映朱拜勒园区公用工程与原料链的系统性风险。</t>
        </is>
      </c>
    </row>
  </sheetData>
  <autoFilter ref="A3:H50"/>
  <mergeCells count="2">
    <mergeCell ref="A2:H2"/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海外供应市场研究 Skill v1.0</dc:creator>
  <dc:title xmlns:dc="http://purl.org/dc/elements/1.1/">沙特阿拉伯 乙二醇（MEG）供应市场研究</dc:title>
  <dc:description xmlns:dc="http://purl.org/dc/elements/1.1/">本报告数据截止 2026-10-20。2026 年 2 月末起的中东冲突与霍尔木兹海峡有效封闭对沙特 MEG 的产量、出口与物流产生结构性影响，涉及 2026 年的数据须与 2025 年及以前年份分开解读。</dc:description>
  <dc:subject xmlns:dc="http://purl.org/dc/elements/1.1/">海外供应市场研究</dc:subject>
  <dcterms:created xmlns:dcterms="http://purl.org/dc/terms/" xmlns:xsi="http://www.w3.org/2001/XMLSchema-instance" xsi:type="dcterms:W3CDTF">2026-10-20T02:49:59Z</dcterms:created>
  <dcterms:modified xmlns:dcterms="http://purl.org/dc/terms/" xmlns:xsi="http://www.w3.org/2001/XMLSchema-instance" xsi:type="dcterms:W3CDTF">2026-10-20T02:50:00Z</dcterms:modified>
</cp:coreProperties>
</file>
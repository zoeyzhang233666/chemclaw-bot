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说明" sheetId="1" state="visible" r:id="rId1"/>
    <sheet xmlns:r="http://schemas.openxmlformats.org/officeDocument/2006/relationships" name="01 主体识别" sheetId="2" state="visible" r:id="rId2"/>
    <sheet xmlns:r="http://schemas.openxmlformats.org/officeDocument/2006/relationships" name="02 产品监管识别" sheetId="3" state="visible" r:id="rId3"/>
    <sheet xmlns:r="http://schemas.openxmlformats.org/officeDocument/2006/relationships" name="03 监管分类核验单" sheetId="4" state="visible" r:id="rId4"/>
    <sheet xmlns:r="http://schemas.openxmlformats.org/officeDocument/2006/relationships" name="04 供应商许可要求" sheetId="5" state="visible" r:id="rId5"/>
    <sheet xmlns:r="http://schemas.openxmlformats.org/officeDocument/2006/relationships" name="05 采购方义务" sheetId="6" state="visible" r:id="rId6"/>
    <sheet xmlns:r="http://schemas.openxmlformats.org/officeDocument/2006/relationships" name="06 证照台账" sheetId="7" state="visible" r:id="rId7"/>
    <sheet xmlns:r="http://schemas.openxmlformats.org/officeDocument/2006/relationships" name="07 有效期与范围比对" sheetId="8" state="visible" r:id="rId8"/>
    <sheet xmlns:r="http://schemas.openxmlformats.org/officeDocument/2006/relationships" name="08 交叉核验记录" sheetId="9" state="visible" r:id="rId9"/>
    <sheet xmlns:r="http://schemas.openxmlformats.org/officeDocument/2006/relationships" name="09 索证清单" sheetId="10" state="visible" r:id="rId10"/>
    <sheet xmlns:r="http://schemas.openxmlformats.org/officeDocument/2006/relationships" name="10 供应商资料请求草稿" sheetId="11" state="visible" r:id="rId11"/>
    <sheet xmlns:r="http://schemas.openxmlformats.org/officeDocument/2006/relationships" name="11 风险与处置" sheetId="12" state="visible" r:id="rId12"/>
    <sheet xmlns:r="http://schemas.openxmlformats.org/officeDocument/2006/relationships" name="12 人工核验事项" sheetId="13" state="visible" r:id="rId13"/>
    <sheet xmlns:r="http://schemas.openxmlformats.org/officeDocument/2006/relationships" name="13 证据登记" sheetId="14" state="visible" r:id="rId14"/>
    <sheet xmlns:r="http://schemas.openxmlformats.org/officeDocument/2006/relationships" name="14 附录·数据字典" sheetId="15" state="visible" r:id="rId15"/>
  </sheets>
  <definedNames>
    <definedName name="基准日">'00 封面与说明'!$B$5</definedName>
    <definedName name="_xlnm._FilterDatabase" localSheetId="6" hidden="1">'06 证照台账'!$A$4:$P$7</definedName>
    <definedName name="_xlnm._FilterDatabase" localSheetId="7" hidden="1">'07 有效期与范围比对'!$A$4:$J$7</definedName>
    <definedName name="_xlnm._FilterDatabase" localSheetId="9" hidden="1">'09 索证清单'!$A$4:$I$8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B4239"/>
      <sz val="9"/>
    </font>
    <font>
      <name val="微软雅黑"/>
      <b val="1"/>
      <color rgb="0012312A"/>
      <sz val="10"/>
    </font>
    <font>
      <name val="微软雅黑"/>
      <color rgb="0018231F"/>
      <sz val="10"/>
    </font>
    <font>
      <name val="微软雅黑"/>
      <b val="1"/>
      <color rgb="00FFFFFF"/>
      <sz val="11"/>
    </font>
    <font>
      <name val="微软雅黑"/>
      <b val="1"/>
      <color rgb="00B3402A"/>
      <sz val="9.5"/>
    </font>
    <font>
      <name val="微软雅黑"/>
      <color rgb="0018231F"/>
      <sz val="9.5"/>
    </font>
    <font>
      <name val="微软雅黑"/>
      <b val="1"/>
      <color rgb="0012312A"/>
      <sz val="9.5"/>
    </font>
    <font>
      <name val="微软雅黑"/>
      <b val="1"/>
      <color rgb="00FFFFFF"/>
      <sz val="9.5"/>
    </font>
    <font>
      <name val="微软雅黑"/>
      <color rgb="00A9761B"/>
      <sz val="9.5"/>
    </font>
    <font>
      <name val="微软雅黑"/>
      <b val="1"/>
      <color rgb="0012312A"/>
      <sz val="11"/>
    </font>
    <font>
      <name val="微软雅黑"/>
      <b val="1"/>
      <color rgb="001F7A4D"/>
      <sz val="9.5"/>
    </font>
    <font>
      <name val="微软雅黑"/>
      <b val="1"/>
      <color rgb="00A9761B"/>
      <sz val="9.5"/>
    </font>
    <font>
      <name val="微软雅黑"/>
      <color rgb="001B4239"/>
      <sz val="9.5"/>
    </font>
    <font>
      <name val="微软雅黑"/>
      <b val="1"/>
      <color rgb="006B7280"/>
      <sz val="9.5"/>
    </font>
    <font>
      <name val="微软雅黑"/>
      <color rgb="001B4239"/>
      <sz val="8.5"/>
      <u val="single"/>
    </font>
    <font>
      <name val="微软雅黑"/>
      <b val="1"/>
      <color rgb="0018231F"/>
      <sz val="9.5"/>
    </font>
    <font>
      <name val="微软雅黑"/>
      <color rgb="006B7280"/>
      <sz val="8.5"/>
    </font>
    <font>
      <name val="微软雅黑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2312A"/>
      </patternFill>
    </fill>
    <fill>
      <patternFill patternType="solid">
        <fgColor rgb="00F7F5EF"/>
      </patternFill>
    </fill>
    <fill>
      <patternFill patternType="solid">
        <fgColor rgb="00F1EDE1"/>
      </patternFill>
    </fill>
    <fill>
      <patternFill patternType="solid">
        <fgColor rgb="00A8843C"/>
      </patternFill>
    </fill>
    <fill>
      <patternFill patternType="solid">
        <fgColor rgb="00FBE9E4"/>
      </patternFill>
    </fill>
    <fill>
      <patternFill patternType="solid">
        <fgColor rgb="001B4239"/>
      </patternFill>
    </fill>
    <fill>
      <patternFill patternType="solid">
        <fgColor rgb="00FBFAF5"/>
      </patternFill>
    </fill>
    <fill>
      <patternFill patternType="solid">
        <fgColor rgb="00FBF2DD"/>
      </patternFill>
    </fill>
    <fill>
      <patternFill patternType="solid">
        <fgColor rgb="00E8F3EC"/>
      </patternFill>
    </fill>
    <fill>
      <patternFill patternType="solid">
        <fgColor rgb="00EEF0F1"/>
      </patternFill>
    </fill>
  </fills>
  <borders count="6">
    <border>
      <left/>
      <right/>
      <top/>
      <bottom/>
      <diagonal/>
    </border>
    <border>
      <left style="thin">
        <color rgb="00D9D3C3"/>
      </left>
      <right style="thin">
        <color rgb="00D9D3C3"/>
      </right>
      <top style="thin">
        <color rgb="00D9D3C3"/>
      </top>
      <bottom style="thin">
        <color rgb="00D9D3C3"/>
      </bottom>
    </border>
    <border>
      <left/>
      <right/>
      <top style="thin">
        <color rgb="00D9D3C3"/>
      </top>
      <bottom/>
      <diagonal/>
    </border>
    <border>
      <left/>
      <right style="thin">
        <color rgb="00D9D3C3"/>
      </right>
      <top style="thin">
        <color rgb="00D9D3C3"/>
      </top>
      <bottom/>
      <diagonal/>
    </border>
    <border>
      <left/>
      <right/>
      <top style="thin">
        <color rgb="00D9D3C3"/>
      </top>
      <bottom style="thin">
        <color rgb="00D9D3C3"/>
      </bottom>
      <diagonal/>
    </border>
    <border>
      <left/>
      <right style="thin">
        <color rgb="00D9D3C3"/>
      </right>
      <top style="thin">
        <color rgb="00D9D3C3"/>
      </top>
      <bottom style="thin">
        <color rgb="00D9D3C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vertical="top" indent="1"/>
    </xf>
    <xf numFmtId="0" fontId="4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indent="1"/>
    </xf>
    <xf numFmtId="0" fontId="6" fillId="6" borderId="1" applyAlignment="1" pivotButton="0" quotePrefix="0" xfId="0">
      <alignment vertical="top" indent="1"/>
    </xf>
    <xf numFmtId="0" fontId="7" fillId="0" borderId="1" applyAlignment="1" pivotButton="0" quotePrefix="0" xfId="0">
      <alignment vertical="top" wrapText="1"/>
    </xf>
    <xf numFmtId="0" fontId="8" fillId="3" borderId="1" pivotButton="0" quotePrefix="0" xfId="0"/>
    <xf numFmtId="0" fontId="7" fillId="0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vertical="top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10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vertical="top" wrapText="1" indent="1"/>
    </xf>
    <xf numFmtId="0" fontId="6" fillId="6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wrapText="1"/>
    </xf>
    <xf numFmtId="0" fontId="15" fillId="11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wrapText="1"/>
    </xf>
    <xf numFmtId="0" fontId="16" fillId="8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7" fillId="3" borderId="1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11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mem.gov.cn/fw/flfgbz/fg/201709/P020220609517465250797.pdf" TargetMode="External" Id="rId1"/><Relationship Type="http://schemas.openxmlformats.org/officeDocument/2006/relationships/hyperlink" Target="https://csrcare.com/master%20law/%E6%B3%95%E8%A7%84/%E6%B3%95%E8%A7%84%E6%80%A7%E6%96%87%E4%BB%B6GW/GW1000-000806-2017%E6%98%93%E5%88%B6%E7%88%86%E5%8D%B1%E9%99%A9%E5%8C%96%E5%AD%A6%E5%93%81%E5%90%8D%E5%BD%95(2017%E5%B9%B4%E7%89%88).pdf" TargetMode="External" Id="rId2"/></Relationships>
</file>

<file path=xl/worksheets/sheet1.xml><?xml version="1.0" encoding="utf-8"?>
<worksheet xmlns="http://schemas.openxmlformats.org/spreadsheetml/2006/main">
  <sheetPr>
    <tabColor rgb="00A8843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化学品供应商资质证照 · 监管要求核验台账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由 chem-supplier-qualification 技能生成；监管分类以主管部门公示与证照原件为最终依据    ｜    记录号 QC-MEOH-DEMO-20261012</t>
        </is>
      </c>
      <c r="B2" s="4" t="n"/>
      <c r="C2" s="4" t="n"/>
      <c r="D2" s="4" t="n"/>
      <c r="E2" s="4" t="n"/>
      <c r="F2" s="4" t="n"/>
    </row>
    <row r="4" ht="20" customHeight="1">
      <c r="A4" s="5" t="inlineStr">
        <is>
          <t>台账名称</t>
        </is>
      </c>
      <c r="B4" s="6" t="inlineStr">
        <is>
          <t>向华东贸易商采购 甲醇（工业级 ≥99.9%）· 资质证照核验底稿</t>
        </is>
      </c>
    </row>
    <row r="5" ht="20" customHeight="1">
      <c r="A5" s="5" t="inlineStr">
        <is>
          <t>核验基准日 as_of</t>
        </is>
      </c>
      <c r="B5" s="6" t="inlineStr">
        <is>
          <t>2026-10-12</t>
        </is>
      </c>
    </row>
    <row r="6" ht="20" customHeight="1">
      <c r="A6" s="5" t="inlineStr">
        <is>
          <t>主体（供应商）</t>
        </is>
      </c>
      <c r="B6" s="6" t="inlineStr">
        <is>
          <t>【示例】华东某化工贸易有限公司</t>
        </is>
      </c>
    </row>
    <row r="7" ht="20" customHeight="1">
      <c r="A7" s="5" t="inlineStr">
        <is>
          <t>统一社会信用代码</t>
        </is>
      </c>
      <c r="B7" s="6" t="inlineStr"/>
    </row>
    <row r="8" ht="20" customHeight="1">
      <c r="A8" s="5" t="inlineStr">
        <is>
          <t>采购物料</t>
        </is>
      </c>
      <c r="B8" s="6" t="inlineStr">
        <is>
          <t>甲醇</t>
        </is>
      </c>
    </row>
    <row r="9" ht="20" customHeight="1">
      <c r="A9" s="5" t="inlineStr">
        <is>
          <t>规格／浓度</t>
        </is>
      </c>
      <c r="B9" s="6" t="inlineStr">
        <is>
          <t>工业级 ≥99.9%（质量分数），水分≤0.10%，按 GB/T 338 一等品</t>
        </is>
      </c>
    </row>
    <row r="10" ht="20" customHeight="1">
      <c r="A10" s="5" t="inlineStr">
        <is>
          <t>CAS 登记号</t>
        </is>
      </c>
      <c r="B10" s="6" t="inlineStr">
        <is>
          <t>67-56-1</t>
        </is>
      </c>
    </row>
    <row r="11" ht="20" customHeight="1">
      <c r="A11" s="5" t="inlineStr">
        <is>
          <t>采购方（我方）</t>
        </is>
      </c>
      <c r="B11" s="6" t="inlineStr">
        <is>
          <t>【示例】某涂料/树脂企业</t>
        </is>
      </c>
    </row>
    <row r="12" ht="20" customHeight="1">
      <c r="A12" s="5" t="inlineStr">
        <is>
          <t>总体判定</t>
        </is>
      </c>
      <c r="B12" s="6" t="inlineStr">
        <is>
          <t>G3 暂不能放行</t>
        </is>
      </c>
    </row>
    <row r="13" ht="20" customHeight="1">
      <c r="A13" s="5" t="inlineStr">
        <is>
          <t>一句话结论</t>
        </is>
      </c>
      <c r="B13" s="6" t="inlineStr">
        <is>
          <t>示例数据：甲醇属危险化学品与易燃液体；贸易商路径需同时核验经营许可（含经营方式）与上游工厂生产许可。</t>
        </is>
      </c>
    </row>
    <row r="14" ht="20" customHeight="1">
      <c r="A14" s="5" t="inlineStr">
        <is>
          <t>编制</t>
        </is>
      </c>
      <c r="B14" s="6" t="inlineStr">
        <is>
          <t>采购部 · 资质核验岗</t>
        </is>
      </c>
    </row>
    <row r="15" ht="20" customHeight="1">
      <c r="A15" s="5" t="inlineStr">
        <is>
          <t>生成时间</t>
        </is>
      </c>
      <c r="B15" s="6" t="inlineStr">
        <is>
          <t>2026-10-12</t>
        </is>
      </c>
    </row>
    <row r="17">
      <c r="A17" s="7" t="inlineStr">
        <is>
          <t>本台账的使用纪律（务必先读）</t>
        </is>
      </c>
    </row>
    <row r="18" ht="44" customHeight="1">
      <c r="A18" s="8" t="inlineStr">
        <is>
          <t>四态互斥</t>
        </is>
      </c>
      <c r="B18" s="9" t="inlineStr">
        <is>
          <t>证照只允许处于「已核验 / 信息不一致 / 待核验 / 无公开信息」四态之一；过期单独以「已过期」标记。不得混写、不得用一份证件推断企业整体合规。</t>
        </is>
      </c>
    </row>
    <row r="19" ht="30" customHeight="1">
      <c r="A19" s="8" t="inlineStr">
        <is>
          <t>查不到≠无证</t>
        </is>
      </c>
      <c r="B19" s="9" t="inlineStr">
        <is>
          <t>「无公开信息」只表示本次定向检索未发现公开记录，必须原样转入索证清单，不得写成「企业无证」。</t>
        </is>
      </c>
    </row>
    <row r="20" ht="30" customHeight="1">
      <c r="A20" s="8" t="inlineStr">
        <is>
          <t>不得推断</t>
        </is>
      </c>
      <c r="B20" s="9" t="inlineStr">
        <is>
          <t>不得根据企业名称、经营范围、行业常识推断许可状态；许可范围必须逐字核对是否覆盖拟采购产品与浓度。</t>
        </is>
      </c>
    </row>
    <row r="21" ht="30" customHeight="1">
      <c r="A21" s="8" t="inlineStr">
        <is>
          <t>时间基准</t>
        </is>
      </c>
      <c r="B21" s="9" t="inlineStr">
        <is>
          <t>全表只有一个 as_of 日期；有效期、到期提醒、是否过期都相对它计算，替换日期即可重算。</t>
        </is>
      </c>
    </row>
    <row r="22" ht="30" customHeight="1">
      <c r="A22" s="8" t="inlineStr">
        <is>
          <t>交叉核验</t>
        </is>
      </c>
      <c r="B22" s="9" t="inlineStr">
        <is>
          <t>上传扫描件/OCR 字段只能作 A 侧，必须与主管部门公示（B 侧）逐字段比对；不一致即「信息不一致」。</t>
        </is>
      </c>
    </row>
    <row r="23" ht="30" customHeight="1">
      <c r="A23" s="8" t="inlineStr">
        <is>
          <t>最终依据</t>
        </is>
      </c>
      <c r="B23" s="9" t="inlineStr">
        <is>
          <t>本台账不替代主管部门公示与证照原件；出具采购决定前须完成第 12 页「人工核验事项」。</t>
        </is>
      </c>
    </row>
    <row r="24" ht="30" customHeight="1">
      <c r="A24" s="8" t="inlineStr">
        <is>
          <t>模拟件标注</t>
        </is>
      </c>
      <c r="B24" s="9" t="inlineStr">
        <is>
          <t>凡 mode=mock 的扫描件均为模拟演示文件，严禁当作真实证照使用。</t>
        </is>
      </c>
    </row>
    <row r="26">
      <c r="A26" s="7" t="inlineStr">
        <is>
          <t>页签导航</t>
        </is>
      </c>
    </row>
    <row r="27">
      <c r="A27" s="10" t="inlineStr">
        <is>
          <t>01 主体识别</t>
        </is>
      </c>
      <c r="B27" s="11" t="inlineStr">
        <is>
          <t>工商身份、信用代码校验、企业关系链</t>
        </is>
      </c>
    </row>
    <row r="28">
      <c r="A28" s="10" t="inlineStr">
        <is>
          <t>02 产品监管识别</t>
        </is>
      </c>
      <c r="B28" s="11" t="inlineStr">
        <is>
          <t>CAS/浓度/剂型 → 危险化学品与特殊管理类别</t>
        </is>
      </c>
    </row>
    <row r="29">
      <c r="A29" s="10" t="inlineStr">
        <is>
          <t>03 监管分类核验单</t>
        </is>
      </c>
      <c r="B29" s="11" t="inlineStr">
        <is>
          <t>逐项打勾：已确认 / 未确认（≠不属于） / 待核验</t>
        </is>
      </c>
    </row>
    <row r="30">
      <c r="A30" s="10" t="inlineStr">
        <is>
          <t>04 供应商许可要求</t>
        </is>
      </c>
      <c r="B30" s="11" t="inlineStr">
        <is>
          <t>生产/经营/储存各类许可的适用条件与核验要点</t>
        </is>
      </c>
    </row>
    <row r="31">
      <c r="A31" s="10" t="inlineStr">
        <is>
          <t>05 采购方义务</t>
        </is>
      </c>
      <c r="B31" s="11" t="inlineStr">
        <is>
          <t>买方的许可、备案、流向登记与安全管理义务</t>
        </is>
      </c>
    </row>
    <row r="32">
      <c r="A32" s="10" t="inlineStr">
        <is>
          <t>06 证照台账</t>
        </is>
      </c>
      <c r="B32" s="11" t="inlineStr">
        <is>
          <t>核心表：证书、编号、机关、有效期、许可范围、状态</t>
        </is>
      </c>
    </row>
    <row r="33">
      <c r="A33" s="10" t="inlineStr">
        <is>
          <t>07 有效期与范围比对</t>
        </is>
      </c>
      <c r="B33" s="11" t="inlineStr">
        <is>
          <t>自动计算剩余天数，自动判定是否覆盖本采购</t>
        </is>
      </c>
    </row>
    <row r="34">
      <c r="A34" s="10" t="inlineStr">
        <is>
          <t>08 交叉核验记录</t>
        </is>
      </c>
      <c r="B34" s="11" t="inlineStr">
        <is>
          <t>证照字段 × 主管部门公示 × 工商身份</t>
        </is>
      </c>
    </row>
    <row r="35">
      <c r="A35" s="10" t="inlineStr">
        <is>
          <t>09 索证清单</t>
        </is>
      </c>
      <c r="B35" s="11" t="inlineStr">
        <is>
          <t>必须索取原件的证照 + 确认问题（含自动派生项）</t>
        </is>
      </c>
    </row>
    <row r="36">
      <c r="A36" s="10" t="inlineStr">
        <is>
          <t>10 供应商资料请求草稿</t>
        </is>
      </c>
      <c r="B36" s="11" t="inlineStr">
        <is>
          <t>可直接复制发送的补充资料请求函</t>
        </is>
      </c>
    </row>
    <row r="37">
      <c r="A37" s="10" t="inlineStr">
        <is>
          <t>11 风险与处置</t>
        </is>
      </c>
      <c r="B37" s="11" t="inlineStr">
        <is>
          <t>事实—后果—处置，逐条对应</t>
        </is>
      </c>
    </row>
    <row r="38">
      <c r="A38" s="10" t="inlineStr">
        <is>
          <t>12 人工核验事项</t>
        </is>
      </c>
      <c r="B38" s="11" t="inlineStr">
        <is>
          <t>无法自动化的现场/电话核验清单</t>
        </is>
      </c>
    </row>
    <row r="39">
      <c r="A39" s="10" t="inlineStr">
        <is>
          <t>13 证据登记</t>
        </is>
      </c>
      <c r="B39" s="11" t="inlineStr">
        <is>
          <t>E01…En 来源、发布机构、日期、URL、支撑内容</t>
        </is>
      </c>
    </row>
    <row r="40">
      <c r="A40" s="10" t="inlineStr">
        <is>
          <t>14 附录·数据字典</t>
        </is>
      </c>
      <c r="B40" s="11" t="inlineStr">
        <is>
          <t>字段含义、状态口径、更新维护约定</t>
        </is>
      </c>
    </row>
  </sheetData>
  <mergeCells count="37">
    <mergeCell ref="B4:F4"/>
    <mergeCell ref="B7:F7"/>
    <mergeCell ref="B31:F31"/>
    <mergeCell ref="B22:F22"/>
    <mergeCell ref="A26:F26"/>
    <mergeCell ref="B18:F18"/>
    <mergeCell ref="B27:F27"/>
    <mergeCell ref="B21:F21"/>
    <mergeCell ref="A2:F2"/>
    <mergeCell ref="B12:F12"/>
    <mergeCell ref="B39:F39"/>
    <mergeCell ref="B11:F11"/>
    <mergeCell ref="A17:F17"/>
    <mergeCell ref="B23:F23"/>
    <mergeCell ref="B14:F14"/>
    <mergeCell ref="B8:F8"/>
    <mergeCell ref="B13:F13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30:F30"/>
    <mergeCell ref="B6:F6"/>
    <mergeCell ref="B24:F24"/>
    <mergeCell ref="B20:F20"/>
    <mergeCell ref="B15:F15"/>
    <mergeCell ref="B33:F33"/>
    <mergeCell ref="A1:F1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239"/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2" customWidth="1" min="3" max="3"/>
  </cols>
  <sheetData>
    <row r="1" ht="30" customHeight="1">
      <c r="A1" s="1" t="inlineStr">
        <is>
          <t>01 供应商主体识别</t>
        </is>
      </c>
      <c r="B1" s="2" t="n"/>
      <c r="C1" s="2" t="n"/>
    </row>
    <row r="2" ht="20" customHeight="1">
      <c r="A2" s="3" t="inlineStr">
        <is>
          <t>先锁定唯一法人，再谈证照归属；同名不同主体是高频差错源    ｜    基准日 2026-10-12</t>
        </is>
      </c>
      <c r="B2" s="4" t="n"/>
      <c r="C2" s="4" t="n"/>
    </row>
    <row r="4" ht="28" customHeight="1">
      <c r="A4" s="12" t="inlineStr">
        <is>
          <t>项目</t>
        </is>
      </c>
      <c r="B4" s="12" t="inlineStr">
        <is>
          <t>内容</t>
        </is>
      </c>
      <c r="C4" s="12" t="inlineStr">
        <is>
          <t>核验说明 / 来源</t>
        </is>
      </c>
    </row>
    <row r="5">
      <c r="A5" s="13" t="inlineStr">
        <is>
          <t>企业全称</t>
        </is>
      </c>
      <c r="B5" s="14" t="inlineStr">
        <is>
          <t>【示例】华东某化工贸易有限公司</t>
        </is>
      </c>
      <c r="C5" s="14" t="inlineStr">
        <is>
          <t>必须与营业执照逐字一致，含括号全/半角</t>
        </is>
      </c>
    </row>
    <row r="6">
      <c r="A6" s="15" t="inlineStr">
        <is>
          <t>曾用名/简称</t>
        </is>
      </c>
      <c r="B6" s="16" t="inlineStr">
        <is>
          <t>示例贸易商 A</t>
        </is>
      </c>
      <c r="C6" s="16" t="inlineStr">
        <is>
          <t>曾用名证照在更名前签发属正常，但须核对变更记录</t>
        </is>
      </c>
    </row>
    <row r="7">
      <c r="A7" s="13" t="inlineStr">
        <is>
          <t>统一社会信用代码</t>
        </is>
      </c>
      <c r="B7" s="17" t="inlineStr"/>
      <c r="C7" s="14" t="inlineStr">
        <is>
          <t>GB 32100-2015 第18位校验：未提供 ｜ 未提供统一社会信用代码</t>
        </is>
      </c>
    </row>
    <row r="8">
      <c r="A8" s="15" t="inlineStr">
        <is>
          <t>营业执照注册号</t>
        </is>
      </c>
      <c r="B8" s="16" t="inlineStr"/>
      <c r="C8" s="16" t="inlineStr">
        <is>
          <t>未提供</t>
        </is>
      </c>
    </row>
    <row r="9">
      <c r="A9" s="13" t="inlineStr">
        <is>
          <t>法定代表人</t>
        </is>
      </c>
      <c r="B9" s="14" t="inlineStr">
        <is>
          <t>（待填）</t>
        </is>
      </c>
      <c r="C9" s="14" t="inlineStr">
        <is>
          <t>与证照签章人是否同一人</t>
        </is>
      </c>
    </row>
    <row r="10">
      <c r="A10" s="15" t="inlineStr">
        <is>
          <t>注册资本</t>
        </is>
      </c>
      <c r="B10" s="16" t="inlineStr">
        <is>
          <t>（待填）</t>
        </is>
      </c>
      <c r="C10" s="16" t="inlineStr"/>
    </row>
    <row r="11">
      <c r="A11" s="13" t="inlineStr">
        <is>
          <t>成立日期</t>
        </is>
      </c>
      <c r="B11" s="14" t="inlineStr">
        <is>
          <t>（待填）</t>
        </is>
      </c>
      <c r="C11" s="14" t="inlineStr"/>
    </row>
    <row r="12">
      <c r="A12" s="15" t="inlineStr">
        <is>
          <t>企业类型</t>
        </is>
      </c>
      <c r="B12" s="16" t="inlineStr">
        <is>
          <t>有限责任公司</t>
        </is>
      </c>
      <c r="C12" s="16" t="inlineStr"/>
    </row>
    <row r="13">
      <c r="A13" s="13" t="inlineStr">
        <is>
          <t>登记状态</t>
        </is>
      </c>
      <c r="B13" s="14" t="inlineStr">
        <is>
          <t>（待核）</t>
        </is>
      </c>
      <c r="C13" s="14" t="inlineStr">
        <is>
          <t>存续/在业/注销/吊销</t>
        </is>
      </c>
    </row>
    <row r="14">
      <c r="A14" s="15" t="inlineStr">
        <is>
          <t>注册地址</t>
        </is>
      </c>
      <c r="B14" s="16" t="inlineStr">
        <is>
          <t>（待填）</t>
        </is>
      </c>
      <c r="C14" s="16" t="inlineStr">
        <is>
          <t>与证照住所一致</t>
        </is>
      </c>
    </row>
    <row r="15">
      <c r="A15" s="13" t="inlineStr">
        <is>
          <t>生产/经营地址</t>
        </is>
      </c>
      <c r="B15" s="14" t="inlineStr">
        <is>
          <t>无自有生产装置；拟采用「不带储存」方式经营，由上游工厂直发我方厂区</t>
        </is>
      </c>
      <c r="C15" s="14" t="inlineStr">
        <is>
          <t>许可作业场所，需与许可证上的地址一致</t>
        </is>
      </c>
    </row>
    <row r="16">
      <c r="A16" s="15" t="inlineStr">
        <is>
          <t>经营范围（登记）</t>
        </is>
      </c>
      <c r="B16" s="16" t="inlineStr">
        <is>
          <t>（待填）示例：许可项目：危险化学品经营；一般项目：化工产品销售（不含许可类化工产品）</t>
        </is>
      </c>
      <c r="C16" s="16" t="inlineStr">
        <is>
          <t>许可项目与登记范围是两件事，不可互相替代</t>
        </is>
      </c>
    </row>
    <row r="17">
      <c r="A17" s="13" t="inlineStr">
        <is>
          <t>注册信息来源</t>
        </is>
      </c>
      <c r="B17" s="14" t="inlineStr">
        <is>
          <t>本示例为虚构贸易商，不以任何真实企业为主体；实际作业时此处填国家企业信用信息公示系统查询结果。</t>
        </is>
      </c>
      <c r="C17" s="14" t="inlineStr"/>
    </row>
    <row r="18">
      <c r="A18" s="15" t="inlineStr">
        <is>
          <t>企业关系链</t>
        </is>
      </c>
      <c r="B18" s="16" t="inlineStr">
        <is>
          <t>示例贸易商（无生产装置）→ 上游甲醇工厂（需另行核验生产许可与产能）</t>
        </is>
      </c>
      <c r="C18" s="16" t="inlineStr">
        <is>
          <t>控股/参股关系影响责任主体与承诺有效性</t>
        </is>
      </c>
    </row>
    <row r="19">
      <c r="A19" s="13" t="inlineStr">
        <is>
          <t>身份核验要点</t>
        </is>
      </c>
      <c r="B19" s="14" t="inlineStr">
        <is>
          <t>贸易商路径的核心风险不是「有没有经营许可证」，而是：①经营方式是否为「不带储存」，与本次交付方式是否一致；②实际发货工厂是谁，工厂是否具备生产许可；③发票与许可主体是否一致。</t>
        </is>
      </c>
      <c r="C19" s="14" t="inlineStr"/>
    </row>
    <row r="21" ht="46" customHeight="1">
      <c r="A21" s="18" t="inlineStr">
        <is>
          <t>⚠ 经营范围含「化工产品销售（不含许可类化工产品）」时，销售危险化学品本身不在该范围内，必须另看危险化学品经营许可证的许可范围。</t>
        </is>
      </c>
    </row>
  </sheetData>
  <mergeCells count="3">
    <mergeCell ref="A1:C1"/>
    <mergeCell ref="A21:C2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239"/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2" customWidth="1" min="4" max="4"/>
    <col width="70" customWidth="1" min="5" max="5"/>
  </cols>
  <sheetData>
    <row r="1" ht="30" customHeight="1">
      <c r="A1" s="1" t="inlineStr">
        <is>
          <t>02 产品身份与监管属性识别</t>
        </is>
      </c>
      <c r="B1" s="2" t="n"/>
      <c r="C1" s="2" t="n"/>
      <c r="D1" s="2" t="n"/>
      <c r="E1" s="2" t="n"/>
    </row>
    <row r="2" ht="20" customHeight="1">
      <c r="A2" s="3" t="inlineStr">
        <is>
          <t>CAS + 浓度 + 剂型 + 用途四要素同时锁定，再对照目录条目逐项判定    ｜    基准日 2026-10-12</t>
        </is>
      </c>
      <c r="B2" s="4" t="n"/>
      <c r="C2" s="4" t="n"/>
      <c r="D2" s="4" t="n"/>
      <c r="E2" s="4" t="n"/>
    </row>
    <row r="4">
      <c r="A4" s="19" t="inlineStr">
        <is>
          <t>2.1 物料档案（采购标的口径）</t>
        </is>
      </c>
    </row>
    <row r="5" ht="28" customHeight="1">
      <c r="A5" s="12" t="inlineStr">
        <is>
          <t>项目</t>
        </is>
      </c>
      <c r="B5" s="12" t="inlineStr">
        <is>
          <t>内容</t>
        </is>
      </c>
      <c r="C5" s="12" t="inlineStr">
        <is>
          <t>采购落库说明</t>
        </is>
      </c>
      <c r="D5" s="12" t="inlineStr"/>
      <c r="E5" s="12" t="inlineStr"/>
    </row>
    <row r="6">
      <c r="A6" s="15" t="inlineStr">
        <is>
          <t>物料名称</t>
        </is>
      </c>
      <c r="B6" s="16" t="inlineStr">
        <is>
          <t>甲醇</t>
        </is>
      </c>
      <c r="C6" s="16" t="inlineStr"/>
      <c r="D6" s="20" t="n"/>
      <c r="E6" s="21" t="n"/>
    </row>
    <row r="7">
      <c r="A7" s="13" t="inlineStr">
        <is>
          <t>商品名/别名</t>
        </is>
      </c>
      <c r="B7" s="14" t="inlineStr">
        <is>
          <t>木醇、Methanol</t>
        </is>
      </c>
      <c r="C7" s="14" t="inlineStr"/>
      <c r="D7" s="20" t="n"/>
      <c r="E7" s="21" t="n"/>
    </row>
    <row r="8">
      <c r="A8" s="15" t="inlineStr">
        <is>
          <t>CAS 登记号</t>
        </is>
      </c>
      <c r="B8" s="16" t="inlineStr">
        <is>
          <t>67-56-1</t>
        </is>
      </c>
      <c r="C8" s="16" t="inlineStr">
        <is>
          <t>合同、送货单、SDS 三处必须一致</t>
        </is>
      </c>
      <c r="D8" s="20" t="n"/>
      <c r="E8" s="21" t="n"/>
    </row>
    <row r="9">
      <c r="A9" s="13" t="inlineStr">
        <is>
          <t>拟采购规格/浓度</t>
        </is>
      </c>
      <c r="B9" s="14" t="inlineStr">
        <is>
          <t>工业级 ≥99.9%（质量分数），水分≤0.10%，按 GB/T 338 一等品</t>
        </is>
      </c>
      <c r="C9" s="14" t="inlineStr">
        <is>
          <t>浓度决定目录条目（如含量阈值）与危险类别</t>
        </is>
      </c>
      <c r="D9" s="20" t="n"/>
      <c r="E9" s="21" t="n"/>
    </row>
    <row r="10">
      <c r="A10" s="15" t="inlineStr">
        <is>
          <t>剂型/形态</t>
        </is>
      </c>
      <c r="B10" s="16" t="inlineStr">
        <is>
          <t>液体（易挥发）</t>
        </is>
      </c>
      <c r="C10" s="16" t="inlineStr">
        <is>
          <t>水溶液/稳定剂体系影响目录条目的适用条件</t>
        </is>
      </c>
      <c r="D10" s="20" t="n"/>
      <c r="E10" s="21" t="n"/>
    </row>
    <row r="11">
      <c r="A11" s="13" t="inlineStr">
        <is>
          <t>工业标准/等级</t>
        </is>
      </c>
      <c r="B11" s="14" t="inlineStr">
        <is>
          <t>GB/T 338-2011《工业用甲醇》（版本以供应商规格书为准）</t>
        </is>
      </c>
      <c r="C11" s="14" t="inlineStr"/>
      <c r="D11" s="20" t="n"/>
      <c r="E11" s="21" t="n"/>
    </row>
    <row r="12">
      <c r="A12" s="15" t="inlineStr">
        <is>
          <t>包装与运输方式</t>
        </is>
      </c>
      <c r="B12" s="16" t="inlineStr">
        <is>
          <t>槽车 / 200L 铁桶；公路危险货物运输</t>
        </is>
      </c>
      <c r="C12" s="16" t="inlineStr"/>
      <c r="D12" s="20" t="n"/>
      <c r="E12" s="21" t="n"/>
    </row>
    <row r="13">
      <c r="A13" s="13" t="inlineStr">
        <is>
          <t>年用量/本次批量</t>
        </is>
      </c>
      <c r="B13" s="14" t="inlineStr">
        <is>
          <t>首批 50 t，年度预估 800 t</t>
        </is>
      </c>
      <c r="C13" s="14" t="inlineStr">
        <is>
          <t>与储存量、是否构成重大危险源、流向登记相关</t>
        </is>
      </c>
      <c r="D13" s="20" t="n"/>
      <c r="E13" s="21" t="n"/>
    </row>
    <row r="14">
      <c r="A14" s="15" t="inlineStr">
        <is>
          <t>采购用途/工艺</t>
        </is>
      </c>
      <c r="B14" s="16" t="inlineStr">
        <is>
          <t>我司（示例为某涂料/树脂企业）作为溶剂与甲基化原料使用。</t>
        </is>
      </c>
      <c r="C14" s="16" t="inlineStr">
        <is>
          <t>用途决定是否需使用许可或公安备案</t>
        </is>
      </c>
      <c r="D14" s="20" t="n"/>
      <c r="E14" s="21" t="n"/>
    </row>
    <row r="15">
      <c r="A15" s="13" t="inlineStr">
        <is>
          <t>使用地点/储存条件</t>
        </is>
      </c>
      <c r="B15" s="14" t="inlineStr">
        <is>
          <t>厂区甲类罐区，设计储量 60 m³</t>
        </is>
      </c>
      <c r="C15" s="14" t="inlineStr"/>
      <c r="D15" s="20" t="n"/>
      <c r="E15" s="21" t="n"/>
    </row>
    <row r="16">
      <c r="A16" s="15" t="inlineStr">
        <is>
          <t>SDS 版本</t>
        </is>
      </c>
      <c r="B16" s="16" t="inlineStr">
        <is>
          <t>待供应商提供现行版 SDS</t>
        </is>
      </c>
      <c r="C16" s="16" t="inlineStr">
        <is>
          <t>SDS 版本号与日期必须写进档案</t>
        </is>
      </c>
      <c r="D16" s="20" t="n"/>
      <c r="E16" s="21" t="n"/>
    </row>
    <row r="18">
      <c r="A18" s="19" t="inlineStr">
        <is>
          <t>2.2 危险属性识别（危险化学品 / 特殊管理类别）</t>
        </is>
      </c>
    </row>
    <row r="19" ht="28" customHeight="1">
      <c r="A19" s="12" t="inlineStr">
        <is>
          <t>识别项</t>
        </is>
      </c>
      <c r="B19" s="12" t="inlineStr">
        <is>
          <t>本产品结论</t>
        </is>
      </c>
      <c r="C19" s="12" t="inlineStr">
        <is>
          <t>判定</t>
        </is>
      </c>
      <c r="D19" s="12" t="inlineStr">
        <is>
          <t>依据（文号/条款/标准）</t>
        </is>
      </c>
      <c r="E19" s="12" t="inlineStr">
        <is>
          <t>适用条件与例外</t>
        </is>
      </c>
    </row>
    <row r="20">
      <c r="A20" s="16" t="inlineStr">
        <is>
          <t>是否属于危险化学品</t>
        </is>
      </c>
      <c r="B20" s="16" t="inlineStr">
        <is>
          <t>属于。《危险化学品目录（2015版）》列为「甲醇」，CAS 67-56-1；属易燃液体（具体类别以 SDS 第 2 节为准，通常为易燃液体类别 2）。</t>
        </is>
      </c>
      <c r="C20" s="22" t="inlineStr">
        <is>
          <t>已确认</t>
        </is>
      </c>
      <c r="D20" s="16" t="inlineStr">
        <is>
          <t>《危险化学品安全管理条例》第三条；《危险化学品目录（2015版）》甲醇条目（序号需按目录原文核对后填入）</t>
        </is>
      </c>
      <c r="E20" s="16" t="inlineStr">
        <is>
          <t>本结论仅对工业级甲醇（≥99.9%）成立；含甲醇的混合物按实施指南第五条（主要成分之和≥70%）判定。</t>
        </is>
      </c>
    </row>
    <row r="21">
      <c r="A21" s="14" t="inlineStr">
        <is>
          <t>是否属于剧毒化学品</t>
        </is>
      </c>
      <c r="B21" s="14" t="inlineStr">
        <is>
          <t>甲醇在目录中未标注「剧毒」（其急性毒性通常为经口类别 3），但本次未逐条比对目录剧毒标注栏。</t>
        </is>
      </c>
      <c r="C21" s="23" t="inlineStr">
        <is>
          <t>待核验</t>
        </is>
      </c>
      <c r="D21" s="14" t="inlineStr">
        <is>
          <t>《危险化学品目录（2015版）》剧毒标注栏</t>
        </is>
      </c>
      <c r="E21" s="14" t="inlineStr">
        <is>
          <t>必须逐条核对原文；不得凭「甲醇很有毒」的直觉下结论，也不得凭直觉否定。</t>
        </is>
      </c>
    </row>
    <row r="22">
      <c r="A22" s="16" t="inlineStr">
        <is>
          <t>是否属于易制爆危险化学品</t>
        </is>
      </c>
      <c r="B22" s="16" t="inlineStr">
        <is>
          <t>甲醇不属于《易制爆危险化学品名录（2017年版）》所列品种（该名录按酸类、硝酸盐、氯酸盐、高氯酸盐、重铬酸盐、过氧化物、易燃物还原剂等分类，甲醇不在其中）。</t>
        </is>
      </c>
      <c r="C22" s="22" t="inlineStr">
        <is>
          <t>已确认</t>
        </is>
      </c>
      <c r="D22" s="16" t="inlineStr">
        <is>
          <t>公安部《易制爆危险化学品名录（2017年版）》全文核对</t>
        </is>
      </c>
      <c r="E22" s="16" t="inlineStr">
        <is>
          <t>易制爆结论「不属于」须以目录全文核对为凭；若未来修订名录，须重新判定。</t>
        </is>
      </c>
    </row>
    <row r="23">
      <c r="A23" s="14" t="inlineStr">
        <is>
          <t>是否属于易制毒化学品</t>
        </is>
      </c>
      <c r="B23" s="14" t="inlineStr">
        <is>
          <t>甲醇通常被列为易制毒化学品的第三类（用于提取/稀释），实际列名与类别以现行《易制毒化学品的分类和品种目录》为准，本次未完成逐条比对。</t>
        </is>
      </c>
      <c r="C23" s="23" t="inlineStr">
        <is>
          <t>待核验</t>
        </is>
      </c>
      <c r="D23" s="14" t="inlineStr">
        <is>
          <t>《易制毒化学品管理条例》及所附目录（含2021年调整）</t>
        </is>
      </c>
      <c r="E23" s="14" t="inlineStr">
        <is>
          <t>若属第三类，购销双方需建立购买/销售台账并向属地备案；这会影响采购流程与档案。</t>
        </is>
      </c>
    </row>
    <row r="24">
      <c r="A24" s="16" t="inlineStr">
        <is>
          <t>是否为重点监管的危险化学品</t>
        </is>
      </c>
      <c r="B24" s="16" t="inlineStr">
        <is>
          <t>甲醇被列入《首批重点监管的危险化学品名录》（安监总管三〔2011〕95号）的可能性较高，但本次未取到原文逐条确认。</t>
        </is>
      </c>
      <c r="C24" s="23" t="inlineStr">
        <is>
          <t>待核验</t>
        </is>
      </c>
      <c r="D24" s="16" t="inlineStr">
        <is>
          <t>安监总管三〔2011〕95号及后续名录</t>
        </is>
      </c>
      <c r="E24" s="16" t="inlineStr">
        <is>
          <t>重点监管 → 储存与使用装置需满足自动化控制、安全联锁与人员资质要求。</t>
        </is>
      </c>
    </row>
    <row r="25">
      <c r="A25" s="14" t="inlineStr">
        <is>
          <t>食品/药品用途扩展</t>
        </is>
      </c>
      <c r="B25" s="14" t="inlineStr">
        <is>
          <t>本单为工业溶剂用途，不涉及食品添加剂或药用辅料。</t>
        </is>
      </c>
      <c r="C25" s="23" t="inlineStr">
        <is>
          <t>按用途判定</t>
        </is>
      </c>
      <c r="D25" s="14" t="inlineStr">
        <is>
          <t>《食品安全法》《药品管理法》相关许可</t>
        </is>
      </c>
      <c r="E25" s="14" t="inlineStr">
        <is>
          <t>若用途变更需重新核验。</t>
        </is>
      </c>
    </row>
    <row r="27">
      <c r="A27" s="19" t="inlineStr">
        <is>
          <t>2.3 监管分类核验清单（未确认一项，不得下「不属于」结论）</t>
        </is>
      </c>
    </row>
    <row r="28" ht="28" customHeight="1">
      <c r="A28" s="12" t="inlineStr">
        <is>
          <t>编号</t>
        </is>
      </c>
      <c r="B28" s="12" t="inlineStr">
        <is>
          <t>监管制度/目录</t>
        </is>
      </c>
      <c r="C28" s="12" t="inlineStr">
        <is>
          <t>判定</t>
        </is>
      </c>
      <c r="D28" s="12" t="inlineStr"/>
      <c r="E28" s="12" t="inlineStr">
        <is>
          <t>本产品核对说明</t>
        </is>
      </c>
    </row>
    <row r="29">
      <c r="A29" s="24" t="inlineStr">
        <is>
          <t>K01</t>
        </is>
      </c>
      <c r="B29" s="14" t="inlineStr">
        <is>
          <t>《危险化学品目录（2015版）》</t>
        </is>
      </c>
      <c r="C29" s="22" t="inlineStr">
        <is>
          <t>已确认</t>
        </is>
      </c>
      <c r="D29" s="14" t="inlineStr"/>
      <c r="E29" s="14" t="inlineStr">
        <is>
          <t>甲醇 CAS 67-56-1 在目录内，属易燃液体。</t>
        </is>
      </c>
    </row>
    <row r="30">
      <c r="A30" s="25" t="inlineStr">
        <is>
          <t>K02</t>
        </is>
      </c>
      <c r="B30" s="16" t="inlineStr">
        <is>
          <t>剧毒化学品标注</t>
        </is>
      </c>
      <c r="C30" s="23" t="inlineStr">
        <is>
          <t>待核验</t>
        </is>
      </c>
      <c r="D30" s="16" t="inlineStr"/>
      <c r="E30" s="16" t="inlineStr">
        <is>
          <t>未逐条比对目录剧毒栏。</t>
        </is>
      </c>
    </row>
    <row r="31">
      <c r="A31" s="24" t="inlineStr">
        <is>
          <t>K03</t>
        </is>
      </c>
      <c r="B31" s="14" t="inlineStr">
        <is>
          <t>《易制爆危险化学品名录（2017年版）》</t>
        </is>
      </c>
      <c r="C31" s="22" t="inlineStr">
        <is>
          <t>已确认</t>
        </is>
      </c>
      <c r="D31" s="14" t="inlineStr"/>
      <c r="E31" s="14" t="inlineStr">
        <is>
          <t>全文核对未见甲醇。</t>
        </is>
      </c>
    </row>
    <row r="32">
      <c r="A32" s="25" t="inlineStr">
        <is>
          <t>K04</t>
        </is>
      </c>
      <c r="B32" s="16" t="inlineStr">
        <is>
          <t>《易制毒化学品的分类和品种目录》</t>
        </is>
      </c>
      <c r="C32" s="23" t="inlineStr">
        <is>
          <t>待核验</t>
        </is>
      </c>
      <c r="D32" s="16" t="inlineStr"/>
      <c r="E32" s="16" t="inlineStr">
        <is>
          <t>常见列为第三类，需以目录原文为准。</t>
        </is>
      </c>
    </row>
    <row r="33">
      <c r="A33" s="24" t="inlineStr">
        <is>
          <t>K05</t>
        </is>
      </c>
      <c r="B33" s="14" t="inlineStr">
        <is>
          <t>《首批重点监管的危险化学品名录》</t>
        </is>
      </c>
      <c r="C33" s="23" t="inlineStr">
        <is>
          <t>待核验</t>
        </is>
      </c>
      <c r="D33" s="14" t="inlineStr"/>
      <c r="E33" s="14" t="inlineStr">
        <is>
          <t>未取到原文。</t>
        </is>
      </c>
    </row>
    <row r="34">
      <c r="A34" s="25" t="inlineStr">
        <is>
          <t>K06</t>
        </is>
      </c>
      <c r="B34" s="16" t="inlineStr">
        <is>
          <t>GB 18218-2018 重大危险源</t>
        </is>
      </c>
      <c r="C34" s="23" t="inlineStr">
        <is>
          <t>待核验</t>
        </is>
      </c>
      <c r="D34" s="16" t="inlineStr"/>
      <c r="E34" s="16" t="inlineStr">
        <is>
          <t>需按标准表1/表2 对罐区定量计算。</t>
        </is>
      </c>
    </row>
    <row r="35">
      <c r="A35" s="24" t="inlineStr">
        <is>
          <t>K07</t>
        </is>
      </c>
      <c r="B35" s="14" t="inlineStr">
        <is>
          <t>危险货物运输分类</t>
        </is>
      </c>
      <c r="C35" s="23" t="inlineStr">
        <is>
          <t>待核验</t>
        </is>
      </c>
      <c r="D35" s="14" t="inlineStr"/>
      <c r="E35" s="14" t="inlineStr">
        <is>
          <t>UN 1230，3 类易燃液体，包装类 II（以 SDS 第14节为准）。</t>
        </is>
      </c>
    </row>
    <row r="36">
      <c r="A36" s="25" t="inlineStr">
        <is>
          <t>K08</t>
        </is>
      </c>
      <c r="B36" s="16" t="inlineStr">
        <is>
          <t>监控化学品 / 特定用途</t>
        </is>
      </c>
      <c r="C36" s="23" t="inlineStr">
        <is>
          <t>待核验</t>
        </is>
      </c>
      <c r="D36" s="16" t="inlineStr"/>
      <c r="E36" s="16" t="inlineStr">
        <is>
          <t>未逐条核对附表。</t>
        </is>
      </c>
    </row>
    <row r="38" ht="40" customHeight="1">
      <c r="A38" s="18" t="inlineStr">
        <is>
          <t>资料缺口：未取得 SDS（易燃性、闪点、自燃温度、爆炸极限需以 SDS 第 9 节为准）；未取得规格书与 COA（纯度、水分、高锰酸钾试验等）；我方罐区储存量 60 m³ 对应的重大危险源临界量尚未用 GB 18218 原文计算</t>
        </is>
      </c>
    </row>
  </sheetData>
  <mergeCells count="22">
    <mergeCell ref="C16:E16"/>
    <mergeCell ref="C9:E9"/>
    <mergeCell ref="A1:E1"/>
    <mergeCell ref="E32"/>
    <mergeCell ref="C12:E12"/>
    <mergeCell ref="C11:E11"/>
    <mergeCell ref="C8:E8"/>
    <mergeCell ref="E33"/>
    <mergeCell ref="C7:E7"/>
    <mergeCell ref="C13:E13"/>
    <mergeCell ref="A2:E2"/>
    <mergeCell ref="E35"/>
    <mergeCell ref="E29"/>
    <mergeCell ref="C15:E15"/>
    <mergeCell ref="C6:E6"/>
    <mergeCell ref="E31"/>
    <mergeCell ref="C14:E14"/>
    <mergeCell ref="E34"/>
    <mergeCell ref="A38:E38"/>
    <mergeCell ref="E30"/>
    <mergeCell ref="E3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239"/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62" customWidth="1" min="4" max="4"/>
    <col width="14" customWidth="1" min="5" max="5"/>
    <col width="34" customWidth="1" min="6" max="6"/>
    <col width="14" customWidth="1" min="7" max="7"/>
  </cols>
  <sheetData>
    <row r="1" ht="30" customHeight="1">
      <c r="A1" s="1" t="inlineStr">
        <is>
          <t>03 监管分类核验单（逐项打勾）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本页即「查什么、依据什么、结论是什么」的可审计轨迹；判定列可下拉选择    ｜    基准日 2026-10-12</t>
        </is>
      </c>
      <c r="B2" s="4" t="n"/>
      <c r="C2" s="4" t="n"/>
      <c r="D2" s="4" t="n"/>
      <c r="E2" s="4" t="n"/>
      <c r="F2" s="4" t="n"/>
      <c r="G2" s="4" t="n"/>
    </row>
    <row r="4" ht="28" customHeight="1">
      <c r="A4" s="12" t="inlineStr">
        <is>
          <t>编号</t>
        </is>
      </c>
      <c r="B4" s="12" t="inlineStr">
        <is>
          <t>监管制度 / 目录</t>
        </is>
      </c>
      <c r="C4" s="12" t="inlineStr">
        <is>
          <t>适用文号或条款</t>
        </is>
      </c>
      <c r="D4" s="12" t="inlineStr">
        <is>
          <t>本产品对照要点</t>
        </is>
      </c>
      <c r="E4" s="12" t="inlineStr">
        <is>
          <t>判定</t>
        </is>
      </c>
      <c r="F4" s="12" t="inlineStr">
        <is>
          <t>未确认时的影响</t>
        </is>
      </c>
      <c r="G4" s="12" t="inlineStr">
        <is>
          <t>复核人/日期</t>
        </is>
      </c>
    </row>
    <row r="5">
      <c r="A5" s="24" t="inlineStr">
        <is>
          <t>K01</t>
        </is>
      </c>
      <c r="B5" s="14" t="inlineStr">
        <is>
          <t>《危险化学品目录（2015版）》</t>
        </is>
      </c>
      <c r="C5" s="14" t="inlineStr">
        <is>
          <t>公告2015年第5号</t>
        </is>
      </c>
      <c r="D5" s="14" t="inlineStr">
        <is>
          <t>甲醇 CAS 67-56-1 在目录内，属易燃液体。</t>
        </is>
      </c>
      <c r="E5" s="22" t="inlineStr">
        <is>
          <t>已确认</t>
        </is>
      </c>
      <c r="F5" s="14" t="inlineStr">
        <is>
          <t>生产、经营、储存、使用均纳入危化品管理</t>
        </is>
      </c>
      <c r="G5" s="24" t="inlineStr"/>
    </row>
    <row r="6">
      <c r="A6" s="25" t="inlineStr">
        <is>
          <t>K02</t>
        </is>
      </c>
      <c r="B6" s="16" t="inlineStr">
        <is>
          <t>剧毒化学品标注</t>
        </is>
      </c>
      <c r="C6" s="16" t="inlineStr">
        <is>
          <t>目录剧毒标注栏</t>
        </is>
      </c>
      <c r="D6" s="16" t="inlineStr">
        <is>
          <t>未逐条比对目录剧毒栏。</t>
        </is>
      </c>
      <c r="E6" s="23" t="inlineStr">
        <is>
          <t>待核验</t>
        </is>
      </c>
      <c r="F6" s="16" t="inlineStr">
        <is>
          <t>若属剧毒，将触发购买许可（条例第三十九条）</t>
        </is>
      </c>
      <c r="G6" s="25" t="inlineStr"/>
    </row>
    <row r="7">
      <c r="A7" s="24" t="inlineStr">
        <is>
          <t>K03</t>
        </is>
      </c>
      <c r="B7" s="14" t="inlineStr">
        <is>
          <t>《易制爆危险化学品名录（2017年版）》</t>
        </is>
      </c>
      <c r="C7" s="14" t="inlineStr">
        <is>
          <t>公安部2017年公告</t>
        </is>
      </c>
      <c r="D7" s="14" t="inlineStr">
        <is>
          <t>全文核对未见甲醇。</t>
        </is>
      </c>
      <c r="E7" s="22" t="inlineStr">
        <is>
          <t>已确认</t>
        </is>
      </c>
      <c r="F7" s="14" t="inlineStr">
        <is>
          <t>不触发易制爆流向报备</t>
        </is>
      </c>
      <c r="G7" s="24" t="inlineStr"/>
    </row>
    <row r="8">
      <c r="A8" s="25" t="inlineStr">
        <is>
          <t>K04</t>
        </is>
      </c>
      <c r="B8" s="16" t="inlineStr">
        <is>
          <t>《易制毒化学品的分类和品种目录》</t>
        </is>
      </c>
      <c r="C8" s="16" t="inlineStr">
        <is>
          <t>《易制毒化学品管理条例》</t>
        </is>
      </c>
      <c r="D8" s="16" t="inlineStr">
        <is>
          <t>常见列为第三类，需以目录原文为准。</t>
        </is>
      </c>
      <c r="E8" s="23" t="inlineStr">
        <is>
          <t>待核验</t>
        </is>
      </c>
      <c r="F8" s="16" t="inlineStr">
        <is>
          <t>若列名 → 购销台账 + 属地备案</t>
        </is>
      </c>
      <c r="G8" s="25" t="inlineStr"/>
    </row>
    <row r="9">
      <c r="A9" s="24" t="inlineStr">
        <is>
          <t>K05</t>
        </is>
      </c>
      <c r="B9" s="14" t="inlineStr">
        <is>
          <t>《首批重点监管的危险化学品名录》</t>
        </is>
      </c>
      <c r="C9" s="14" t="inlineStr">
        <is>
          <t>安监总管三〔2011〕95号</t>
        </is>
      </c>
      <c r="D9" s="14" t="inlineStr">
        <is>
          <t>未取到原文。</t>
        </is>
      </c>
      <c r="E9" s="23" t="inlineStr">
        <is>
          <t>待核验</t>
        </is>
      </c>
      <c r="F9" s="14" t="inlineStr">
        <is>
          <t>装置自动化与人员资质要求提高</t>
        </is>
      </c>
      <c r="G9" s="24" t="inlineStr"/>
    </row>
    <row r="10">
      <c r="A10" s="25" t="inlineStr">
        <is>
          <t>K06</t>
        </is>
      </c>
      <c r="B10" s="16" t="inlineStr">
        <is>
          <t>GB 18218-2018 重大危险源</t>
        </is>
      </c>
      <c r="C10" s="16" t="inlineStr">
        <is>
          <t>GB 18218-2018</t>
        </is>
      </c>
      <c r="D10" s="16" t="inlineStr">
        <is>
          <t>需按标准表1/表2 对罐区定量计算。</t>
        </is>
      </c>
      <c r="E10" s="23" t="inlineStr">
        <is>
          <t>待核验</t>
        </is>
      </c>
      <c r="F10" s="16" t="inlineStr">
        <is>
          <t>可能构成重大危险源 → 备案与在线监测</t>
        </is>
      </c>
      <c r="G10" s="25" t="inlineStr"/>
    </row>
    <row r="11">
      <c r="A11" s="24" t="inlineStr">
        <is>
          <t>K07</t>
        </is>
      </c>
      <c r="B11" s="14" t="inlineStr">
        <is>
          <t>危险货物运输分类</t>
        </is>
      </c>
      <c r="C11" s="14" t="inlineStr">
        <is>
          <t>GB 12268；交通运输部等令2019年第29号</t>
        </is>
      </c>
      <c r="D11" s="14" t="inlineStr">
        <is>
          <t>UN 1230，3 类易燃液体，包装类 II（以 SDS 第14节为准）。</t>
        </is>
      </c>
      <c r="E11" s="23" t="inlineStr">
        <is>
          <t>待核验</t>
        </is>
      </c>
      <c r="F11" s="14" t="inlineStr">
        <is>
          <t>承运资质与罐车资质</t>
        </is>
      </c>
      <c r="G11" s="24" t="inlineStr"/>
    </row>
    <row r="12">
      <c r="A12" s="25" t="inlineStr">
        <is>
          <t>K08</t>
        </is>
      </c>
      <c r="B12" s="16" t="inlineStr">
        <is>
          <t>监控化学品 / 特定用途</t>
        </is>
      </c>
      <c r="C12" s="16" t="inlineStr">
        <is>
          <t>《监控化学品管理条例》</t>
        </is>
      </c>
      <c r="D12" s="16" t="inlineStr">
        <is>
          <t>未逐条核对附表。</t>
        </is>
      </c>
      <c r="E12" s="23" t="inlineStr">
        <is>
          <t>待核验</t>
        </is>
      </c>
      <c r="F12" s="16" t="inlineStr">
        <is>
          <t>可能触发履约申报</t>
        </is>
      </c>
      <c r="G12" s="25" t="inlineStr"/>
    </row>
  </sheetData>
  <mergeCells count="2">
    <mergeCell ref="A2:G2"/>
    <mergeCell ref="A1:G1"/>
  </mergeCells>
  <dataValidations count="1">
    <dataValidation sqref="E5:E93" showDropDown="0" showInputMessage="0" showErrorMessage="0" allowBlank="1" type="list">
      <formula1>"已确认,未确认（不等于不属于）,待核验"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239"/>
    <outlinePr summaryBelow="1" summaryRight="1"/>
    <pageSetUpPr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56" customWidth="1" min="4" max="4"/>
    <col width="52" customWidth="1" min="5" max="5"/>
  </cols>
  <sheetData>
    <row r="1" ht="30" customHeight="1">
      <c r="A1" s="1" t="inlineStr">
        <is>
          <t>04 供应商侧：生产 / 经营 / 储存许可要求</t>
        </is>
      </c>
      <c r="B1" s="2" t="n"/>
      <c r="C1" s="2" t="n"/>
      <c r="D1" s="2" t="n"/>
      <c r="E1" s="2" t="n"/>
    </row>
    <row r="2" ht="20" customHeight="1">
      <c r="A2" s="3" t="inlineStr">
        <is>
          <t>许可跟着「活动」走：有无储存设施决定「带储存」还是「不带储存」    ｜    基准日 2026-10-12</t>
        </is>
      </c>
      <c r="B2" s="4" t="n"/>
      <c r="C2" s="4" t="n"/>
      <c r="D2" s="4" t="n"/>
      <c r="E2" s="4" t="n"/>
    </row>
    <row r="4" ht="44" customHeight="1">
      <c r="A4" s="26" t="inlineStr">
        <is>
          <t>本示例演示「经营企业（贸易商）」路径：供应商本身不生产，持有的是《危险化学品经营许可证》而不是安全生产许可证。核验重点是「经营方式是否与实际业务匹配」以及「上游工厂的许可证是否覆盖本产品」。</t>
        </is>
      </c>
    </row>
    <row r="5" ht="28" customHeight="1">
      <c r="A5" s="12" t="inlineStr">
        <is>
          <t>供应商角色</t>
        </is>
      </c>
      <c r="B5" s="12" t="inlineStr">
        <is>
          <t>应取得的许可/证照</t>
        </is>
      </c>
      <c r="C5" s="12" t="inlineStr">
        <is>
          <t>是否必需</t>
        </is>
      </c>
      <c r="D5" s="12" t="inlineStr">
        <is>
          <t>法规依据与适用条件</t>
        </is>
      </c>
      <c r="E5" s="12" t="inlineStr">
        <is>
          <t>核验要点（范围是否覆盖拟购品）</t>
        </is>
      </c>
    </row>
    <row r="6">
      <c r="A6" s="16" t="inlineStr">
        <is>
          <t>经营企业（不带储存）</t>
        </is>
      </c>
      <c r="B6" s="16" t="inlineStr">
        <is>
          <t>危险化学品经营许可证（不带储存）</t>
        </is>
      </c>
      <c r="C6" s="27" t="inlineStr">
        <is>
          <t>必须</t>
        </is>
      </c>
      <c r="D6" s="16" t="inlineStr">
        <is>
          <t>《危险化学品安全管理条例》第三十三条；《危险化学品经营许可证管理办法》（原安监总局令第55号）</t>
        </is>
      </c>
      <c r="E6" s="16" t="inlineStr">
        <is>
          <t>许可范围须含「甲醇」；经营方式为「不带储存」时，不得自行储存后转售。</t>
        </is>
      </c>
    </row>
    <row r="7">
      <c r="A7" s="14" t="inlineStr">
        <is>
          <t>经营企业（带储存设施）</t>
        </is>
      </c>
      <c r="B7" s="14" t="inlineStr">
        <is>
          <t>危险化学品经营许可证（带储存设施）</t>
        </is>
      </c>
      <c r="C7" s="23" t="inlineStr">
        <is>
          <t>视情形</t>
        </is>
      </c>
      <c r="D7" s="14" t="inlineStr">
        <is>
          <t>同上；《危险化学品经营许可证管理办法》关于储存设施条件的规定</t>
        </is>
      </c>
      <c r="E7" s="14" t="inlineStr">
        <is>
          <t>若其从自有仓库发货，必须有「带储存」经营方式且仓储地址与发货地一致。</t>
        </is>
      </c>
    </row>
    <row r="8">
      <c r="A8" s="16" t="inlineStr">
        <is>
          <t>上游生产企业</t>
        </is>
      </c>
      <c r="B8" s="16" t="inlineStr">
        <is>
          <t>危险化学品安全生产许可证</t>
        </is>
      </c>
      <c r="C8" s="23" t="inlineStr">
        <is>
          <t>必须（针对实际发货工厂）</t>
        </is>
      </c>
      <c r="D8" s="16" t="inlineStr">
        <is>
          <t>《危险化学品安全管理条例》第二十条</t>
        </is>
      </c>
      <c r="E8" s="16" t="inlineStr">
        <is>
          <t>许可范围含甲醇与产能；生产地址与发货地一致。</t>
        </is>
      </c>
    </row>
    <row r="9">
      <c r="A9" s="14" t="inlineStr">
        <is>
          <t>运输</t>
        </is>
      </c>
      <c r="B9" s="14" t="inlineStr">
        <is>
          <t>危险货物道路运输经营许可（第3类）</t>
        </is>
      </c>
      <c r="C9" s="27" t="inlineStr">
        <is>
          <t>必须</t>
        </is>
      </c>
      <c r="D9" s="14" t="inlineStr">
        <is>
          <t>交通运输部等令2019年第29号</t>
        </is>
      </c>
      <c r="E9" s="14" t="inlineStr">
        <is>
          <t>罐车属于 3 类易燃液体专用；押运员资格。</t>
        </is>
      </c>
    </row>
    <row r="11" ht="44" customHeight="1">
      <c r="A11" s="28" t="inlineStr">
        <is>
          <t>补充：贸易商持有经营许可证 ≠ 上游工厂有生产许可证：必须两头都核。；「不带储存」经营若实际在自有仓库理货、分装、暂存，属于超范围经营。</t>
        </is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4239"/>
    <outlinePr summaryBelow="1" summaryRight="1"/>
    <pageSetUpPr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6" customWidth="1" min="3" max="3"/>
    <col width="30" customWidth="1" min="4" max="4"/>
    <col width="54" customWidth="1" min="5" max="5"/>
  </cols>
  <sheetData>
    <row r="1" ht="30" customHeight="1">
      <c r="A1" s="1" t="inlineStr">
        <is>
          <t>05 采购方（使用企业）义务</t>
        </is>
      </c>
      <c r="B1" s="2" t="n"/>
      <c r="C1" s="2" t="n"/>
      <c r="D1" s="2" t="n"/>
      <c r="E1" s="2" t="n"/>
    </row>
    <row r="2" ht="20" customHeight="1">
      <c r="A2" s="3" t="inlineStr">
        <is>
          <t>买易制爆品不是「买东西」，而是「建立一条可追溯的合法用途链」    ｜    基准日 2026-10-12</t>
        </is>
      </c>
      <c r="B2" s="4" t="n"/>
      <c r="C2" s="4" t="n"/>
      <c r="D2" s="4" t="n"/>
      <c r="E2" s="4" t="n"/>
    </row>
    <row r="4" ht="34" customHeight="1">
      <c r="A4" s="26" t="inlineStr">
        <is>
          <t>我方主体：【示例】某涂料/树脂企业 ｜ 统一社会信用代码：（未提供统一社会信用代码） ｜ 用途：甲醇作溶剂与甲基化原料，储于甲类罐区 60 m³。 ｜ 储存现状：甲类罐区，需防雷防静电、可燃气体报警、防火堤。</t>
        </is>
      </c>
    </row>
    <row r="5" ht="28" customHeight="1">
      <c r="A5" s="12" t="inlineStr">
        <is>
          <t>我方义务项</t>
        </is>
      </c>
      <c r="B5" s="12" t="inlineStr">
        <is>
          <t>性质</t>
        </is>
      </c>
      <c r="C5" s="12" t="inlineStr">
        <is>
          <t>法规依据</t>
        </is>
      </c>
      <c r="D5" s="12" t="inlineStr">
        <is>
          <t>触发条件</t>
        </is>
      </c>
      <c r="E5" s="12" t="inlineStr">
        <is>
          <t>落地动作 / 证据</t>
        </is>
      </c>
    </row>
    <row r="6">
      <c r="A6" s="16" t="inlineStr">
        <is>
          <t>危险化学品安全使用许可证（仅法定情形）</t>
        </is>
      </c>
      <c r="B6" s="23" t="inlineStr">
        <is>
          <t>视情形</t>
        </is>
      </c>
      <c r="C6" s="16" t="inlineStr">
        <is>
          <t>《危险化学品安全管理条例》第二十九条；原安监总局令第57号第二条</t>
        </is>
      </c>
      <c r="D6" s="16" t="inlineStr">
        <is>
          <t>属适用行业目录 + 用量达到数量标准</t>
        </is>
      </c>
      <c r="E6" s="16" t="inlineStr">
        <is>
          <t>先查行业目录与数量标准两项原文，逐项对照；结论书面留档。</t>
        </is>
      </c>
    </row>
    <row r="7">
      <c r="A7" s="14" t="inlineStr">
        <is>
          <t>重大危险源辨识与备案</t>
        </is>
      </c>
      <c r="B7" s="23" t="inlineStr">
        <is>
          <t>视情形</t>
        </is>
      </c>
      <c r="C7" s="14" t="inlineStr">
        <is>
          <t>GB 18218-2018；条例第二十五条</t>
        </is>
      </c>
      <c r="D7" s="14" t="inlineStr">
        <is>
          <t>罐区储量达临界量</t>
        </is>
      </c>
      <c r="E7" s="14" t="inlineStr">
        <is>
          <t>定量计算罐区最大存在量，构成则备案与在线监测。</t>
        </is>
      </c>
    </row>
    <row r="8">
      <c r="A8" s="16" t="inlineStr">
        <is>
          <t>易制毒化学品购销台账与备案（若属目录品种）</t>
        </is>
      </c>
      <c r="B8" s="23" t="inlineStr">
        <is>
          <t>视情形</t>
        </is>
      </c>
      <c r="C8" s="16" t="inlineStr">
        <is>
          <t>《易制毒化学品管理条例》</t>
        </is>
      </c>
      <c r="D8" s="16" t="inlineStr">
        <is>
          <t>甲醇被列入易制毒目录时</t>
        </is>
      </c>
      <c r="E8" s="16" t="inlineStr">
        <is>
          <t>建立购买与使用台账，向属地公安机关备案。</t>
        </is>
      </c>
    </row>
    <row r="9">
      <c r="A9" s="14" t="inlineStr">
        <is>
          <t>储存设施安全条件与消防</t>
        </is>
      </c>
      <c r="B9" s="27" t="inlineStr">
        <is>
          <t>必须</t>
        </is>
      </c>
      <c r="C9" s="14" t="inlineStr">
        <is>
          <t>条例第二十二条至第二十四条；GB 50016</t>
        </is>
      </c>
      <c r="D9" s="14" t="inlineStr">
        <is>
          <t>储存易燃液体</t>
        </is>
      </c>
      <c r="E9" s="14" t="inlineStr">
        <is>
          <t>甲类仓库/罐区合规设计、专人管理、出入库核查；可燃气体检测与防静电措施。</t>
        </is>
      </c>
    </row>
    <row r="10">
      <c r="A10" s="16" t="inlineStr">
        <is>
          <t>承运资质核验</t>
        </is>
      </c>
      <c r="B10" s="27" t="inlineStr">
        <is>
          <t>必须</t>
        </is>
      </c>
      <c r="C10" s="16" t="inlineStr">
        <is>
          <t>交通运输部等令2019年第29号</t>
        </is>
      </c>
      <c r="D10" s="16" t="inlineStr">
        <is>
          <t>公路交付</t>
        </is>
      </c>
      <c r="E10" s="16" t="inlineStr">
        <is>
          <t>索取出运单、危货资质与押运资格。</t>
        </is>
      </c>
    </row>
    <row r="12" ht="44" customHeight="1">
      <c r="A12" s="18" t="inlineStr">
        <is>
          <t>提示：甲醇为易燃液体，闪点低，储存与卸车环节的火源管控是本单最大的操作风险，与证照核验同等重要。</t>
        </is>
      </c>
    </row>
  </sheetData>
  <mergeCells count="4">
    <mergeCell ref="A2:E2"/>
    <mergeCell ref="A1:E1"/>
    <mergeCell ref="A4:E4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8843C"/>
    <outlinePr summaryBelow="1" summaryRight="1"/>
    <pageSetUpPr/>
  </sheetPr>
  <dimension ref="A1:Q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20" customWidth="1" min="4" max="4"/>
    <col width="13" customWidth="1" min="5" max="5"/>
    <col width="13" customWidth="1" min="6" max="6"/>
    <col width="18" customWidth="1" min="7" max="7"/>
    <col width="12" customWidth="1" min="8" max="8"/>
    <col width="10" customWidth="1" min="9" max="9"/>
    <col width="52" customWidth="1" min="10" max="10"/>
    <col width="12" customWidth="1" min="11" max="11"/>
    <col width="22" customWidth="1" min="12" max="12"/>
    <col width="16" customWidth="1" min="13" max="13"/>
    <col width="34" customWidth="1" min="14" max="14"/>
    <col width="40" customWidth="1" min="15" max="15"/>
    <col width="46" customWidth="1" min="16" max="16"/>
  </cols>
  <sheetData>
    <row r="1" ht="30" customHeight="1">
      <c r="A1" s="1" t="inlineStr">
        <is>
          <t>06 证照台账（核心表）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四态：已核验 / 信息不一致 / 待核验 / 无公开信息；过期单独标记。「状态」「范围覆盖」列可下拉维护    ｜    基准日 2026-10-12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4" ht="28" customHeight="1">
      <c r="A4" s="12" t="inlineStr">
        <is>
          <t>证照编号</t>
        </is>
      </c>
      <c r="B4" s="12" t="inlineStr">
        <is>
          <t>证照类型</t>
        </is>
      </c>
      <c r="C4" s="12" t="inlineStr">
        <is>
          <t>证书编号</t>
        </is>
      </c>
      <c r="D4" s="12" t="inlineStr">
        <is>
          <t>发证机关</t>
        </is>
      </c>
      <c r="E4" s="12" t="inlineStr">
        <is>
          <t>发证/起始日期</t>
        </is>
      </c>
      <c r="F4" s="12" t="inlineStr">
        <is>
          <t>有效期至</t>
        </is>
      </c>
      <c r="G4" s="12" t="inlineStr">
        <is>
          <t>有效期判定(此单由公式自动计算)</t>
        </is>
      </c>
      <c r="H4" s="12" t="inlineStr">
        <is>
          <t>核验状态</t>
        </is>
      </c>
      <c r="I4" s="12" t="inlineStr">
        <is>
          <t>应否具备</t>
        </is>
      </c>
      <c r="J4" s="12" t="inlineStr">
        <is>
          <t>许可/核准范围（证载原文）</t>
        </is>
      </c>
      <c r="K4" s="12" t="inlineStr">
        <is>
          <t>范围是否覆盖本采购</t>
        </is>
      </c>
      <c r="L4" s="12" t="inlineStr">
        <is>
          <t>字段来源</t>
        </is>
      </c>
      <c r="M4" s="12" t="inlineStr">
        <is>
          <t>公开状态</t>
        </is>
      </c>
      <c r="N4" s="12" t="inlineStr">
        <is>
          <t>公开链接</t>
        </is>
      </c>
      <c r="O4" s="12" t="inlineStr">
        <is>
          <t>交叉核验记录</t>
        </is>
      </c>
      <c r="P4" s="12" t="inlineStr">
        <is>
          <t>核验说明与缺口</t>
        </is>
      </c>
    </row>
    <row r="5">
      <c r="A5" s="24" t="inlineStr">
        <is>
          <t>C01</t>
        </is>
      </c>
      <c r="B5" s="14" t="inlineStr">
        <is>
          <t>营业执照</t>
        </is>
      </c>
      <c r="C5" s="14" t="inlineStr">
        <is>
          <t>待核验</t>
        </is>
      </c>
      <c r="D5" s="14" t="inlineStr">
        <is>
          <t>市场监督管理部门</t>
        </is>
      </c>
      <c r="E5" s="24" t="n"/>
      <c r="F5" s="24" t="inlineStr"/>
      <c r="G5" s="29">
        <f>IF(OR($F5="",$F5="长期"),IF($F5="","有效期未取得","长期有效"),IF($F5&lt;TEXT(基准日,"yyyy-mm-dd"),"已过期 "&amp;TEXT(基准日-$F5,"0")&amp;" 天","有效 余"&amp;TEXT($F5-基准日,"0")&amp;"天"))</f>
        <v/>
      </c>
      <c r="H5" s="23" t="inlineStr">
        <is>
          <t>待核验</t>
        </is>
      </c>
      <c r="I5" s="24" t="inlineStr">
        <is>
          <t>应具备</t>
        </is>
      </c>
      <c r="J5" s="14" t="inlineStr">
        <is>
          <t>示例数据，未填写。</t>
        </is>
      </c>
      <c r="K5" s="30" t="inlineStr">
        <is>
          <t>无法判断</t>
        </is>
      </c>
      <c r="L5" s="14" t="inlineStr">
        <is>
          <t>未取得</t>
        </is>
      </c>
      <c r="M5" s="24" t="inlineStr">
        <is>
          <t>示例数据</t>
        </is>
      </c>
      <c r="N5" s="31" t="n"/>
      <c r="O5" s="14" t="inlineStr"/>
      <c r="P5" s="14" t="inlineStr">
        <is>
          <t>示例：实际作业时应填公示系统查询结果。</t>
        </is>
      </c>
    </row>
    <row r="6">
      <c r="A6" s="25" t="inlineStr">
        <is>
          <t>C02</t>
        </is>
      </c>
      <c r="B6" s="16" t="inlineStr">
        <is>
          <t>危险化学品经营许可证</t>
        </is>
      </c>
      <c r="C6" s="16" t="inlineStr">
        <is>
          <t>待核验</t>
        </is>
      </c>
      <c r="D6" s="16" t="inlineStr">
        <is>
          <t>所在地应急管理部门</t>
        </is>
      </c>
      <c r="E6" s="25" t="n"/>
      <c r="F6" s="25" t="inlineStr"/>
      <c r="G6" s="32">
        <f>IF(OR($F6="",$F6="长期"),IF($F6="","有效期未取得","长期有效"),IF($F6&lt;TEXT(基准日,"yyyy-mm-dd"),"已过期 "&amp;TEXT(基准日-$F6,"0")&amp;" 天","有效 余"&amp;TEXT($F6-基准日,"0")&amp;"天"))</f>
        <v/>
      </c>
      <c r="H6" s="23" t="inlineStr">
        <is>
          <t>待核验</t>
        </is>
      </c>
      <c r="I6" s="25" t="inlineStr">
        <is>
          <t>应具备</t>
        </is>
      </c>
      <c r="J6" s="16" t="inlineStr">
        <is>
          <t>待核验；应含甲醇与经营方式。</t>
        </is>
      </c>
      <c r="K6" s="30" t="inlineStr">
        <is>
          <t>无法判断</t>
        </is>
      </c>
      <c r="L6" s="16" t="inlineStr">
        <is>
          <t>未取得</t>
        </is>
      </c>
      <c r="M6" s="25" t="inlineStr">
        <is>
          <t>示例数据</t>
        </is>
      </c>
      <c r="N6" s="33" t="n"/>
      <c r="O6" s="16" t="inlineStr"/>
      <c r="P6" s="16" t="inlineStr">
        <is>
          <t>示例：这是贸易商路径的核心证件。</t>
        </is>
      </c>
    </row>
    <row r="7">
      <c r="A7" s="24" t="inlineStr">
        <is>
          <t>C03</t>
        </is>
      </c>
      <c r="B7" s="14" t="inlineStr">
        <is>
          <t>上游工厂危险化学品安全生产许可证</t>
        </is>
      </c>
      <c r="C7" s="14" t="inlineStr">
        <is>
          <t>待核验</t>
        </is>
      </c>
      <c r="D7" s="14" t="inlineStr">
        <is>
          <t>省应急管理厅</t>
        </is>
      </c>
      <c r="E7" s="24" t="n"/>
      <c r="F7" s="24" t="inlineStr"/>
      <c r="G7" s="29">
        <f>IF(OR($F7="",$F7="长期"),IF($F7="","有效期未取得","长期有效"),IF($F7&lt;TEXT(基准日,"yyyy-mm-dd"),"已过期 "&amp;TEXT(基准日-$F7,"0")&amp;" 天","有效 余"&amp;TEXT($F7-基准日,"0")&amp;"天"))</f>
        <v/>
      </c>
      <c r="H7" s="30" t="inlineStr">
        <is>
          <t>无公开信息</t>
        </is>
      </c>
      <c r="I7" s="24" t="inlineStr">
        <is>
          <t>应具备</t>
        </is>
      </c>
      <c r="J7" s="14" t="inlineStr">
        <is>
          <t>未取得。</t>
        </is>
      </c>
      <c r="K7" s="30" t="inlineStr">
        <is>
          <t>无法判断</t>
        </is>
      </c>
      <c r="L7" s="14" t="inlineStr">
        <is>
          <t>未取得；示例中未指定上游工厂</t>
        </is>
      </c>
      <c r="M7" s="24" t="inlineStr">
        <is>
          <t>示例数据</t>
        </is>
      </c>
      <c r="N7" s="31" t="n"/>
      <c r="O7" s="14" t="inlineStr"/>
      <c r="P7" s="14" t="inlineStr">
        <is>
          <t>示例：先确定实际发货工厂，再核其许可证。</t>
        </is>
      </c>
    </row>
    <row r="9">
      <c r="A9" s="34" t="inlineStr">
        <is>
          <t>汇总(公式)</t>
        </is>
      </c>
      <c r="B9" s="35">
        <f>COUNTA($H$5:$H$7)</f>
        <v/>
      </c>
      <c r="C9" s="35">
        <f>COUNTIF($H$5:$H$7,"已核验")</f>
        <v/>
      </c>
      <c r="D9" s="35">
        <f>COUNTIF($H$5:$H$7,"信息不一致")</f>
        <v/>
      </c>
      <c r="E9" s="35">
        <f>COUNTIF($H$5:$H$7,"待核验")</f>
        <v/>
      </c>
      <c r="F9" s="35">
        <f>COUNTIF($H$5:$H$7,"无公开信息")</f>
        <v/>
      </c>
      <c r="G9" s="35">
        <f>COUNTIF($H$5:$H$7,"已过期")</f>
        <v/>
      </c>
      <c r="H9" s="35">
        <f>COUNTIF($G$5:$G$7,"有效 余*")</f>
        <v/>
      </c>
    </row>
    <row r="10">
      <c r="A10" s="36" t="inlineStr">
        <is>
          <t>口径</t>
        </is>
      </c>
      <c r="B10" s="37" t="inlineStr">
        <is>
          <t>「180天内到期」按 G 列判定文本统计（含「有效 余180天」及以下），仅作预警提示，不改变核验状态；证书编号留空表示尚未取得，不得填写推测值。</t>
        </is>
      </c>
    </row>
  </sheetData>
  <autoFilter ref="A4:P7"/>
  <mergeCells count="3">
    <mergeCell ref="A2:Q2"/>
    <mergeCell ref="A1:Q1"/>
    <mergeCell ref="B10:N10"/>
  </mergeCells>
  <dataValidations count="3">
    <dataValidation sqref="H5:H80" showDropDown="0" showInputMessage="0" showErrorMessage="0" allowBlank="1" type="list">
      <formula1>"已核验,信息不一致,待核验,无公开信息,已过期"</formula1>
    </dataValidation>
    <dataValidation sqref="K5:K80" showDropDown="0" showInputMessage="0" showErrorMessage="0" allowBlank="1" type="list">
      <formula1>"覆盖,部分覆盖,未覆盖,无法判断"</formula1>
    </dataValidation>
    <dataValidation sqref="I5:I80" showDropDown="0" showInputMessage="0" showErrorMessage="0" allowBlank="1" type="list">
      <formula1>"应具备,备选/按需,不适用"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8843C"/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6" customWidth="1" min="8" max="8"/>
    <col width="26" customWidth="1" min="9" max="9"/>
    <col width="56" customWidth="1" min="10" max="10"/>
  </cols>
  <sheetData>
    <row r="1" ht="30" customHeight="1">
      <c r="A1" s="1" t="inlineStr">
        <is>
          <t>07 有效期与许可范围比对（逐单核对）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只剩天数用公式算；「是否覆盖本采购」「主体是否一致」必须逐项用证据回答，不得推定    ｜    基准日 2026-10-12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2" t="inlineStr">
        <is>
          <t>证照编号</t>
        </is>
      </c>
      <c r="B4" s="12" t="inlineStr">
        <is>
          <t>证照类型</t>
        </is>
      </c>
      <c r="C4" s="12" t="inlineStr">
        <is>
          <t>有效期至</t>
        </is>
      </c>
      <c r="D4" s="12" t="inlineStr">
        <is>
          <t>剩余天数(公式)</t>
        </is>
      </c>
      <c r="E4" s="12" t="inlineStr">
        <is>
          <t>到期风险(公式)</t>
        </is>
      </c>
      <c r="F4" s="12" t="inlineStr">
        <is>
          <t>是否覆盖拟购产品/浓度</t>
        </is>
      </c>
      <c r="G4" s="12" t="inlineStr">
        <is>
          <t>覆盖判定</t>
        </is>
      </c>
      <c r="H4" s="12" t="inlineStr">
        <is>
          <t>主体名称是否一致</t>
        </is>
      </c>
      <c r="I4" s="12" t="inlineStr">
        <is>
          <t>业务活动是否一致</t>
        </is>
      </c>
      <c r="J4" s="12" t="inlineStr">
        <is>
          <t>比对依据与备注</t>
        </is>
      </c>
    </row>
    <row r="5">
      <c r="A5" s="24" t="inlineStr">
        <is>
          <t>C01</t>
        </is>
      </c>
      <c r="B5" s="14" t="inlineStr">
        <is>
          <t>营业执照</t>
        </is>
      </c>
      <c r="C5" s="24" t="inlineStr"/>
      <c r="D5" s="24">
        <f>IF(OR($C5="",$C5="长期"),"",$C5-基准日)</f>
        <v/>
      </c>
      <c r="E5" s="24">
        <f>IF($D5="","—",IF($D5&lt;0,"已过期",IF($D5&lt;=180,"临期","有效")))</f>
        <v/>
      </c>
      <c r="F5" s="14" t="inlineStr">
        <is>
          <t>无法判断。</t>
        </is>
      </c>
      <c r="G5" s="30" t="inlineStr">
        <is>
          <t>无法判断</t>
        </is>
      </c>
      <c r="H5" s="24" t="inlineStr">
        <is>
          <t>待核验</t>
        </is>
      </c>
      <c r="I5" s="24" t="inlineStr">
        <is>
          <t>待核验</t>
        </is>
      </c>
      <c r="J5" s="14" t="inlineStr">
        <is>
          <t>示例：实际作业时应填公示系统查询结果。</t>
        </is>
      </c>
    </row>
    <row r="6">
      <c r="A6" s="25" t="inlineStr">
        <is>
          <t>C02</t>
        </is>
      </c>
      <c r="B6" s="16" t="inlineStr">
        <is>
          <t>危险化学品经营许可证</t>
        </is>
      </c>
      <c r="C6" s="25" t="inlineStr"/>
      <c r="D6" s="25">
        <f>IF(OR($C6="",$C6="长期"),"",$C6-基准日)</f>
        <v/>
      </c>
      <c r="E6" s="25">
        <f>IF($D6="","—",IF($D6&lt;0,"已过期",IF($D6&lt;=180,"临期","有效")))</f>
        <v/>
      </c>
      <c r="F6" s="16" t="inlineStr">
        <is>
          <t>无法判断。</t>
        </is>
      </c>
      <c r="G6" s="30" t="inlineStr">
        <is>
          <t>无法判断</t>
        </is>
      </c>
      <c r="H6" s="25" t="inlineStr">
        <is>
          <t>待核验</t>
        </is>
      </c>
      <c r="I6" s="25" t="inlineStr">
        <is>
          <t>待核验</t>
        </is>
      </c>
      <c r="J6" s="16" t="inlineStr">
        <is>
          <t>示例：这是贸易商路径的核心证件。</t>
        </is>
      </c>
    </row>
    <row r="7">
      <c r="A7" s="24" t="inlineStr">
        <is>
          <t>C03</t>
        </is>
      </c>
      <c r="B7" s="14" t="inlineStr">
        <is>
          <t>上游工厂危险化学品安全生产许可证</t>
        </is>
      </c>
      <c r="C7" s="24" t="inlineStr"/>
      <c r="D7" s="24">
        <f>IF(OR($C7="",$C7="长期"),"",$C7-基准日)</f>
        <v/>
      </c>
      <c r="E7" s="24">
        <f>IF($D7="","—",IF($D7&lt;0,"已过期",IF($D7&lt;=180,"临期","有效")))</f>
        <v/>
      </c>
      <c r="F7" s="14" t="inlineStr">
        <is>
          <t>无法判断。</t>
        </is>
      </c>
      <c r="G7" s="30" t="inlineStr">
        <is>
          <t>无法判断</t>
        </is>
      </c>
      <c r="H7" s="24" t="inlineStr">
        <is>
          <t>待核验</t>
        </is>
      </c>
      <c r="I7" s="24" t="inlineStr">
        <is>
          <t>待核验</t>
        </is>
      </c>
      <c r="J7" s="14" t="inlineStr">
        <is>
          <t>示例：先确定实际发货工厂，再核其许可证。</t>
        </is>
      </c>
    </row>
  </sheetData>
  <autoFilter ref="A4:J7"/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8843C"/>
    <outlinePr summaryBelow="1" summaryRight="1"/>
    <pageSetUpPr/>
  </sheetPr>
  <dimension ref="A1:E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0" customWidth="1" min="4" max="4"/>
    <col width="52" customWidth="1" min="5" max="5"/>
  </cols>
  <sheetData>
    <row r="1" ht="30" customHeight="1">
      <c r="A1" s="1" t="inlineStr">
        <is>
          <t>08 交叉核验记录（证照 × 主管部门公示 × 工商身份）</t>
        </is>
      </c>
      <c r="B1" s="2" t="n"/>
      <c r="C1" s="2" t="n"/>
      <c r="D1" s="2" t="n"/>
      <c r="E1" s="2" t="n"/>
    </row>
    <row r="2" ht="20" customHeight="1">
      <c r="A2" s="3" t="inlineStr">
        <is>
          <t>三方对不上就是「信息不一致」；仅一方可得只能写「待核验」    ｜    基准日 2026-10-12</t>
        </is>
      </c>
      <c r="B2" s="4" t="n"/>
      <c r="C2" s="4" t="n"/>
      <c r="D2" s="4" t="n"/>
      <c r="E2" s="4" t="n"/>
    </row>
    <row r="4" ht="34" customHeight="1">
      <c r="A4" s="26" t="inlineStr">
        <is>
          <t>示例数据：本示例不引用任何真实主体，交叉核验表仅演示结构。</t>
        </is>
      </c>
    </row>
    <row r="5" ht="28" customHeight="1">
      <c r="A5" s="12" t="inlineStr">
        <is>
          <t>比对项</t>
        </is>
      </c>
      <c r="B5" s="12" t="inlineStr">
        <is>
          <t>证照/供应商材料（A）</t>
        </is>
      </c>
      <c r="C5" s="12" t="inlineStr">
        <is>
          <t>公开来源/主管部门记录（B）</t>
        </is>
      </c>
      <c r="D5" s="12" t="inlineStr">
        <is>
          <t>结论</t>
        </is>
      </c>
      <c r="E5" s="12" t="inlineStr">
        <is>
          <t>处理意见</t>
        </is>
      </c>
    </row>
    <row r="6">
      <c r="A6" s="16" t="inlineStr">
        <is>
          <t>主体名称与信用代码</t>
        </is>
      </c>
      <c r="B6" s="16" t="inlineStr">
        <is>
          <t>示例</t>
        </is>
      </c>
      <c r="C6" s="16" t="inlineStr">
        <is>
          <t>待查公示系统</t>
        </is>
      </c>
      <c r="D6" s="23" t="inlineStr">
        <is>
          <t>部分一致</t>
        </is>
      </c>
      <c r="E6" s="16" t="inlineStr">
        <is>
          <t>结构演示。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3402A"/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24" customWidth="1" min="4" max="4"/>
    <col width="52" customWidth="1" min="5" max="5"/>
    <col width="46" customWidth="1" min="6" max="6"/>
    <col width="10" customWidth="1" min="7" max="7"/>
    <col width="9" customWidth="1" min="8" max="8"/>
    <col width="26" customWidth="1" min="9" max="9"/>
  </cols>
  <sheetData>
    <row r="1" ht="30" customHeight="1">
      <c r="A1" s="1" t="inlineStr">
        <is>
          <t>09 索证清单（Material To Request）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按优先级取证；查不到即入清单，绝不写「已确认无证」。勾选列用于跟踪进度    ｜    基准日 2026-10-12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8" customHeight="1">
      <c r="A4" s="12" t="inlineStr">
        <is>
          <t>编号</t>
        </is>
      </c>
      <c r="B4" s="12" t="inlineStr">
        <is>
          <t>优先级</t>
        </is>
      </c>
      <c r="C4" s="12" t="inlineStr">
        <is>
          <t>必须索取的证照/资料</t>
        </is>
      </c>
      <c r="D4" s="12" t="inlineStr">
        <is>
          <t>出具机关/说明</t>
        </is>
      </c>
      <c r="E4" s="12" t="inlineStr">
        <is>
          <t>为什么必须索取（本单的具体理由）</t>
        </is>
      </c>
      <c r="F4" s="12" t="inlineStr">
        <is>
          <t>需确认的问题</t>
        </is>
      </c>
      <c r="G4" s="12" t="inlineStr">
        <is>
          <t>来源</t>
        </is>
      </c>
      <c r="H4" s="12" t="inlineStr">
        <is>
          <t>已取得?</t>
        </is>
      </c>
      <c r="I4" s="12" t="inlineStr">
        <is>
          <t>备注</t>
        </is>
      </c>
    </row>
    <row r="5">
      <c r="A5" s="24" t="inlineStr">
        <is>
          <t>R01</t>
        </is>
      </c>
      <c r="B5" s="27" t="inlineStr">
        <is>
          <t>P0</t>
        </is>
      </c>
      <c r="C5" s="14" t="inlineStr">
        <is>
          <t>危险化学品经营许可证</t>
        </is>
      </c>
      <c r="D5" s="14" t="inlineStr">
        <is>
          <t>所在地应急管理部门</t>
        </is>
      </c>
      <c r="E5" s="14" t="inlineStr">
        <is>
          <t>贸易商经营危险化学品的唯一合法凭证</t>
        </is>
      </c>
      <c r="F5" s="14" t="inlineStr">
        <is>
          <t>请提供证书，确认许可范围含「甲醇」、经营方式（带/不带储存）与有效期。</t>
        </is>
      </c>
      <c r="G5" s="24" t="inlineStr">
        <is>
          <t>人工补充</t>
        </is>
      </c>
      <c r="H5" s="24" t="inlineStr"/>
      <c r="I5" s="14" t="inlineStr"/>
    </row>
    <row r="6">
      <c r="A6" s="25" t="inlineStr">
        <is>
          <t>R02</t>
        </is>
      </c>
      <c r="B6" s="27" t="inlineStr">
        <is>
          <t>P0</t>
        </is>
      </c>
      <c r="C6" s="16" t="inlineStr">
        <is>
          <t>上游工厂危险化学品安全生产许可证</t>
        </is>
      </c>
      <c r="D6" s="16" t="inlineStr">
        <is>
          <t>上游工厂所在地省应急管理厅</t>
        </is>
      </c>
      <c r="E6" s="16" t="inlineStr">
        <is>
          <t>实际发货工厂必须持生产许可</t>
        </is>
      </c>
      <c r="F6" s="16" t="inlineStr">
        <is>
          <t>请书面指明每批供货的生产工厂，并提供其许可证。</t>
        </is>
      </c>
      <c r="G6" s="25" t="inlineStr">
        <is>
          <t>人工补充</t>
        </is>
      </c>
      <c r="H6" s="25" t="inlineStr"/>
      <c r="I6" s="16" t="inlineStr"/>
    </row>
    <row r="7">
      <c r="A7" s="24" t="inlineStr">
        <is>
          <t>R03</t>
        </is>
      </c>
      <c r="B7" s="27" t="inlineStr">
        <is>
          <t>P0</t>
        </is>
      </c>
      <c r="C7" s="14" t="inlineStr">
        <is>
          <t>SDS 与规格书</t>
        </is>
      </c>
      <c r="D7" s="14" t="inlineStr">
        <is>
          <t>生产工厂</t>
        </is>
      </c>
      <c r="E7" s="14" t="inlineStr">
        <is>
          <t>易燃液体属性与运输分类依据</t>
        </is>
      </c>
      <c r="F7" s="14" t="inlineStr">
        <is>
          <t>请提供 SDS 第2/7/9/14节与规格书。</t>
        </is>
      </c>
      <c r="G7" s="24" t="inlineStr">
        <is>
          <t>人工补充</t>
        </is>
      </c>
      <c r="H7" s="24" t="inlineStr"/>
      <c r="I7" s="14" t="inlineStr"/>
    </row>
    <row r="8">
      <c r="A8" s="25" t="inlineStr">
        <is>
          <t>A01</t>
        </is>
      </c>
      <c r="B8" s="23" t="inlineStr">
        <is>
          <t>P1</t>
        </is>
      </c>
      <c r="C8" s="16" t="inlineStr">
        <is>
          <t>营业执照</t>
        </is>
      </c>
      <c r="D8" s="16" t="inlineStr">
        <is>
          <t>市场监督管理部门</t>
        </is>
      </c>
      <c r="E8" s="16" t="inlineStr">
        <is>
          <t>证照表状态为「待核验」：示例：实际作业时应填公示系统查询结果。</t>
        </is>
      </c>
      <c r="F8" s="16" t="inlineStr">
        <is>
          <t>请提供加盖公章的复印件及编号，供与主管部门公示核对</t>
        </is>
      </c>
      <c r="G8" s="25" t="inlineStr">
        <is>
          <t>自动派生</t>
        </is>
      </c>
      <c r="H8" s="25" t="inlineStr"/>
      <c r="I8" s="16" t="inlineStr"/>
    </row>
    <row r="10">
      <c r="A10" s="38" t="inlineStr">
        <is>
          <t>说明：本清单由证照表与监管要求自动派生 3 项（标注 AUTO），请与人工补充项合并去重。</t>
        </is>
      </c>
    </row>
  </sheetData>
  <autoFilter ref="A4:I8"/>
  <mergeCells count="3">
    <mergeCell ref="A1:I1"/>
    <mergeCell ref="A2:I2"/>
    <mergeCell ref="A10:I10"/>
  </mergeCells>
  <dataValidations count="1">
    <dataValidation sqref="H5:H120" showDropDown="0" showInputMessage="0" showErrorMessage="0" allowBlank="1" type="list">
      <formula1>"是,否,部分"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3402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30" customHeight="1">
      <c r="A1" s="1" t="inlineStr">
        <is>
          <t>10 发送给供应商的补充资料请求（草稿）</t>
        </is>
      </c>
      <c r="B1" s="2" t="n"/>
      <c r="C1" s="2" t="n"/>
    </row>
    <row r="2" ht="20" customHeight="1">
      <c r="A2" s="3" t="inlineStr">
        <is>
          <t>把索证清单转成对方能直接回复的邮件/公函；发送前替换占位符    ｜    基准日 2026-10-12</t>
        </is>
      </c>
      <c r="B2" s="4" t="n"/>
      <c r="C2" s="4" t="n"/>
    </row>
    <row r="4" ht="34" customHeight="1">
      <c r="A4" s="26" t="inlineStr">
        <is>
          <t>示例草稿，结构同主示例。</t>
        </is>
      </c>
    </row>
    <row r="5">
      <c r="A5" s="39" t="inlineStr">
        <is>
          <t>主题：甲醇采购 · 供应商资质资料补充请求（示例）
1. 危险化学品经营许可证（含许可范围与经营方式）；
2. 每批供货的生产工厂及其安全生产许可证；
3. SDS 与规格书；
4. 承运人危险货物道路运输资质。
【示例落款】</t>
        </is>
      </c>
    </row>
    <row r="6"/>
    <row r="7"/>
    <row r="8"/>
    <row r="9"/>
    <row r="10"/>
    <row r="11"/>
    <row r="12"/>
    <row r="13"/>
    <row r="14"/>
    <row r="15"/>
    <row r="16"/>
  </sheetData>
  <mergeCells count="4">
    <mergeCell ref="A1:C1"/>
    <mergeCell ref="A4:C4"/>
    <mergeCell ref="A5:C16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3402A"/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52" customWidth="1" min="4" max="4"/>
    <col width="44" customWidth="1" min="5" max="5"/>
    <col width="48" customWidth="1" min="6" max="6"/>
  </cols>
  <sheetData>
    <row r="1" ht="30" customHeight="1">
      <c r="A1" s="1" t="inlineStr">
        <is>
          <t>11 风险与处置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按「事实—后果—处置」写；每条必须有具体事实与对应动作    ｜    基准日 2026-10-12</t>
        </is>
      </c>
      <c r="B2" s="4" t="n"/>
      <c r="C2" s="4" t="n"/>
      <c r="D2" s="4" t="n"/>
      <c r="E2" s="4" t="n"/>
      <c r="F2" s="4" t="n"/>
    </row>
    <row r="4" ht="28" customHeight="1">
      <c r="A4" s="12" t="inlineStr">
        <is>
          <t>#</t>
        </is>
      </c>
      <c r="B4" s="12" t="inlineStr">
        <is>
          <t>风险等级</t>
        </is>
      </c>
      <c r="C4" s="12" t="inlineStr">
        <is>
          <t>风险点</t>
        </is>
      </c>
      <c r="D4" s="12" t="inlineStr">
        <is>
          <t>事实（已查到）</t>
        </is>
      </c>
      <c r="E4" s="12" t="inlineStr">
        <is>
          <t>可能后果</t>
        </is>
      </c>
      <c r="F4" s="12" t="inlineStr">
        <is>
          <t>处置动作 / 责任</t>
        </is>
      </c>
    </row>
    <row r="5">
      <c r="A5" s="24" t="n">
        <v>1</v>
      </c>
      <c r="B5" s="27" t="inlineStr">
        <is>
          <t>高</t>
        </is>
      </c>
      <c r="C5" s="14" t="inlineStr">
        <is>
          <t>贸易商经营方式与交付方式不匹配</t>
        </is>
      </c>
      <c r="D5" s="14" t="inlineStr">
        <is>
          <t>拟采购方为「不带储存」经营，实际是否中转未确认。</t>
        </is>
      </c>
      <c r="E5" s="14" t="inlineStr">
        <is>
          <t>超范围经营可能导致货物被查扣、交易无效。</t>
        </is>
      </c>
      <c r="F5" s="14" t="inlineStr">
        <is>
          <t>合同约定工厂直发我方厂区，禁止在贸易商仓库中转。</t>
        </is>
      </c>
    </row>
    <row r="6">
      <c r="A6" s="25" t="n">
        <v>2</v>
      </c>
      <c r="B6" s="27" t="inlineStr">
        <is>
          <t>高</t>
        </is>
      </c>
      <c r="C6" s="16" t="inlineStr">
        <is>
          <t>上游工厂不明</t>
        </is>
      </c>
      <c r="D6" s="16" t="inlineStr">
        <is>
          <t>未指定发货工厂。</t>
        </is>
      </c>
      <c r="E6" s="16" t="inlineStr">
        <is>
          <t>无法验证生产许可。</t>
        </is>
      </c>
      <c r="F6" s="16" t="inlineStr">
        <is>
          <t>合同锁定工厂与批号，随批提供生产许可信息。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761B"/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52" customWidth="1" min="4" max="4"/>
    <col width="34" customWidth="1" min="5" max="5"/>
    <col width="12" customWidth="1" min="6" max="6"/>
    <col width="12" customWidth="1" min="7" max="7"/>
  </cols>
  <sheetData>
    <row r="1" ht="30" customHeight="1">
      <c r="A1" s="1" t="inlineStr">
        <is>
          <t>12 仍需人工核验的事项（无法自动化）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公开检索与 OCR 都做不到的事，必须写清「怎么核、谁去核、何时核完」    ｜    基准日 2026-10-12</t>
        </is>
      </c>
      <c r="B2" s="4" t="n"/>
      <c r="C2" s="4" t="n"/>
      <c r="D2" s="4" t="n"/>
      <c r="E2" s="4" t="n"/>
      <c r="F2" s="4" t="n"/>
      <c r="G2" s="4" t="n"/>
    </row>
    <row r="4" ht="28" customHeight="1">
      <c r="A4" s="12" t="inlineStr">
        <is>
          <t>#</t>
        </is>
      </c>
      <c r="B4" s="12" t="inlineStr">
        <is>
          <t>事项</t>
        </is>
      </c>
      <c r="C4" s="12" t="inlineStr">
        <is>
          <t>为什么必须人工</t>
        </is>
      </c>
      <c r="D4" s="12" t="inlineStr">
        <is>
          <t>核实方法</t>
        </is>
      </c>
      <c r="E4" s="12" t="inlineStr">
        <is>
          <t>需要的证据</t>
        </is>
      </c>
      <c r="F4" s="12" t="inlineStr">
        <is>
          <t>责任人</t>
        </is>
      </c>
      <c r="G4" s="12" t="inlineStr">
        <is>
          <t>完成日期</t>
        </is>
      </c>
    </row>
    <row r="5">
      <c r="A5" s="24" t="n">
        <v>1</v>
      </c>
      <c r="B5" s="14" t="inlineStr">
        <is>
          <t>GB 18218 临界量计算</t>
        </is>
      </c>
      <c r="C5" s="14" t="inlineStr">
        <is>
          <t>需标准原文</t>
        </is>
      </c>
      <c r="D5" s="14" t="inlineStr">
        <is>
          <t>取标准原文按罐区计算</t>
        </is>
      </c>
      <c r="E5" s="14" t="inlineStr">
        <is>
          <t>辨识报告</t>
        </is>
      </c>
      <c r="F5" s="24" t="inlineStr">
        <is>
          <t>EHS</t>
        </is>
      </c>
      <c r="G5" s="2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B7A72"/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26" customWidth="1" min="4" max="4"/>
    <col width="12" customWidth="1" min="5" max="5"/>
    <col width="52" customWidth="1" min="6" max="6"/>
    <col width="60" customWidth="1" min="7" max="7"/>
  </cols>
  <sheetData>
    <row r="1" ht="30" customHeight="1">
      <c r="A1" s="1" t="inlineStr">
        <is>
          <t>13 证据登记（E01…En）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每条结论均可回溯到具体文号/条款/页面；没有登记的来源不算证据    ｜    基准日 2026-10-12</t>
        </is>
      </c>
      <c r="B2" s="4" t="n"/>
      <c r="C2" s="4" t="n"/>
      <c r="D2" s="4" t="n"/>
      <c r="E2" s="4" t="n"/>
      <c r="F2" s="4" t="n"/>
      <c r="G2" s="4" t="n"/>
    </row>
    <row r="4" ht="28" customHeight="1">
      <c r="A4" s="12" t="inlineStr">
        <is>
          <t>证据ID</t>
        </is>
      </c>
      <c r="B4" s="12" t="inlineStr">
        <is>
          <t>类型</t>
        </is>
      </c>
      <c r="C4" s="12" t="inlineStr">
        <is>
          <t>文件/页面标题</t>
        </is>
      </c>
      <c r="D4" s="12" t="inlineStr">
        <is>
          <t>发布机构</t>
        </is>
      </c>
      <c r="E4" s="12" t="inlineStr">
        <is>
          <t>日期</t>
        </is>
      </c>
      <c r="F4" s="12" t="inlineStr">
        <is>
          <t>URL</t>
        </is>
      </c>
      <c r="G4" s="12" t="inlineStr">
        <is>
          <t>支撑了什么（具体到条款/字段）</t>
        </is>
      </c>
    </row>
    <row r="5">
      <c r="A5" s="24" t="inlineStr">
        <is>
          <t>E01</t>
        </is>
      </c>
      <c r="B5" s="14" t="inlineStr">
        <is>
          <t>行政法规</t>
        </is>
      </c>
      <c r="C5" s="14" t="inlineStr">
        <is>
          <t>危险化学品安全管理条例</t>
        </is>
      </c>
      <c r="D5" s="14" t="inlineStr">
        <is>
          <t>国务院</t>
        </is>
      </c>
      <c r="E5" s="24" t="inlineStr">
        <is>
          <t>2013修订</t>
        </is>
      </c>
      <c r="F5" s="31" t="inlineStr">
        <is>
          <t>https://www.mem.gov.cn/fw/flfgbz/fg/201709/P020220609517465250797.pdf</t>
        </is>
      </c>
      <c r="G5" s="14" t="inlineStr">
        <is>
          <t>第三条、第二十条、第二十九条、第三十三条等</t>
        </is>
      </c>
    </row>
    <row r="6">
      <c r="A6" s="25" t="inlineStr">
        <is>
          <t>E02</t>
        </is>
      </c>
      <c r="B6" s="16" t="inlineStr">
        <is>
          <t>部门公告</t>
        </is>
      </c>
      <c r="C6" s="16" t="inlineStr">
        <is>
          <t>易制爆危险化学品名录（2017年版）</t>
        </is>
      </c>
      <c r="D6" s="16" t="inlineStr">
        <is>
          <t>公安部</t>
        </is>
      </c>
      <c r="E6" s="25" t="inlineStr">
        <is>
          <t>2017-05-11</t>
        </is>
      </c>
      <c r="F6" s="33" t="inlineStr">
        <is>
          <t>https://csrcare.com/master%20law/%E6%B3%95%E8%A7%84/%E6%B3%95%E8%A7%84%E6%80%A7%E6%96%87%E4%BB%B6GW/GW1000-000806-2017%E6%98%93%E5%88%B6%E7%88%86%E5%8D%B1%E9%99%A9%E5%8C%96%E5%AD%A6%E5%93%81%E5%90%8D%E5%BD%95(2017%E5%B9%B4%E7%89%88).pdf</t>
        </is>
      </c>
      <c r="G6" s="16" t="inlineStr">
        <is>
          <t>全文核对未见于任何条目 → 判定为非易制爆品种（依据：公安部2017年名录）</t>
        </is>
      </c>
    </row>
  </sheetData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B7A7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6" customWidth="1" min="3" max="3"/>
  </cols>
  <sheetData>
    <row r="1" ht="30" customHeight="1">
      <c r="A1" s="1" t="inlineStr">
        <is>
          <t>14 附录：字段字典与维护约定</t>
        </is>
      </c>
      <c r="B1" s="2" t="n"/>
      <c r="C1" s="2" t="n"/>
    </row>
    <row r="2" ht="20" customHeight="1">
      <c r="A2" s="3" t="inlineStr">
        <is>
          <t>换日期、换产品、换供应商都只改数据，不改结构    ｜    版本 2026-10-12</t>
        </is>
      </c>
      <c r="B2" s="4" t="n"/>
      <c r="C2" s="4" t="n"/>
    </row>
    <row r="4" ht="28" customHeight="1">
      <c r="A4" s="12" t="inlineStr">
        <is>
          <t>字段/概念</t>
        </is>
      </c>
      <c r="B4" s="12" t="inlineStr">
        <is>
          <t>取值</t>
        </is>
      </c>
      <c r="C4" s="12" t="inlineStr">
        <is>
          <t>含义与写法规矩</t>
        </is>
      </c>
    </row>
    <row r="5">
      <c r="A5" s="14" t="inlineStr">
        <is>
          <t>as_of（基准日）</t>
        </is>
      </c>
      <c r="B5" s="14" t="inlineStr">
        <is>
          <t>YYYY-MM-DD</t>
        </is>
      </c>
      <c r="C5" s="14" t="inlineStr">
        <is>
          <t>全表唯一时间基准；所有「剩余天数/是否过期」相对它计算</t>
        </is>
      </c>
    </row>
    <row r="6">
      <c r="A6" s="16" t="inlineStr">
        <is>
          <t>cert.status</t>
        </is>
      </c>
      <c r="B6" s="16" t="inlineStr">
        <is>
          <t>verified</t>
        </is>
      </c>
      <c r="C6" s="16" t="inlineStr">
        <is>
          <t>已核验：证载字段被一手/官方公开来源直接支撑</t>
        </is>
      </c>
    </row>
    <row r="7">
      <c r="A7" s="14" t="inlineStr"/>
      <c r="B7" s="14" t="inlineStr">
        <is>
          <t>mismatch</t>
        </is>
      </c>
      <c r="C7" s="14" t="inlineStr">
        <is>
          <t>信息不一致：字段冲突、过期、主体不符或范围不匹配</t>
        </is>
      </c>
    </row>
    <row r="8">
      <c r="A8" s="16" t="inlineStr"/>
      <c r="B8" s="16" t="inlineStr">
        <is>
          <t>pending</t>
        </is>
      </c>
      <c r="C8" s="16" t="inlineStr">
        <is>
          <t>待核验：仅凭供应商提供，尚无公开来源可比对</t>
        </is>
      </c>
    </row>
    <row r="9">
      <c r="A9" s="14" t="inlineStr"/>
      <c r="B9" s="14" t="inlineStr">
        <is>
          <t>no_public</t>
        </is>
      </c>
      <c r="C9" s="14" t="inlineStr">
        <is>
          <t>无公开信息：定向检索未发现公开记录，不得推断为无证</t>
        </is>
      </c>
    </row>
    <row r="10">
      <c r="A10" s="16" t="inlineStr"/>
      <c r="B10" s="16" t="inlineStr">
        <is>
          <t>expired</t>
        </is>
      </c>
      <c r="C10" s="16" t="inlineStr">
        <is>
          <t>由 valid_to 与 as_of 自动推导（有效期早于基准日）</t>
        </is>
      </c>
    </row>
    <row r="11">
      <c r="A11" s="14" t="inlineStr">
        <is>
          <t>cert.cover</t>
        </is>
      </c>
      <c r="B11" s="14" t="inlineStr">
        <is>
          <t>cover/partial/not_cover/unknown</t>
        </is>
      </c>
      <c r="C11" s="14" t="inlineStr">
        <is>
          <t>许可范围是否覆盖拟采购产品与浓度；unknown 必须写原因</t>
        </is>
      </c>
    </row>
    <row r="12">
      <c r="A12" s="16" t="inlineStr">
        <is>
          <t>cert.need</t>
        </is>
      </c>
      <c r="B12" s="16" t="inlineStr">
        <is>
          <t>required/conditional/none</t>
        </is>
      </c>
      <c r="C12" s="16" t="inlineStr">
        <is>
          <t>本单中该证照是否应由供应商具备</t>
        </is>
      </c>
    </row>
    <row r="13">
      <c r="A13" s="14" t="inlineStr">
        <is>
          <t>finding.verdict</t>
        </is>
      </c>
      <c r="B13" s="14" t="inlineStr">
        <is>
          <t>confirmed</t>
        </is>
      </c>
      <c r="C13" s="14" t="inlineStr">
        <is>
          <t>已确认：目录条目阈值可逐字对上</t>
        </is>
      </c>
    </row>
    <row r="14">
      <c r="A14" s="16" t="inlineStr"/>
      <c r="B14" s="16" t="inlineStr">
        <is>
          <t>not_confirmed</t>
        </is>
      </c>
      <c r="C14" s="16" t="inlineStr">
        <is>
          <t>未确认（不等于不属于）：资料不足，须补证</t>
        </is>
      </c>
    </row>
    <row r="15">
      <c r="A15" s="14" t="inlineStr"/>
      <c r="B15" s="14" t="inlineStr">
        <is>
          <t>pending</t>
        </is>
      </c>
      <c r="C15" s="14" t="inlineStr">
        <is>
          <t>待核验：需供应商材料或主管部门确认</t>
        </is>
      </c>
    </row>
    <row r="16">
      <c r="A16" s="16" t="inlineStr">
        <is>
          <t>优先级</t>
        </is>
      </c>
      <c r="B16" s="16" t="inlineStr">
        <is>
          <t>P0/P1/P2</t>
        </is>
      </c>
      <c r="C16" s="16" t="inlineStr">
        <is>
          <t>P0 未取得不得下单；P1 卡合同/首批发货；P2 档案完善</t>
        </is>
      </c>
    </row>
    <row r="17">
      <c r="A17" s="14" t="inlineStr">
        <is>
          <t>scan mode</t>
        </is>
      </c>
      <c r="B17" s="14" t="inlineStr">
        <is>
          <t>mock</t>
        </is>
      </c>
      <c r="C17" s="14" t="inlineStr">
        <is>
          <t>模拟演示件，必须显式标注，严禁当作真实证照</t>
        </is>
      </c>
    </row>
    <row r="18">
      <c r="A18" s="16" t="inlineStr">
        <is>
          <t>scan mode</t>
        </is>
      </c>
      <c r="B18" s="16" t="inlineStr">
        <is>
          <t>upload</t>
        </is>
      </c>
      <c r="C18" s="16" t="inlineStr">
        <is>
          <t>真实上传件，OCR 字段须与公开记录逐字段比对</t>
        </is>
      </c>
    </row>
    <row r="19">
      <c r="A19" s="14" t="inlineStr">
        <is>
          <t>主体一致性</t>
        </is>
      </c>
      <c r="B19" s="14" t="inlineStr">
        <is>
          <t>—</t>
        </is>
      </c>
      <c r="C19" s="14" t="inlineStr">
        <is>
          <t>证照上的名称/地址/代码必须与当前工商登记一致；更名须附变更记录</t>
        </is>
      </c>
    </row>
    <row r="20">
      <c r="A20" s="16" t="inlineStr">
        <is>
          <t>维护周期</t>
        </is>
      </c>
      <c r="B20" s="16" t="inlineStr">
        <is>
          <t>每季度/换证后</t>
        </is>
      </c>
      <c r="C20" s="16" t="inlineStr">
        <is>
          <t>证照到期前 180 天预警；变更后 5 个工作日内更新台账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chem-supplier-qualification skill</dc:creator>
  <dc:title xmlns:dc="http://purl.org/dc/elements/1.1/">证照与监管要求核验台账</dc:title>
  <dc:subject xmlns:dc="http://purl.org/dc/elements/1.1/">【示例】华东某化工贸易有限公司 / 甲醇</dc:subject>
  <dcterms:created xmlns:dcterms="http://purl.org/dc/terms/" xmlns:xsi="http://www.w3.org/2001/XMLSchema-instance" xsi:type="dcterms:W3CDTF">2026-10-19T10:00:26Z</dcterms:created>
  <dcterms:modified xmlns:dcterms="http://purl.org/dc/terms/" xmlns:xsi="http://www.w3.org/2001/XMLSchema-instance" xsi:type="dcterms:W3CDTF">2026-10-19T10:00:27Z</dcterms:modified>
</cp:coreProperties>
</file>
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封面与说明" sheetId="1" state="visible" r:id="rId1"/>
    <sheet xmlns:r="http://schemas.openxmlformats.org/officeDocument/2006/relationships" name="01 主体识别" sheetId="2" state="visible" r:id="rId2"/>
    <sheet xmlns:r="http://schemas.openxmlformats.org/officeDocument/2006/relationships" name="02 产品监管识别" sheetId="3" state="visible" r:id="rId3"/>
    <sheet xmlns:r="http://schemas.openxmlformats.org/officeDocument/2006/relationships" name="03 监管分类核验单" sheetId="4" state="visible" r:id="rId4"/>
    <sheet xmlns:r="http://schemas.openxmlformats.org/officeDocument/2006/relationships" name="04 供应商许可要求" sheetId="5" state="visible" r:id="rId5"/>
    <sheet xmlns:r="http://schemas.openxmlformats.org/officeDocument/2006/relationships" name="05 采购方义务" sheetId="6" state="visible" r:id="rId6"/>
    <sheet xmlns:r="http://schemas.openxmlformats.org/officeDocument/2006/relationships" name="06 证照台账" sheetId="7" state="visible" r:id="rId7"/>
    <sheet xmlns:r="http://schemas.openxmlformats.org/officeDocument/2006/relationships" name="07 有效期与范围比对" sheetId="8" state="visible" r:id="rId8"/>
    <sheet xmlns:r="http://schemas.openxmlformats.org/officeDocument/2006/relationships" name="08 交叉核验记录" sheetId="9" state="visible" r:id="rId9"/>
    <sheet xmlns:r="http://schemas.openxmlformats.org/officeDocument/2006/relationships" name="09 索证清单" sheetId="10" state="visible" r:id="rId10"/>
    <sheet xmlns:r="http://schemas.openxmlformats.org/officeDocument/2006/relationships" name="10 供应商资料请求草稿" sheetId="11" state="visible" r:id="rId11"/>
    <sheet xmlns:r="http://schemas.openxmlformats.org/officeDocument/2006/relationships" name="11 风险与处置" sheetId="12" state="visible" r:id="rId12"/>
    <sheet xmlns:r="http://schemas.openxmlformats.org/officeDocument/2006/relationships" name="12 人工核验事项" sheetId="13" state="visible" r:id="rId13"/>
    <sheet xmlns:r="http://schemas.openxmlformats.org/officeDocument/2006/relationships" name="13 证据登记" sheetId="14" state="visible" r:id="rId14"/>
    <sheet xmlns:r="http://schemas.openxmlformats.org/officeDocument/2006/relationships" name="14 附录·数据字典" sheetId="15" state="visible" r:id="rId15"/>
  </sheets>
  <definedNames>
    <definedName name="基准日">'00 封面与说明'!$B$5</definedName>
    <definedName name="_xlnm._FilterDatabase" localSheetId="6" hidden="1">'06 证照台账'!$A$4:$P$16</definedName>
    <definedName name="_xlnm._FilterDatabase" localSheetId="7" hidden="1">'07 有效期与范围比对'!$A$4:$J$16</definedName>
    <definedName name="_xlnm._FilterDatabase" localSheetId="9" hidden="1">'09 索证清单'!$A$4:$I$15</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微软雅黑"/>
      <b val="1"/>
      <color rgb="00FFFFFF"/>
      <sz val="15"/>
    </font>
    <font>
      <name val="微软雅黑"/>
      <color rgb="001B4239"/>
      <sz val="9"/>
    </font>
    <font>
      <name val="微软雅黑"/>
      <b val="1"/>
      <color rgb="0012312A"/>
      <sz val="10"/>
    </font>
    <font>
      <name val="微软雅黑"/>
      <color rgb="0018231F"/>
      <sz val="10"/>
    </font>
    <font>
      <name val="微软雅黑"/>
      <b val="1"/>
      <color rgb="00FFFFFF"/>
      <sz val="11"/>
    </font>
    <font>
      <name val="微软雅黑"/>
      <b val="1"/>
      <color rgb="00B3402A"/>
      <sz val="9.5"/>
    </font>
    <font>
      <name val="微软雅黑"/>
      <color rgb="0018231F"/>
      <sz val="9.5"/>
    </font>
    <font>
      <name val="微软雅黑"/>
      <b val="1"/>
      <color rgb="0012312A"/>
      <sz val="9.5"/>
    </font>
    <font>
      <name val="微软雅黑"/>
      <b val="1"/>
      <color rgb="00FFFFFF"/>
      <sz val="9.5"/>
    </font>
    <font>
      <name val="微软雅黑"/>
      <b val="1"/>
      <color rgb="001F7A4D"/>
      <sz val="9.5"/>
    </font>
    <font>
      <name val="微软雅黑"/>
      <color rgb="00A9761B"/>
      <sz val="9.5"/>
    </font>
    <font>
      <name val="微软雅黑"/>
      <b val="1"/>
      <color rgb="0012312A"/>
      <sz val="11"/>
    </font>
    <font>
      <name val="微软雅黑"/>
      <b val="1"/>
      <color rgb="00A9761B"/>
      <sz val="9.5"/>
    </font>
    <font>
      <name val="微软雅黑"/>
      <color rgb="001B4239"/>
      <sz val="9.5"/>
    </font>
    <font>
      <name val="微软雅黑"/>
      <b val="1"/>
      <color rgb="006B7280"/>
      <sz val="9.5"/>
    </font>
    <font>
      <name val="微软雅黑"/>
      <color rgb="001B4239"/>
      <sz val="8.5"/>
      <u val="single"/>
    </font>
    <font>
      <name val="微软雅黑"/>
      <b val="1"/>
      <color rgb="0018231F"/>
      <sz val="9.5"/>
    </font>
    <font>
      <name val="微软雅黑"/>
      <color rgb="006B7280"/>
      <sz val="8.5"/>
    </font>
    <font>
      <name val="微软雅黑"/>
      <color rgb="006B7280"/>
      <sz val="9"/>
    </font>
  </fonts>
  <fills count="12">
    <fill>
      <patternFill/>
    </fill>
    <fill>
      <patternFill patternType="gray125"/>
    </fill>
    <fill>
      <patternFill patternType="solid">
        <fgColor rgb="0012312A"/>
      </patternFill>
    </fill>
    <fill>
      <patternFill patternType="solid">
        <fgColor rgb="00F7F5EF"/>
      </patternFill>
    </fill>
    <fill>
      <patternFill patternType="solid">
        <fgColor rgb="00F1EDE1"/>
      </patternFill>
    </fill>
    <fill>
      <patternFill patternType="solid">
        <fgColor rgb="00A8843C"/>
      </patternFill>
    </fill>
    <fill>
      <patternFill patternType="solid">
        <fgColor rgb="00FBE9E4"/>
      </patternFill>
    </fill>
    <fill>
      <patternFill patternType="solid">
        <fgColor rgb="001B4239"/>
      </patternFill>
    </fill>
    <fill>
      <patternFill patternType="solid">
        <fgColor rgb="00FBFAF5"/>
      </patternFill>
    </fill>
    <fill>
      <patternFill patternType="solid">
        <fgColor rgb="00E8F3EC"/>
      </patternFill>
    </fill>
    <fill>
      <patternFill patternType="solid">
        <fgColor rgb="00FBF2DD"/>
      </patternFill>
    </fill>
    <fill>
      <patternFill patternType="solid">
        <fgColor rgb="00EEF0F1"/>
      </patternFill>
    </fill>
  </fills>
  <borders count="6">
    <border>
      <left/>
      <right/>
      <top/>
      <bottom/>
      <diagonal/>
    </border>
    <border>
      <left style="thin">
        <color rgb="00D9D3C3"/>
      </left>
      <right style="thin">
        <color rgb="00D9D3C3"/>
      </right>
      <top style="thin">
        <color rgb="00D9D3C3"/>
      </top>
      <bottom style="thin">
        <color rgb="00D9D3C3"/>
      </bottom>
    </border>
    <border>
      <left/>
      <right/>
      <top style="thin">
        <color rgb="00D9D3C3"/>
      </top>
      <bottom/>
      <diagonal/>
    </border>
    <border>
      <left/>
      <right style="thin">
        <color rgb="00D9D3C3"/>
      </right>
      <top style="thin">
        <color rgb="00D9D3C3"/>
      </top>
      <bottom/>
      <diagonal/>
    </border>
    <border>
      <left/>
      <right/>
      <top style="thin">
        <color rgb="00D9D3C3"/>
      </top>
      <bottom style="thin">
        <color rgb="00D9D3C3"/>
      </bottom>
      <diagonal/>
    </border>
    <border>
      <left/>
      <right style="thin">
        <color rgb="00D9D3C3"/>
      </right>
      <top style="thin">
        <color rgb="00D9D3C3"/>
      </top>
      <bottom style="thin">
        <color rgb="00D9D3C3"/>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0" applyAlignment="1" pivotButton="0" quotePrefix="0" xfId="0">
      <alignment horizontal="left" vertical="center" indent="1"/>
    </xf>
    <xf numFmtId="0" fontId="0" fillId="3" borderId="0" pivotButton="0" quotePrefix="0" xfId="0"/>
    <xf numFmtId="0" fontId="3" fillId="4" borderId="1" applyAlignment="1" pivotButton="0" quotePrefix="0" xfId="0">
      <alignment vertical="top" indent="1"/>
    </xf>
    <xf numFmtId="0" fontId="4" fillId="0" borderId="1" applyAlignment="1" pivotButton="0" quotePrefix="0" xfId="0">
      <alignment vertical="top" wrapText="1"/>
    </xf>
    <xf numFmtId="0" fontId="5" fillId="5" borderId="0" applyAlignment="1" pivotButton="0" quotePrefix="0" xfId="0">
      <alignment vertical="center" indent="1"/>
    </xf>
    <xf numFmtId="0" fontId="6" fillId="6" borderId="1" applyAlignment="1" pivotButton="0" quotePrefix="0" xfId="0">
      <alignment vertical="top" indent="1"/>
    </xf>
    <xf numFmtId="0" fontId="7" fillId="0" borderId="1" applyAlignment="1" pivotButton="0" quotePrefix="0" xfId="0">
      <alignment vertical="top" wrapText="1"/>
    </xf>
    <xf numFmtId="0" fontId="8" fillId="3" borderId="1" pivotButton="0" quotePrefix="0" xfId="0"/>
    <xf numFmtId="0" fontId="7" fillId="0" borderId="1" pivotButton="0" quotePrefix="0" xfId="0"/>
    <xf numFmtId="0" fontId="9" fillId="7" borderId="1" applyAlignment="1" pivotButton="0" quotePrefix="0" xfId="0">
      <alignment horizontal="center" vertical="center" wrapText="1"/>
    </xf>
    <xf numFmtId="0" fontId="7" fillId="0" borderId="1" applyAlignment="1" pivotButton="0" quotePrefix="0" xfId="0">
      <alignment horizontal="left" vertical="top"/>
    </xf>
    <xf numFmtId="0" fontId="7" fillId="0" borderId="1" applyAlignment="1" pivotButton="0" quotePrefix="0" xfId="0">
      <alignment horizontal="left" vertical="top" wrapText="1"/>
    </xf>
    <xf numFmtId="0" fontId="7" fillId="8" borderId="1" applyAlignment="1" pivotButton="0" quotePrefix="0" xfId="0">
      <alignment horizontal="left" vertical="top"/>
    </xf>
    <xf numFmtId="0" fontId="7" fillId="8" borderId="1" applyAlignment="1" pivotButton="0" quotePrefix="0" xfId="0">
      <alignment horizontal="left" vertical="top" wrapText="1"/>
    </xf>
    <xf numFmtId="0" fontId="10" fillId="9" borderId="1" applyAlignment="1" pivotButton="0" quotePrefix="0" xfId="0">
      <alignment horizontal="left" vertical="top" wrapText="1"/>
    </xf>
    <xf numFmtId="0" fontId="11" fillId="10" borderId="1" applyAlignment="1" pivotButton="0" quotePrefix="0" xfId="0">
      <alignment vertical="top" wrapText="1"/>
    </xf>
    <xf numFmtId="0" fontId="12" fillId="0" borderId="0" pivotButton="0" quotePrefix="0" xfId="0"/>
    <xf numFmtId="0" fontId="0" fillId="0" borderId="4" pivotButton="0" quotePrefix="0" xfId="0"/>
    <xf numFmtId="0" fontId="0" fillId="0" borderId="5" pivotButton="0" quotePrefix="0" xfId="0"/>
    <xf numFmtId="0" fontId="10" fillId="9" borderId="1" applyAlignment="1" pivotButton="0" quotePrefix="0" xfId="0">
      <alignment horizontal="center" vertical="top" wrapText="1"/>
    </xf>
    <xf numFmtId="0" fontId="13" fillId="10" borderId="1" applyAlignment="1" pivotButton="0" quotePrefix="0" xfId="0">
      <alignment horizontal="center" vertical="top" wrapText="1"/>
    </xf>
    <xf numFmtId="0" fontId="7" fillId="0" borderId="1" applyAlignment="1" pivotButton="0" quotePrefix="0" xfId="0">
      <alignment horizontal="center" vertical="top" wrapText="1"/>
    </xf>
    <xf numFmtId="0" fontId="7" fillId="8" borderId="1" applyAlignment="1" pivotButton="0" quotePrefix="0" xfId="0">
      <alignment horizontal="center" vertical="top" wrapText="1"/>
    </xf>
    <xf numFmtId="0" fontId="14" fillId="3" borderId="1" applyAlignment="1" pivotButton="0" quotePrefix="0" xfId="0">
      <alignment vertical="top" wrapText="1" indent="1"/>
    </xf>
    <xf numFmtId="0" fontId="6" fillId="6" borderId="1" applyAlignment="1" pivotButton="0" quotePrefix="0" xfId="0">
      <alignment horizontal="center" vertical="top" wrapText="1"/>
    </xf>
    <xf numFmtId="0" fontId="7" fillId="3" borderId="1" applyAlignment="1" pivotButton="0" quotePrefix="0" xfId="0">
      <alignment vertical="top" wrapText="1"/>
    </xf>
    <xf numFmtId="0" fontId="15" fillId="11" borderId="1" applyAlignment="1" pivotButton="0" quotePrefix="0" xfId="0">
      <alignment horizontal="center" vertical="top" wrapText="1"/>
    </xf>
    <xf numFmtId="0" fontId="7" fillId="0" borderId="1" applyAlignment="1" pivotButton="0" quotePrefix="0" xfId="0">
      <alignment horizontal="center" wrapText="1"/>
    </xf>
    <xf numFmtId="0" fontId="16" fillId="0" borderId="1" applyAlignment="1" pivotButton="0" quotePrefix="0" xfId="0">
      <alignment horizontal="left" vertical="top" wrapText="1"/>
    </xf>
    <xf numFmtId="0" fontId="7" fillId="8" borderId="1" applyAlignment="1" pivotButton="0" quotePrefix="0" xfId="0">
      <alignment horizontal="center" wrapText="1"/>
    </xf>
    <xf numFmtId="0" fontId="16" fillId="8" borderId="1" applyAlignment="1" pivotButton="0" quotePrefix="0" xfId="0">
      <alignment horizontal="left" vertical="top" wrapText="1"/>
    </xf>
    <xf numFmtId="0" fontId="3" fillId="0" borderId="0" pivotButton="0" quotePrefix="0" xfId="0"/>
    <xf numFmtId="0" fontId="17" fillId="3" borderId="1" applyAlignment="1" pivotButton="0" quotePrefix="0" xfId="0">
      <alignment horizontal="center"/>
    </xf>
    <xf numFmtId="0" fontId="18" fillId="0" borderId="0" pivotButton="0" quotePrefix="0" xfId="0"/>
    <xf numFmtId="0" fontId="18" fillId="0" borderId="0" applyAlignment="1" pivotButton="0" quotePrefix="0" xfId="0">
      <alignment vertical="top" wrapText="1"/>
    </xf>
    <xf numFmtId="0" fontId="19" fillId="11" borderId="1" applyAlignment="1" pivotButton="0" quotePrefix="0" xfId="0">
      <alignment vertical="top" wrapText="1"/>
    </xf>
    <xf numFmtId="0" fontId="4" fillId="0"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paper.cnstock.com/html/2026-07/18/content_2245857.htm" TargetMode="External" Id="rId1"/><Relationship Type="http://schemas.openxmlformats.org/officeDocument/2006/relationships/hyperlink" Target="http://www.mxsys.cn/zhengshu.html" TargetMode="External" Id="rId2"/><Relationship Type="http://schemas.openxmlformats.org/officeDocument/2006/relationships/hyperlink" Target="http://www.mxsys.cn/zhengshu.html" TargetMode="External" Id="rId3"/><Relationship Type="http://schemas.openxmlformats.org/officeDocument/2006/relationships/hyperlink" Target="http://www.mxsys.cn/zhengshu.html" TargetMode="External" Id="rId4"/><Relationship Type="http://schemas.openxmlformats.org/officeDocument/2006/relationships/hyperlink" Target="http://www.mxsys.cn/zhengshu.html" TargetMode="External" Id="rId5"/><Relationship Type="http://schemas.openxmlformats.org/officeDocument/2006/relationships/hyperlink" Target="http://www.mxsys.cn/zhengshu.html" TargetMode="External" Id="rId6"/><Relationship Type="http://schemas.openxmlformats.org/officeDocument/2006/relationships/hyperlink" Target="http://www.mxsys.cn/zhengshu.html" TargetMode="External" Id="rId7"/><Relationship Type="http://schemas.openxmlformats.org/officeDocument/2006/relationships/hyperlink" Target="http://www.mxsys.cn/zhengshu.html" TargetMode="External" Id="rId8"/></Relationships>
</file>

<file path=xl/worksheets/_rels/sheet14.xml.rels><Relationships xmlns="http://schemas.openxmlformats.org/package/2006/relationships"><Relationship Type="http://schemas.openxmlformats.org/officeDocument/2006/relationships/hyperlink" Target="https://www.mem.gov.cn/fw/flfgbz/fg/201709/P020220609517465250797.pdf" TargetMode="External" Id="rId1"/><Relationship Type="http://schemas.openxmlformats.org/officeDocument/2006/relationships/hyperlink" Target="https://ehs.shanghaitech.edu.cn/2020/0918/c7817a55838/page.htm" TargetMode="External" Id="rId2"/><Relationship Type="http://schemas.openxmlformats.org/officeDocument/2006/relationships/hyperlink" Target="https://www.miit.gov.cn/ssqqhxptyflhbqzdgz/fgzc/zywj/art/2023/art_7e390e630bea4633af522d44e94dd3b7.html" TargetMode="External" Id="rId3"/><Relationship Type="http://schemas.openxmlformats.org/officeDocument/2006/relationships/hyperlink" Target="https://paper.cnstock.com/html/2026-07/18/content_2245857.htm" TargetMode="External" Id="rId4"/><Relationship Type="http://schemas.openxmlformats.org/officeDocument/2006/relationships/hyperlink" Target="https://csrcare.com/master%20law/%E6%B3%95%E8%A7%84/%E6%B3%95%E8%A7%84%E6%80%A7%E6%96%87%E4%BB%B6GW/GW1000-000806-2017%E6%98%93%E5%88%B6%E7%88%86%E5%8D%B1%E9%99%A9%E5%8C%96%E5%AD%A6%E5%93%81%E5%90%8D%E5%BD%95(2017%E5%B9%B4%E7%89%88).pdf" TargetMode="External" Id="rId5"/><Relationship Type="http://schemas.openxmlformats.org/officeDocument/2006/relationships/hyperlink" Target="https://www.mps.gov.cn/n6557558/c6622046/content.html" TargetMode="External" Id="rId6"/><Relationship Type="http://schemas.openxmlformats.org/officeDocument/2006/relationships/hyperlink" Target="http://www.dxzc.gov.cn/jc_dxq/365/387/content_24928.html" TargetMode="External" Id="rId7"/><Relationship Type="http://schemas.openxmlformats.org/officeDocument/2006/relationships/hyperlink" Target="https://yjt.zj.gov.cn/" TargetMode="External" Id="rId8"/><Relationship Type="http://schemas.openxmlformats.org/officeDocument/2006/relationships/hyperlink" Target="https://yjj.sx.gov.cn/art/2024/12/4/art_1229558497_1906939.html" TargetMode="External" Id="rId9"/><Relationship Type="http://schemas.openxmlformats.org/officeDocument/2006/relationships/hyperlink" Target="https://faolex.fao.org/docs/pdf/chn148048.pdf" TargetMode="External" Id="rId10"/><Relationship Type="http://schemas.openxmlformats.org/officeDocument/2006/relationships/hyperlink" Target="https://www.mps.gov.cn/" TargetMode="External" Id="rId11"/><Relationship Type="http://schemas.openxmlformats.org/officeDocument/2006/relationships/hyperlink" Target="https://www.shanghai.gov.cn/xxzfgzwj/20230714/bb4d7f393a07460dba9a6ca6952808b5.html" TargetMode="External" Id="rId12"/><Relationship Type="http://schemas.openxmlformats.org/officeDocument/2006/relationships/hyperlink" Target="https://yjt.zj.gov.cn/art/2024/1/31/art_1228991502_59143559.html" TargetMode="External" Id="rId13"/><Relationship Type="http://schemas.openxmlformats.org/officeDocument/2006/relationships/hyperlink" Target="http://www.mxsys.cn/zhengshu.html" TargetMode="External" Id="rId14"/><Relationship Type="http://schemas.openxmlformats.org/officeDocument/2006/relationships/hyperlink" Target="https://openstd.samr.gov.cn/bzgk/std/newGbInfo?hcno=E976F49B263D7579CCABD419B1E40225" TargetMode="External" Id="rId15"/><Relationship Type="http://schemas.openxmlformats.org/officeDocument/2006/relationships/hyperlink" Target="https://yjt.zj.gov.cn/art/2024/4/17/art_1228991502_59148015.html" TargetMode="External" Id="rId16"/></Relationships>
</file>

<file path=xl/worksheets/sheet1.xml><?xml version="1.0" encoding="utf-8"?>
<worksheet xmlns="http://schemas.openxmlformats.org/spreadsheetml/2006/main">
  <sheetPr>
    <tabColor rgb="00A8843C"/>
    <outlinePr summaryBelow="1" summaryRight="1"/>
    <pageSetUpPr/>
  </sheetPr>
  <dimension ref="A1:F40"/>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26" customWidth="1" min="6" max="6"/>
  </cols>
  <sheetData>
    <row r="1" ht="30" customHeight="1">
      <c r="A1" s="1" t="inlineStr">
        <is>
          <t>化学品供应商资质证照 · 监管要求核验台账</t>
        </is>
      </c>
      <c r="B1" s="2" t="n"/>
      <c r="C1" s="2" t="n"/>
      <c r="D1" s="2" t="n"/>
      <c r="E1" s="2" t="n"/>
      <c r="F1" s="2" t="n"/>
    </row>
    <row r="2" ht="20" customHeight="1">
      <c r="A2" s="3" t="inlineStr">
        <is>
          <t>由 chem-supplier-qualification 技能生成；监管分类以主管部门公示与证照原件为最终依据    ｜    记录号 QC-H2O2-30-MX-20261012</t>
        </is>
      </c>
      <c r="B2" s="4" t="n"/>
      <c r="C2" s="4" t="n"/>
      <c r="D2" s="4" t="n"/>
      <c r="E2" s="4" t="n"/>
      <c r="F2" s="4" t="n"/>
    </row>
    <row r="4" ht="20" customHeight="1">
      <c r="A4" s="5" t="inlineStr">
        <is>
          <t>台账名称</t>
        </is>
      </c>
      <c r="B4" s="6" t="inlineStr">
        <is>
          <t>向华东化工供应商采购 30% 过氧化氢溶液 · 资质证照核验底稿</t>
        </is>
      </c>
    </row>
    <row r="5" ht="20" customHeight="1">
      <c r="A5" s="5" t="inlineStr">
        <is>
          <t>核验基准日 as_of</t>
        </is>
      </c>
      <c r="B5" s="6" t="inlineStr">
        <is>
          <t>2026-10-12</t>
        </is>
      </c>
    </row>
    <row r="6" ht="20" customHeight="1">
      <c r="A6" s="5" t="inlineStr">
        <is>
          <t>主体（供应商）</t>
        </is>
      </c>
      <c r="B6" s="6" t="inlineStr">
        <is>
          <t>杭州名鑫双氧水有限公司</t>
        </is>
      </c>
    </row>
    <row r="7" ht="20" customHeight="1">
      <c r="A7" s="5" t="inlineStr">
        <is>
          <t>统一社会信用代码</t>
        </is>
      </c>
      <c r="B7" s="6" t="inlineStr">
        <is>
          <t>91330100668020191W</t>
        </is>
      </c>
    </row>
    <row r="8" ht="20" customHeight="1">
      <c r="A8" s="5" t="inlineStr">
        <is>
          <t>采购物料</t>
        </is>
      </c>
      <c r="B8" s="6" t="inlineStr">
        <is>
          <t>过氧化氢溶液</t>
        </is>
      </c>
    </row>
    <row r="9" ht="20" customHeight="1">
      <c r="A9" s="5" t="inlineStr">
        <is>
          <t>规格／浓度</t>
        </is>
      </c>
      <c r="B9" s="6" t="inlineStr">
        <is>
          <t>30%（质量分数），工业级，稳定剂体系，一等品/合格品按 GB/T 1616 或双方技术协议</t>
        </is>
      </c>
    </row>
    <row r="10" ht="20" customHeight="1">
      <c r="A10" s="5" t="inlineStr">
        <is>
          <t>CAS 登记号</t>
        </is>
      </c>
      <c r="B10" s="6" t="inlineStr">
        <is>
          <t>7722-84-1</t>
        </is>
      </c>
    </row>
    <row r="11" ht="20" customHeight="1">
      <c r="A11" s="5" t="inlineStr">
        <is>
          <t>采购方（我方）</t>
        </is>
      </c>
      <c r="B11" s="6" t="inlineStr">
        <is>
          <t>示例采购方：华东某新材料有限公司（脱敏，不代表真实主体）</t>
        </is>
      </c>
    </row>
    <row r="12" ht="20" customHeight="1">
      <c r="A12" s="5" t="inlineStr">
        <is>
          <t>总体判定</t>
        </is>
      </c>
      <c r="B12" s="6" t="inlineStr">
        <is>
          <t>G2 有条件推进（资料缺口型）</t>
        </is>
      </c>
    </row>
    <row r="13" ht="48" customHeight="1">
      <c r="A13" s="5" t="inlineStr">
        <is>
          <t>一句话结论</t>
        </is>
      </c>
      <c r="B13" s="6" t="inlineStr">
        <is>
          <t>产品监管属性清晰：30% 过氧化氢溶液属危险化学品（目录第 903 项）且属易制爆危险化学品（2017 名录 6.1），触发卖方许可查验与我方 5 日内流向报备义务；供应商主体身份已由上市公司公告核实，但核心生产许可、登记证与 SDS 尚未取得，当前不具备下单放行条件。</t>
        </is>
      </c>
    </row>
    <row r="14" ht="20" customHeight="1">
      <c r="A14" s="5" t="inlineStr">
        <is>
          <t>编制</t>
        </is>
      </c>
      <c r="B14" s="6" t="inlineStr">
        <is>
          <t>采购部 · 资质核验岗</t>
        </is>
      </c>
    </row>
    <row r="15" ht="20" customHeight="1">
      <c r="A15" s="5" t="inlineStr">
        <is>
          <t>生成时间</t>
        </is>
      </c>
      <c r="B15" s="6" t="inlineStr">
        <is>
          <t>2026-10-12</t>
        </is>
      </c>
    </row>
    <row r="17">
      <c r="A17" s="7" t="inlineStr">
        <is>
          <t>本台账的使用纪律（务必先读）</t>
        </is>
      </c>
    </row>
    <row r="18" ht="44" customHeight="1">
      <c r="A18" s="8" t="inlineStr">
        <is>
          <t>四态互斥</t>
        </is>
      </c>
      <c r="B18" s="9" t="inlineStr">
        <is>
          <t>证照只允许处于「已核验 / 信息不一致 / 待核验 / 无公开信息」四态之一；过期单独以「已过期」标记。不得混写、不得用一份证件推断企业整体合规。</t>
        </is>
      </c>
    </row>
    <row r="19" ht="30" customHeight="1">
      <c r="A19" s="8" t="inlineStr">
        <is>
          <t>查不到≠无证</t>
        </is>
      </c>
      <c r="B19" s="9" t="inlineStr">
        <is>
          <t>「无公开信息」只表示本次定向检索未发现公开记录，必须原样转入索证清单，不得写成「企业无证」。</t>
        </is>
      </c>
    </row>
    <row r="20" ht="30" customHeight="1">
      <c r="A20" s="8" t="inlineStr">
        <is>
          <t>不得推断</t>
        </is>
      </c>
      <c r="B20" s="9" t="inlineStr">
        <is>
          <t>不得根据企业名称、经营范围、行业常识推断许可状态；许可范围必须逐字核对是否覆盖拟采购产品与浓度。</t>
        </is>
      </c>
    </row>
    <row r="21" ht="30" customHeight="1">
      <c r="A21" s="8" t="inlineStr">
        <is>
          <t>时间基准</t>
        </is>
      </c>
      <c r="B21" s="9" t="inlineStr">
        <is>
          <t>全表只有一个 as_of 日期；有效期、到期提醒、是否过期都相对它计算，替换日期即可重算。</t>
        </is>
      </c>
    </row>
    <row r="22" ht="30" customHeight="1">
      <c r="A22" s="8" t="inlineStr">
        <is>
          <t>交叉核验</t>
        </is>
      </c>
      <c r="B22" s="9" t="inlineStr">
        <is>
          <t>上传扫描件/OCR 字段只能作 A 侧，必须与主管部门公示（B 侧）逐字段比对；不一致即「信息不一致」。</t>
        </is>
      </c>
    </row>
    <row r="23" ht="30" customHeight="1">
      <c r="A23" s="8" t="inlineStr">
        <is>
          <t>最终依据</t>
        </is>
      </c>
      <c r="B23" s="9" t="inlineStr">
        <is>
          <t>本台账不替代主管部门公示与证照原件；出具采购决定前须完成第 12 页「人工核验事项」。</t>
        </is>
      </c>
    </row>
    <row r="24" ht="30" customHeight="1">
      <c r="A24" s="8" t="inlineStr">
        <is>
          <t>模拟件标注</t>
        </is>
      </c>
      <c r="B24" s="9" t="inlineStr">
        <is>
          <t>凡 mode=mock 的扫描件均为模拟演示文件，严禁当作真实证照使用。</t>
        </is>
      </c>
    </row>
    <row r="26">
      <c r="A26" s="7" t="inlineStr">
        <is>
          <t>页签导航</t>
        </is>
      </c>
    </row>
    <row r="27">
      <c r="A27" s="10" t="inlineStr">
        <is>
          <t>01 主体识别</t>
        </is>
      </c>
      <c r="B27" s="11" t="inlineStr">
        <is>
          <t>工商身份、信用代码校验、企业关系链</t>
        </is>
      </c>
    </row>
    <row r="28">
      <c r="A28" s="10" t="inlineStr">
        <is>
          <t>02 产品监管识别</t>
        </is>
      </c>
      <c r="B28" s="11" t="inlineStr">
        <is>
          <t>CAS/浓度/剂型 → 危险化学品与特殊管理类别</t>
        </is>
      </c>
    </row>
    <row r="29">
      <c r="A29" s="10" t="inlineStr">
        <is>
          <t>03 监管分类核验单</t>
        </is>
      </c>
      <c r="B29" s="11" t="inlineStr">
        <is>
          <t>逐项打勾：已确认 / 未确认（≠不属于） / 待核验</t>
        </is>
      </c>
    </row>
    <row r="30">
      <c r="A30" s="10" t="inlineStr">
        <is>
          <t>04 供应商许可要求</t>
        </is>
      </c>
      <c r="B30" s="11" t="inlineStr">
        <is>
          <t>生产/经营/储存各类许可的适用条件与核验要点</t>
        </is>
      </c>
    </row>
    <row r="31">
      <c r="A31" s="10" t="inlineStr">
        <is>
          <t>05 采购方义务</t>
        </is>
      </c>
      <c r="B31" s="11" t="inlineStr">
        <is>
          <t>买方的许可、备案、流向登记与安全管理义务</t>
        </is>
      </c>
    </row>
    <row r="32">
      <c r="A32" s="10" t="inlineStr">
        <is>
          <t>06 证照台账</t>
        </is>
      </c>
      <c r="B32" s="11" t="inlineStr">
        <is>
          <t>核心表：证书、编号、机关、有效期、许可范围、状态</t>
        </is>
      </c>
    </row>
    <row r="33">
      <c r="A33" s="10" t="inlineStr">
        <is>
          <t>07 有效期与范围比对</t>
        </is>
      </c>
      <c r="B33" s="11" t="inlineStr">
        <is>
          <t>自动计算剩余天数，自动判定是否覆盖本采购</t>
        </is>
      </c>
    </row>
    <row r="34">
      <c r="A34" s="10" t="inlineStr">
        <is>
          <t>08 交叉核验记录</t>
        </is>
      </c>
      <c r="B34" s="11" t="inlineStr">
        <is>
          <t>证照字段 × 主管部门公示 × 工商身份</t>
        </is>
      </c>
    </row>
    <row r="35">
      <c r="A35" s="10" t="inlineStr">
        <is>
          <t>09 索证清单</t>
        </is>
      </c>
      <c r="B35" s="11" t="inlineStr">
        <is>
          <t>必须索取原件的证照 + 确认问题（含自动派生项）</t>
        </is>
      </c>
    </row>
    <row r="36">
      <c r="A36" s="10" t="inlineStr">
        <is>
          <t>10 供应商资料请求草稿</t>
        </is>
      </c>
      <c r="B36" s="11" t="inlineStr">
        <is>
          <t>可直接复制发送的补充资料请求函</t>
        </is>
      </c>
    </row>
    <row r="37">
      <c r="A37" s="10" t="inlineStr">
        <is>
          <t>11 风险与处置</t>
        </is>
      </c>
      <c r="B37" s="11" t="inlineStr">
        <is>
          <t>事实—后果—处置，逐条对应</t>
        </is>
      </c>
    </row>
    <row r="38">
      <c r="A38" s="10" t="inlineStr">
        <is>
          <t>12 人工核验事项</t>
        </is>
      </c>
      <c r="B38" s="11" t="inlineStr">
        <is>
          <t>无法自动化的现场/电话核验清单</t>
        </is>
      </c>
    </row>
    <row r="39">
      <c r="A39" s="10" t="inlineStr">
        <is>
          <t>13 证据登记</t>
        </is>
      </c>
      <c r="B39" s="11" t="inlineStr">
        <is>
          <t>E01…En 来源、发布机构、日期、URL、支撑内容</t>
        </is>
      </c>
    </row>
    <row r="40">
      <c r="A40" s="10" t="inlineStr">
        <is>
          <t>14 附录·数据字典</t>
        </is>
      </c>
      <c r="B40" s="11" t="inlineStr">
        <is>
          <t>字段含义、状态口径、更新维护约定</t>
        </is>
      </c>
    </row>
  </sheetData>
  <mergeCells count="37">
    <mergeCell ref="B4:F4"/>
    <mergeCell ref="B7:F7"/>
    <mergeCell ref="B31:F31"/>
    <mergeCell ref="B22:F22"/>
    <mergeCell ref="A26:F26"/>
    <mergeCell ref="B18:F18"/>
    <mergeCell ref="B27:F27"/>
    <mergeCell ref="B21:F21"/>
    <mergeCell ref="A2:F2"/>
    <mergeCell ref="B12:F12"/>
    <mergeCell ref="B39:F39"/>
    <mergeCell ref="B11:F11"/>
    <mergeCell ref="A17:F17"/>
    <mergeCell ref="B23:F23"/>
    <mergeCell ref="B14:F14"/>
    <mergeCell ref="B8:F8"/>
    <mergeCell ref="B13:F13"/>
    <mergeCell ref="B29:F29"/>
    <mergeCell ref="B38:F38"/>
    <mergeCell ref="B34:F34"/>
    <mergeCell ref="B10:F10"/>
    <mergeCell ref="B28:F28"/>
    <mergeCell ref="B19:F19"/>
    <mergeCell ref="B37:F37"/>
    <mergeCell ref="B40:F40"/>
    <mergeCell ref="B9:F9"/>
    <mergeCell ref="B30:F30"/>
    <mergeCell ref="B6:F6"/>
    <mergeCell ref="B24:F24"/>
    <mergeCell ref="B20:F20"/>
    <mergeCell ref="B15:F15"/>
    <mergeCell ref="B33:F33"/>
    <mergeCell ref="A1:F1"/>
    <mergeCell ref="B5:F5"/>
    <mergeCell ref="B36:F36"/>
    <mergeCell ref="B32:F32"/>
    <mergeCell ref="B35:F35"/>
  </mergeCells>
  <pageMargins left="0.75" right="0.75" top="1" bottom="1" header="0.5" footer="0.5"/>
</worksheet>
</file>

<file path=xl/worksheets/sheet2.xml><?xml version="1.0" encoding="utf-8"?>
<worksheet xmlns="http://schemas.openxmlformats.org/spreadsheetml/2006/main">
  <sheetPr>
    <tabColor rgb="001B4239"/>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8" customWidth="1" min="1" max="1"/>
    <col width="46" customWidth="1" min="2" max="2"/>
    <col width="62" customWidth="1" min="3" max="3"/>
  </cols>
  <sheetData>
    <row r="1" ht="30" customHeight="1">
      <c r="A1" s="1" t="inlineStr">
        <is>
          <t>01 供应商主体识别</t>
        </is>
      </c>
      <c r="B1" s="2" t="n"/>
      <c r="C1" s="2" t="n"/>
    </row>
    <row r="2" ht="20" customHeight="1">
      <c r="A2" s="3" t="inlineStr">
        <is>
          <t>先锁定唯一法人，再谈证照归属；同名不同主体是高频差错源    ｜    基准日 2026-10-12</t>
        </is>
      </c>
      <c r="B2" s="4" t="n"/>
      <c r="C2" s="4" t="n"/>
    </row>
    <row r="4" ht="28" customHeight="1">
      <c r="A4" s="12" t="inlineStr">
        <is>
          <t>项目</t>
        </is>
      </c>
      <c r="B4" s="12" t="inlineStr">
        <is>
          <t>内容</t>
        </is>
      </c>
      <c r="C4" s="12" t="inlineStr">
        <is>
          <t>核验说明 / 来源</t>
        </is>
      </c>
    </row>
    <row r="5">
      <c r="A5" s="13" t="inlineStr">
        <is>
          <t>企业全称</t>
        </is>
      </c>
      <c r="B5" s="14" t="inlineStr">
        <is>
          <t>杭州名鑫双氧水有限公司</t>
        </is>
      </c>
      <c r="C5" s="14" t="inlineStr">
        <is>
          <t>必须与营业执照逐字一致，含括号全/半角</t>
        </is>
      </c>
    </row>
    <row r="6">
      <c r="A6" s="15" t="inlineStr">
        <is>
          <t>曾用名/简称</t>
        </is>
      </c>
      <c r="B6" s="16" t="inlineStr"/>
      <c r="C6" s="16" t="inlineStr">
        <is>
          <t>曾用名证照在更名前签发属正常，但须核对变更记录</t>
        </is>
      </c>
    </row>
    <row r="7">
      <c r="A7" s="13" t="inlineStr">
        <is>
          <t>统一社会信用代码</t>
        </is>
      </c>
      <c r="B7" s="17" t="inlineStr">
        <is>
          <t>91330100668020191W</t>
        </is>
      </c>
      <c r="C7" s="14" t="inlineStr">
        <is>
          <t>GB 32100-2015 第18位校验：通过 ｜ 第18位校验码通过</t>
        </is>
      </c>
    </row>
    <row r="8">
      <c r="A8" s="15" t="inlineStr">
        <is>
          <t>营业执照注册号</t>
        </is>
      </c>
      <c r="B8" s="16" t="inlineStr"/>
      <c r="C8" s="16" t="inlineStr">
        <is>
          <t>未提供</t>
        </is>
      </c>
    </row>
    <row r="9">
      <c r="A9" s="13" t="inlineStr">
        <is>
          <t>法定代表人</t>
        </is>
      </c>
      <c r="B9" s="14" t="inlineStr">
        <is>
          <t>胡卫平</t>
        </is>
      </c>
      <c r="C9" s="14" t="inlineStr">
        <is>
          <t>与证照签章人是否同一人</t>
        </is>
      </c>
    </row>
    <row r="10">
      <c r="A10" s="15" t="inlineStr">
        <is>
          <t>注册资本</t>
        </is>
      </c>
      <c r="B10" s="16" t="inlineStr">
        <is>
          <t>3869 万人民币</t>
        </is>
      </c>
      <c r="C10" s="16" t="inlineStr"/>
    </row>
    <row r="11">
      <c r="A11" s="13" t="inlineStr">
        <is>
          <t>成立日期</t>
        </is>
      </c>
      <c r="B11" s="14" t="inlineStr">
        <is>
          <t>2007-11-07</t>
        </is>
      </c>
      <c r="C11" s="14" t="inlineStr"/>
    </row>
    <row r="12">
      <c r="A12" s="15" t="inlineStr">
        <is>
          <t>企业类型</t>
        </is>
      </c>
      <c r="B12" s="16" t="inlineStr">
        <is>
          <t>有限责任公司（公告未载明，按国家企业信用信息公示系统待核）</t>
        </is>
      </c>
      <c r="C12" s="16" t="inlineStr"/>
    </row>
    <row r="13">
      <c r="A13" s="13" t="inlineStr">
        <is>
          <t>登记状态</t>
        </is>
      </c>
      <c r="B13" s="14" t="inlineStr">
        <is>
          <t>依法存续（格林达公告载明「目前依法存续且经营情况正常」）</t>
        </is>
      </c>
      <c r="C13" s="14" t="inlineStr">
        <is>
          <t>存续/在业/注销/吊销</t>
        </is>
      </c>
    </row>
    <row r="14">
      <c r="A14" s="15" t="inlineStr">
        <is>
          <t>注册地址</t>
        </is>
      </c>
      <c r="B14" s="16" t="inlineStr">
        <is>
          <t>浙江省杭州市钱塘区临江街道红十五路9936-2号</t>
        </is>
      </c>
      <c r="C14" s="16" t="inlineStr">
        <is>
          <t>与证照住所一致</t>
        </is>
      </c>
    </row>
    <row r="15">
      <c r="A15" s="13" t="inlineStr">
        <is>
          <t>生产/经营地址</t>
        </is>
      </c>
      <c r="B15" s="14" t="inlineStr">
        <is>
          <t>官网公示：杭州市钱塘区临江街道红十五路9936号（与注册地址门牌尾号「-2」不一致，需以许可证所载生产地址为准）</t>
        </is>
      </c>
      <c r="C15" s="14" t="inlineStr">
        <is>
          <t>许可作业场所，需与许可证上的地址一致</t>
        </is>
      </c>
    </row>
    <row r="16">
      <c r="A16" s="15" t="inlineStr">
        <is>
          <t>经营范围（登记）</t>
        </is>
      </c>
      <c r="B16" s="16" t="inlineStr">
        <is>
          <t>许可项目：危险化学品生产；消毒剂生产（不含危险化学品）；食品添加剂生产。一般项目：技术/货物进出口；合成材料制造、专用化学产品制造（不含危险化学品）等。</t>
        </is>
      </c>
      <c r="C16" s="16" t="inlineStr">
        <is>
          <t>许可项目与登记范围是两件事，不可互相替代</t>
        </is>
      </c>
    </row>
    <row r="17">
      <c r="A17" s="13" t="inlineStr">
        <is>
          <t>注册信息来源</t>
        </is>
      </c>
      <c r="B17" s="14" t="inlineStr">
        <is>
          <t>杭州格林达电子材料股份有限公司《关于新增2026年度日常关联交易预计的公告》（证券代码 603931，公告编号 2026-026，2026-07-18，上海证券报）披露的关联方基本情况；本地按 GB 32100-2015 复算校验码通过。</t>
        </is>
      </c>
      <c r="C17" s="14" t="inlineStr"/>
    </row>
    <row r="18">
      <c r="A18" s="15" t="inlineStr">
        <is>
          <t>企业关系链</t>
        </is>
      </c>
      <c r="B18" s="16" t="inlineStr">
        <is>
          <t>杭州电化集团有限公司（控股股东）→ 杭州名鑫双氧水有限公司；杭州电化集团有限公司同时控股 杭州格林达电子材料股份有限公司（沪市 603931）。名鑫双氧水为格林达的关联方。</t>
        </is>
      </c>
      <c r="C18" s="16" t="inlineStr">
        <is>
          <t>控股/参股关系影响责任主体与承诺有效性</t>
        </is>
      </c>
    </row>
    <row r="19">
      <c r="A19" s="13" t="inlineStr">
        <is>
          <t>身份核验要点</t>
        </is>
      </c>
      <c r="B19" s="14" t="inlineStr">
        <is>
          <t>① 主体锁定以统一社会信用代码 91330100668020191W 为准，不依赖企业简称；② 股东：由杭州电化集团有限公司控股（格林达公告及官网），格林达本身亦受同一控股股东控制，属关联体系；③ 登记地址与官网地址门牌存在「9936-2」与「9936」差异，属同一厂区的可能，但必须与危化品安全生产许可证上的生产地址逐字核对。</t>
        </is>
      </c>
      <c r="C19" s="14" t="inlineStr"/>
    </row>
    <row r="21" ht="46" customHeight="1">
      <c r="A21" s="18" t="inlineStr">
        <is>
          <t>⚠ 工商登记经营范围含「危险化学品生产」，但经营范围 ≠ 许可范围。经营范围只能说明企业申请了该类项目，是否已取得具体品种的安全生产许可证、许可证覆盖哪些浓度与产能，必须看证照本身与应急管理部门公示。</t>
        </is>
      </c>
    </row>
  </sheetData>
  <mergeCells count="3">
    <mergeCell ref="A1:C1"/>
    <mergeCell ref="A21:C21"/>
    <mergeCell ref="A2:C2"/>
  </mergeCells>
  <pageMargins left="0.75" right="0.75" top="1" bottom="1" header="0.5" footer="0.5"/>
</worksheet>
</file>

<file path=xl/worksheets/sheet3.xml><?xml version="1.0" encoding="utf-8"?>
<worksheet xmlns="http://schemas.openxmlformats.org/spreadsheetml/2006/main">
  <sheetPr>
    <tabColor rgb="001B4239"/>
    <outlinePr summaryBelow="1" summaryRight="1"/>
    <pageSetUpPr/>
  </sheetPr>
  <dimension ref="A1:E44"/>
  <sheetViews>
    <sheetView showGridLines="0" workbookViewId="0">
      <pane ySplit="3" topLeftCell="A4" activePane="bottomLeft" state="frozen"/>
      <selection pane="bottomLeft" activeCell="A1" sqref="A1"/>
    </sheetView>
  </sheetViews>
  <sheetFormatPr baseColWidth="8" defaultRowHeight="15"/>
  <cols>
    <col width="8" customWidth="1" min="1" max="1"/>
    <col width="34" customWidth="1" min="2" max="2"/>
    <col width="12" customWidth="1" min="3" max="3"/>
    <col width="2" customWidth="1" min="4" max="4"/>
    <col width="70" customWidth="1" min="5" max="5"/>
  </cols>
  <sheetData>
    <row r="1" ht="30" customHeight="1">
      <c r="A1" s="1" t="inlineStr">
        <is>
          <t>02 产品身份与监管属性识别</t>
        </is>
      </c>
      <c r="B1" s="2" t="n"/>
      <c r="C1" s="2" t="n"/>
      <c r="D1" s="2" t="n"/>
      <c r="E1" s="2" t="n"/>
    </row>
    <row r="2" ht="20" customHeight="1">
      <c r="A2" s="3" t="inlineStr">
        <is>
          <t>CAS + 浓度 + 剂型 + 用途四要素同时锁定，再对照目录条目逐项判定    ｜    基准日 2026-10-12</t>
        </is>
      </c>
      <c r="B2" s="4" t="n"/>
      <c r="C2" s="4" t="n"/>
      <c r="D2" s="4" t="n"/>
      <c r="E2" s="4" t="n"/>
    </row>
    <row r="4">
      <c r="A4" s="19" t="inlineStr">
        <is>
          <t>2.1 物料档案（采购标的口径）</t>
        </is>
      </c>
    </row>
    <row r="5" ht="28" customHeight="1">
      <c r="A5" s="12" t="inlineStr">
        <is>
          <t>项目</t>
        </is>
      </c>
      <c r="B5" s="12" t="inlineStr">
        <is>
          <t>内容</t>
        </is>
      </c>
      <c r="C5" s="12" t="inlineStr">
        <is>
          <t>采购落库说明</t>
        </is>
      </c>
      <c r="D5" s="12" t="inlineStr"/>
      <c r="E5" s="12" t="inlineStr"/>
    </row>
    <row r="6">
      <c r="A6" s="15" t="inlineStr">
        <is>
          <t>物料名称</t>
        </is>
      </c>
      <c r="B6" s="16" t="inlineStr">
        <is>
          <t>过氧化氢溶液</t>
        </is>
      </c>
      <c r="C6" s="16" t="inlineStr"/>
      <c r="D6" s="20" t="n"/>
      <c r="E6" s="21" t="n"/>
    </row>
    <row r="7">
      <c r="A7" s="13" t="inlineStr">
        <is>
          <t>商品名/别名</t>
        </is>
      </c>
      <c r="B7" s="14" t="inlineStr">
        <is>
          <t>双氧水、Hydrogen peroxide solution</t>
        </is>
      </c>
      <c r="C7" s="14" t="inlineStr"/>
      <c r="D7" s="20" t="n"/>
      <c r="E7" s="21" t="n"/>
    </row>
    <row r="8">
      <c r="A8" s="15" t="inlineStr">
        <is>
          <t>CAS 登记号</t>
        </is>
      </c>
      <c r="B8" s="16" t="inlineStr">
        <is>
          <t>7722-84-1</t>
        </is>
      </c>
      <c r="C8" s="16" t="inlineStr">
        <is>
          <t>合同、送货单、SDS 三处必须一致</t>
        </is>
      </c>
      <c r="D8" s="20" t="n"/>
      <c r="E8" s="21" t="n"/>
    </row>
    <row r="9">
      <c r="A9" s="13" t="inlineStr">
        <is>
          <t>拟采购规格/浓度</t>
        </is>
      </c>
      <c r="B9" s="14" t="inlineStr">
        <is>
          <t>30%（质量分数），工业级，稳定剂体系，一等品/合格品按 GB/T 1616 或双方技术协议</t>
        </is>
      </c>
      <c r="C9" s="14" t="inlineStr">
        <is>
          <t>浓度决定目录条目（如含量阈值）与危险类别</t>
        </is>
      </c>
      <c r="D9" s="20" t="n"/>
      <c r="E9" s="21" t="n"/>
    </row>
    <row r="10">
      <c r="A10" s="15" t="inlineStr">
        <is>
          <t>剂型/形态</t>
        </is>
      </c>
      <c r="B10" s="16" t="inlineStr">
        <is>
          <t>水溶液（含稳定剂）</t>
        </is>
      </c>
      <c r="C10" s="16" t="inlineStr">
        <is>
          <t>水溶液/稳定剂体系影响目录条目的适用条件</t>
        </is>
      </c>
      <c r="D10" s="20" t="n"/>
      <c r="E10" s="21" t="n"/>
    </row>
    <row r="11">
      <c r="A11" s="13" t="inlineStr">
        <is>
          <t>工业标准/等级</t>
        </is>
      </c>
      <c r="B11" s="14" t="inlineStr">
        <is>
          <t>GB/T 1616-2014《工业过氧化氢》（版本以供应商现行技术协议为准，须在合同中锁定）</t>
        </is>
      </c>
      <c r="C11" s="14" t="inlineStr"/>
      <c r="D11" s="20" t="n"/>
      <c r="E11" s="21" t="n"/>
    </row>
    <row r="12">
      <c r="A12" s="15" t="inlineStr">
        <is>
          <t>包装与运输方式</t>
        </is>
      </c>
      <c r="B12" s="16" t="inlineStr">
        <is>
          <t>IBC 吨桶 / 25L、200L 桶，槽车可供应；公路危险货物运输</t>
        </is>
      </c>
      <c r="C12" s="16" t="inlineStr"/>
      <c r="D12" s="20" t="n"/>
      <c r="E12" s="21" t="n"/>
    </row>
    <row r="13">
      <c r="A13" s="13" t="inlineStr">
        <is>
          <t>年用量/本次批量</t>
        </is>
      </c>
      <c r="B13" s="14" t="inlineStr">
        <is>
          <t>首批 30 t，年度预估 300–500 t（按我方产线设计用量测算）</t>
        </is>
      </c>
      <c r="C13" s="14" t="inlineStr">
        <is>
          <t>与储存量、是否构成重大危险源、流向登记相关</t>
        </is>
      </c>
      <c r="D13" s="20" t="n"/>
      <c r="E13" s="21" t="n"/>
    </row>
    <row r="14">
      <c r="A14" s="15" t="inlineStr">
        <is>
          <t>采购用途/工艺</t>
        </is>
      </c>
      <c r="B14" s="16" t="inlineStr">
        <is>
          <t>我司（示例为华东某新材料企业）用于纸浆/纺织退浆剂稀释使用，使用浓度为 3%–5%，作为氧化剂；不用于食品加工、不用于消毒用途。</t>
        </is>
      </c>
      <c r="C14" s="16" t="inlineStr">
        <is>
          <t>用途决定是否需使用许可或公安备案</t>
        </is>
      </c>
      <c r="D14" s="20" t="n"/>
      <c r="E14" s="21" t="n"/>
    </row>
    <row r="15">
      <c r="A15" s="13" t="inlineStr">
        <is>
          <t>使用地点/储存条件</t>
        </is>
      </c>
      <c r="B15" s="14" t="inlineStr">
        <is>
          <t>我方厂区危化品专用库（通风、避光、防热、与还原剂/可燃物隔离），设计储量约 40 t</t>
        </is>
      </c>
      <c r="C15" s="14" t="inlineStr"/>
      <c r="D15" s="20" t="n"/>
      <c r="E15" s="21" t="n"/>
    </row>
    <row r="16">
      <c r="A16" s="15" t="inlineStr">
        <is>
          <t>SDS 版本</t>
        </is>
      </c>
      <c r="B16" s="16" t="inlineStr">
        <is>
          <t>待供应商提供现行版 SDS（GHS 中文版，须含第 2 节危险性分类与第 15 节法规信息）</t>
        </is>
      </c>
      <c r="C16" s="16" t="inlineStr">
        <is>
          <t>SDS 版本号与日期必须写进档案</t>
        </is>
      </c>
      <c r="D16" s="20" t="n"/>
      <c r="E16" s="21" t="n"/>
    </row>
    <row r="18">
      <c r="A18" s="19" t="inlineStr">
        <is>
          <t>2.2 危险属性识别（危险化学品 / 特殊管理类别）</t>
        </is>
      </c>
    </row>
    <row r="19" ht="28" customHeight="1">
      <c r="A19" s="12" t="inlineStr">
        <is>
          <t>识别项</t>
        </is>
      </c>
      <c r="B19" s="12" t="inlineStr">
        <is>
          <t>本产品结论</t>
        </is>
      </c>
      <c r="C19" s="12" t="inlineStr">
        <is>
          <t>判定</t>
        </is>
      </c>
      <c r="D19" s="12" t="inlineStr">
        <is>
          <t>依据（文号/条款/标准）</t>
        </is>
      </c>
      <c r="E19" s="12" t="inlineStr">
        <is>
          <t>适用条件与例外</t>
        </is>
      </c>
    </row>
    <row r="20">
      <c r="A20" s="16" t="inlineStr">
        <is>
          <t>是否属于危险化学品</t>
        </is>
      </c>
      <c r="B20" s="16" t="inlineStr">
        <is>
          <t>属于。30% 浓度落入《危险化学品目录（2015版）》序号 903「过氧化氢溶液[含量＞8%]」（CAS 7722-84-1）条目，按氧化性液体管理。</t>
        </is>
      </c>
      <c r="C20" s="22" t="inlineStr">
        <is>
          <t>已确认</t>
        </is>
      </c>
      <c r="D20" s="16" t="inlineStr">
        <is>
          <t>《危险化学品安全管理条例》第三条；《危险化学品目录（2015版）》（安监总局等10部门公告2015年第5号）序号 903</t>
        </is>
      </c>
      <c r="E20" s="16" t="inlineStr">
        <is>
          <t>适用条件：含量＞8% 的水溶液。若采购 8% 及以下稀溶液，不落入第 903 项，但仍须核对其 GHS 分类与是否需鉴定分类（见实施指南第六、七条）。</t>
        </is>
      </c>
    </row>
    <row r="21">
      <c r="A21" s="14" t="inlineStr">
        <is>
          <t>危险特性分类（GHS）</t>
        </is>
      </c>
      <c r="B21" s="14" t="inlineStr">
        <is>
          <t>氧化性液体，类别 2（20%≤含量＜60% 区间）；其余健康/环境危害类别以供应商 SDS 第 2 节为准。</t>
        </is>
      </c>
      <c r="C21" s="22" t="inlineStr">
        <is>
          <t>已确认</t>
        </is>
      </c>
      <c r="D21" s="14" t="inlineStr">
        <is>
          <t>《易制爆危险化学品名录（2017年版）》序号 6.1「过氧化氢溶液（含量＞8%）」危险性分类栏：含量≥60% 为氧化性液体类别1；20%≤含量＜60% 为类别2；8%＜含量＜20% 为类别3</t>
        </is>
      </c>
      <c r="E21" s="14" t="inlineStr">
        <is>
          <t>供应商 SDS 与本目录分类不一致时，以 SDS 与检测报告为准并请供应商书面说明；不能仅凭目录分类替代 SDS。</t>
        </is>
      </c>
    </row>
    <row r="22">
      <c r="A22" s="16" t="inlineStr">
        <is>
          <t>是否属于剧毒化学品</t>
        </is>
      </c>
      <c r="B22" s="16" t="inlineStr">
        <is>
          <t>不属于剧毒化学品。</t>
        </is>
      </c>
      <c r="C22" s="22" t="inlineStr">
        <is>
          <t>已确认</t>
        </is>
      </c>
      <c r="D22" s="16" t="inlineStr">
        <is>
          <t>《危险化学品目录（2015版）》「剧毒」标注栏：第 903 项未标注剧毒；剧毒品判定采用急性毒性类别 1 界限（经口 LD50≤5mg/kg 等）。</t>
        </is>
      </c>
      <c r="E22" s="16" t="inlineStr">
        <is>
          <t>该结论仅对 30% 过氧化氢溶液本条目成立，不得外推到其他含过氧化氢的配方品。</t>
        </is>
      </c>
    </row>
    <row r="23">
      <c r="A23" s="14" t="inlineStr">
        <is>
          <t>是否属于易制爆危险化学品</t>
        </is>
      </c>
      <c r="B23" s="14" t="inlineStr">
        <is>
          <t>属于。《易制爆危险化学品名录（2017年版）》第 6 类「过氧化物和超氧化物类」6.1 项：过氧化氢溶液（含量＞8%），CAS 7722-84-1。</t>
        </is>
      </c>
      <c r="C23" s="22" t="inlineStr">
        <is>
          <t>已确认</t>
        </is>
      </c>
      <c r="D23" s="14" t="inlineStr">
        <is>
          <t>公安部公告（2017-05-11）《易制爆危险化学品名录（2017年版）》；《危险化学品安全管理条例》第二十三条</t>
        </is>
      </c>
      <c r="E23" s="14" t="inlineStr">
        <is>
          <t>适用条件为含量＞8%。含量 8% 及以下不列入易制爆名录。本条直接触发购销双方的公安备案与流向登记义务（见第 04 节）。</t>
        </is>
      </c>
    </row>
    <row r="24">
      <c r="A24" s="16" t="inlineStr">
        <is>
          <t>是否属于易制毒 / 第一类、第二类、第三类</t>
        </is>
      </c>
      <c r="B24" s="16" t="inlineStr">
        <is>
          <t>按现行《易制毒化学品的分类和品种目录》，过氧化氢（CAS 7722-84-1）不是编者记忆中已列名的品种，但本次未调用到目录全文逐条比对。</t>
        </is>
      </c>
      <c r="C24" s="23" t="inlineStr">
        <is>
          <t>待核验</t>
        </is>
      </c>
      <c r="D24" s="16" t="inlineStr">
        <is>
          <t>《易制毒化学品管理条例》所附《易制毒化学品的分类和品种目录》（含2021年调整）</t>
        </is>
      </c>
      <c r="E24" s="16" t="inlineStr">
        <is>
          <t>必须以公安部/国务院发布的现行目录全文逐条核对后方可写入档案；不得以「记忆/行业习惯」替代目录原文。</t>
        </is>
      </c>
    </row>
    <row r="25">
      <c r="A25" s="14" t="inlineStr">
        <is>
          <t>是否为重点监管的危险化学品</t>
        </is>
      </c>
      <c r="B25" s="14" t="inlineStr">
        <is>
          <t>30% 过氧化氢溶液未发现被列入《首批重点监管的危险化学品名录》（2011年第95号，15种：氯、氨、液化石油气等）。</t>
        </is>
      </c>
      <c r="C25" s="23" t="inlineStr">
        <is>
          <t>待核验</t>
        </is>
      </c>
      <c r="D25" s="14" t="inlineStr">
        <is>
          <t>《首批重点监管的危险化学品名录》（安监总管三〔2011〕95号）；后续批次名录全国应急管理系统信息化门户检索未完成</t>
        </is>
      </c>
      <c r="E25" s="14" t="inlineStr">
        <is>
          <t>重点监管≠禁限，但会加严反应装置控制、自动化与人员资质要求；若该品被列为重点监管，我方使用装置的设计与自动化要求会显著提高。</t>
        </is>
      </c>
    </row>
    <row r="26">
      <c r="A26" s="16" t="inlineStr">
        <is>
          <t>重大危险源临界量（GB 18218-2018）</t>
        </is>
      </c>
      <c r="B26" s="16" t="inlineStr">
        <is>
          <t>本次示例中我方储量约 40 t，供应商供货为一次交付；临界量数值未从标准原文取到，尚不能定量判定是否构成重大危险源。</t>
        </is>
      </c>
      <c r="C26" s="23" t="inlineStr">
        <is>
          <t>待核验</t>
        </is>
      </c>
      <c r="D26" s="16" t="inlineStr">
        <is>
          <t>《危险化学品重大危险源辨识》GB 18218-2018 表1/表2</t>
        </is>
      </c>
      <c r="E26" s="16" t="inlineStr">
        <is>
          <t>实施指南第五条：主要成分为目录危险化学品的混合物，质量比之和≥70% 可视同危险化学品管理，按纯物质计。必须取标准原文核对行与阈值后再判定。</t>
        </is>
      </c>
    </row>
    <row r="27">
      <c r="A27" s="14" t="inlineStr">
        <is>
          <t>危险货物运输分类</t>
        </is>
      </c>
      <c r="B27" s="14" t="inlineStr">
        <is>
          <t>UN 2014，第 5.1 类（氧化性物质），包装类 II；须使用具备危险货物道路运输资质的企业与专用车辆。</t>
        </is>
      </c>
      <c r="C27" s="23" t="inlineStr">
        <is>
          <t>待供应商SDS/运单确认</t>
        </is>
      </c>
      <c r="D27" s="14" t="inlineStr">
        <is>
          <t>《危险货物道路运输安全管理办法》（交通运输部等令2019年第29号）；《危险货物品名表》GB 12268</t>
        </is>
      </c>
      <c r="E27" s="14" t="inlineStr">
        <is>
          <t>UN 编号、分类与包装类以供应商 SDS 第 14 节及运输委托书为准；不得仅凭本表安排运输。</t>
        </is>
      </c>
    </row>
    <row r="28">
      <c r="A28" s="16" t="inlineStr">
        <is>
          <t>是否属于监控化学品 / 其他专项管理</t>
        </is>
      </c>
      <c r="B28" s="16" t="inlineStr">
        <is>
          <t>未列入《中华人民共和国监控化学品管理条例》附表（按公开信息记忆判断，未逐条核对附表）。</t>
        </is>
      </c>
      <c r="C28" s="23" t="inlineStr">
        <is>
          <t>待核验</t>
        </is>
      </c>
      <c r="D28" s="16" t="inlineStr">
        <is>
          <t>《监控化学品管理条例》及附表</t>
        </is>
      </c>
      <c r="E28" s="16" t="inlineStr">
        <is>
          <t>若涉及《禁化武公约》附表化学品，将另行触发履约申报义务；需逐条核对后闭环。</t>
        </is>
      </c>
    </row>
    <row r="29">
      <c r="A29" s="14" t="inlineStr">
        <is>
          <t>食品级 / 消毒剂扩展管理（按用途触发）</t>
        </is>
      </c>
      <c r="B29" s="14" t="inlineStr">
        <is>
          <t>本次采购用途为工业氧化剂，不涉及食品添加剂与消毒产品。若供应商宣称食品级或消毒剂级，则分别触发《食品生产许可管理办法》与《消毒管理办法》下的专项资质。</t>
        </is>
      </c>
      <c r="C29" s="23" t="inlineStr">
        <is>
          <t>按用途判定</t>
        </is>
      </c>
      <c r="D29" s="14" t="inlineStr">
        <is>
          <t>《食品安全法》及GB 1886.9 食品添加剂 过氧化氢；《消毒管理办法》</t>
        </is>
      </c>
      <c r="E29" s="14" t="inlineStr">
        <is>
          <t>同一产品名、不同等级对应不同的证照组合，采购合同必须写明等级（工业级/食品级/消毒剂级）。</t>
        </is>
      </c>
    </row>
    <row r="31">
      <c r="A31" s="19" t="inlineStr">
        <is>
          <t>2.3 监管分类核验清单（未确认一项，不得下「不属于」结论）</t>
        </is>
      </c>
    </row>
    <row r="32" ht="28" customHeight="1">
      <c r="A32" s="12" t="inlineStr">
        <is>
          <t>编号</t>
        </is>
      </c>
      <c r="B32" s="12" t="inlineStr">
        <is>
          <t>监管制度/目录</t>
        </is>
      </c>
      <c r="C32" s="12" t="inlineStr">
        <is>
          <t>判定</t>
        </is>
      </c>
      <c r="D32" s="12" t="inlineStr"/>
      <c r="E32" s="12" t="inlineStr">
        <is>
          <t>本产品核对说明</t>
        </is>
      </c>
    </row>
    <row r="33">
      <c r="A33" s="24" t="inlineStr">
        <is>
          <t>K01</t>
        </is>
      </c>
      <c r="B33" s="14" t="inlineStr">
        <is>
          <t>《危险化学品目录（2015版）》</t>
        </is>
      </c>
      <c r="C33" s="22" t="inlineStr">
        <is>
          <t>已确认</t>
        </is>
      </c>
      <c r="D33" s="14" t="inlineStr"/>
      <c r="E33" s="14" t="inlineStr">
        <is>
          <t>序号 903「过氧化氢溶液[含量＞8%]」，CAS 7722-84-1；30% 落在条目内。</t>
        </is>
      </c>
    </row>
    <row r="34">
      <c r="A34" s="25" t="inlineStr">
        <is>
          <t>K02</t>
        </is>
      </c>
      <c r="B34" s="16" t="inlineStr">
        <is>
          <t>目录实施指南（安监总厅管三〔2015〕80号）</t>
        </is>
      </c>
      <c r="C34" s="22" t="inlineStr">
        <is>
          <t>已确认</t>
        </is>
      </c>
      <c r="D34" s="16" t="inlineStr"/>
      <c r="E34" s="16" t="inlineStr">
        <is>
          <t>第二条：CAS 相同即视为同一危险化学品；第五条：混合物主要成分之和≥70% 可视同危化品管理。</t>
        </is>
      </c>
    </row>
    <row r="35">
      <c r="A35" s="24" t="inlineStr">
        <is>
          <t>K03</t>
        </is>
      </c>
      <c r="B35" s="14" t="inlineStr">
        <is>
          <t>剧毒化学品（目录剧毒标注）</t>
        </is>
      </c>
      <c r="C35" s="22" t="inlineStr">
        <is>
          <t>已确认</t>
        </is>
      </c>
      <c r="D35" s="14" t="inlineStr"/>
      <c r="E35" s="14" t="inlineStr">
        <is>
          <t>第 903 项未标注「剧毒」。</t>
        </is>
      </c>
    </row>
    <row r="36">
      <c r="A36" s="25" t="inlineStr">
        <is>
          <t>K04</t>
        </is>
      </c>
      <c r="B36" s="16" t="inlineStr">
        <is>
          <t>《易制爆危险化学品名录（2017年版）》</t>
        </is>
      </c>
      <c r="C36" s="22" t="inlineStr">
        <is>
          <t>已确认</t>
        </is>
      </c>
      <c r="D36" s="16" t="inlineStr"/>
      <c r="E36" s="16" t="inlineStr">
        <is>
          <t>6.1 过氧化氢溶液（含量＞8%），CAS 7722-84-1，氧化性液体类别 1/2/3 按浓度分档。</t>
        </is>
      </c>
    </row>
    <row r="37">
      <c r="A37" s="24" t="inlineStr">
        <is>
          <t>K05</t>
        </is>
      </c>
      <c r="B37" s="14" t="inlineStr">
        <is>
          <t>《易制毒化学品的分类和品种目录》</t>
        </is>
      </c>
      <c r="C37" s="23" t="inlineStr">
        <is>
          <t>待核验</t>
        </is>
      </c>
      <c r="D37" s="14" t="inlineStr"/>
      <c r="E37" s="14" t="inlineStr">
        <is>
          <t>过氧化氢在编者记忆中未列名，但未取得目录全文逐条比对；结论挂起。</t>
        </is>
      </c>
    </row>
    <row r="38">
      <c r="A38" s="25" t="inlineStr">
        <is>
          <t>K06</t>
        </is>
      </c>
      <c r="B38" s="16" t="inlineStr">
        <is>
          <t>《首批重点监管的危险化学品名录》</t>
        </is>
      </c>
      <c r="C38" s="23" t="inlineStr">
        <is>
          <t>待核验</t>
        </is>
      </c>
      <c r="D38" s="16" t="inlineStr"/>
      <c r="E38" s="16" t="inlineStr">
        <is>
          <t>15 种清单中未见过氧化氢；后续批次名录未完成检索。</t>
        </is>
      </c>
    </row>
    <row r="39">
      <c r="A39" s="24" t="inlineStr">
        <is>
          <t>K07</t>
        </is>
      </c>
      <c r="B39" s="14" t="inlineStr">
        <is>
          <t>《危险化学品重大危险源辨识》GB 18218-2018</t>
        </is>
      </c>
      <c r="C39" s="23" t="inlineStr">
        <is>
          <t>待核验</t>
        </is>
      </c>
      <c r="D39" s="14" t="inlineStr"/>
      <c r="E39" s="14" t="inlineStr">
        <is>
          <t>临界量未取得原文；我方储量约 40 t，需按标准表1/表2 定量计算后判定。</t>
        </is>
      </c>
    </row>
    <row r="40">
      <c r="A40" s="25" t="inlineStr">
        <is>
          <t>K08</t>
        </is>
      </c>
      <c r="B40" s="16" t="inlineStr">
        <is>
          <t>《危险货物道路运输安全管理办法》及 GB 12268</t>
        </is>
      </c>
      <c r="C40" s="23" t="inlineStr">
        <is>
          <t>待核验</t>
        </is>
      </c>
      <c r="D40" s="16" t="inlineStr"/>
      <c r="E40" s="16" t="inlineStr">
        <is>
          <t>UN 2014 / 5.1 类 / PG II 需以 SDS 第 14 节确认。</t>
        </is>
      </c>
    </row>
    <row r="41">
      <c r="A41" s="24" t="inlineStr">
        <is>
          <t>K09</t>
        </is>
      </c>
      <c r="B41" s="14" t="inlineStr">
        <is>
          <t>《监控化学品管理条例》附表</t>
        </is>
      </c>
      <c r="C41" s="23" t="inlineStr">
        <is>
          <t>待核验</t>
        </is>
      </c>
      <c r="D41" s="14" t="inlineStr"/>
      <c r="E41" s="14" t="inlineStr">
        <is>
          <t>未逐条核对附表。</t>
        </is>
      </c>
    </row>
    <row r="42">
      <c r="A42" s="25" t="inlineStr">
        <is>
          <t>K10</t>
        </is>
      </c>
      <c r="B42" s="16" t="inlineStr">
        <is>
          <t>食品添加剂 / 消毒产品专项管理</t>
        </is>
      </c>
      <c r="C42" s="23" t="inlineStr">
        <is>
          <t>待核验</t>
        </is>
      </c>
      <c r="D42" s="16" t="inlineStr"/>
      <c r="E42" s="16" t="inlineStr">
        <is>
          <t>本次为工业用途；若采购等级变更则触发。</t>
        </is>
      </c>
    </row>
    <row r="44" ht="40" customHeight="1">
      <c r="A44" s="18" t="inlineStr">
        <is>
          <t>资料缺口：本次未取得供应商现行版 SDS，危险性分类现状以目录分类为准，须补证；未取得产品规格书与最新的 COA/检测报告（含量、稳定剂体系、不挥发物、铁含量等指标）；食品级、消毒剂级两条产线的产品是否与本次采购同一物质口径，待供应商确认</t>
        </is>
      </c>
    </row>
  </sheetData>
  <mergeCells count="24">
    <mergeCell ref="C16:E16"/>
    <mergeCell ref="C9:E9"/>
    <mergeCell ref="A1:E1"/>
    <mergeCell ref="E41"/>
    <mergeCell ref="C12:E12"/>
    <mergeCell ref="E37"/>
    <mergeCell ref="C11:E11"/>
    <mergeCell ref="C8:E8"/>
    <mergeCell ref="E33"/>
    <mergeCell ref="C7:E7"/>
    <mergeCell ref="E42"/>
    <mergeCell ref="E39"/>
    <mergeCell ref="C13:E13"/>
    <mergeCell ref="A2:E2"/>
    <mergeCell ref="E35"/>
    <mergeCell ref="E38"/>
    <mergeCell ref="C15:E15"/>
    <mergeCell ref="C6:E6"/>
    <mergeCell ref="C14:E14"/>
    <mergeCell ref="E34"/>
    <mergeCell ref="E40"/>
    <mergeCell ref="A44:E44"/>
    <mergeCell ref="E36"/>
    <mergeCell ref="C10:E10"/>
  </mergeCells>
  <pageMargins left="0.75" right="0.75" top="1" bottom="1" header="0.5" footer="0.5"/>
</worksheet>
</file>

<file path=xl/worksheets/sheet4.xml><?xml version="1.0" encoding="utf-8"?>
<worksheet xmlns="http://schemas.openxmlformats.org/spreadsheetml/2006/main">
  <sheetPr>
    <tabColor rgb="001B4239"/>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7" customWidth="1" min="1" max="1"/>
    <col width="22" customWidth="1" min="2" max="2"/>
    <col width="30" customWidth="1" min="3" max="3"/>
    <col width="62" customWidth="1" min="4" max="4"/>
    <col width="14" customWidth="1" min="5" max="5"/>
    <col width="34" customWidth="1" min="6" max="6"/>
    <col width="14" customWidth="1" min="7" max="7"/>
  </cols>
  <sheetData>
    <row r="1" ht="30" customHeight="1">
      <c r="A1" s="1" t="inlineStr">
        <is>
          <t>03 监管分类核验单（逐项打勾）</t>
        </is>
      </c>
      <c r="B1" s="2" t="n"/>
      <c r="C1" s="2" t="n"/>
      <c r="D1" s="2" t="n"/>
      <c r="E1" s="2" t="n"/>
      <c r="F1" s="2" t="n"/>
      <c r="G1" s="2" t="n"/>
    </row>
    <row r="2" ht="20" customHeight="1">
      <c r="A2" s="3" t="inlineStr">
        <is>
          <t>本页即「查什么、依据什么、结论是什么」的可审计轨迹；判定列可下拉选择    ｜    基准日 2026-10-12</t>
        </is>
      </c>
      <c r="B2" s="4" t="n"/>
      <c r="C2" s="4" t="n"/>
      <c r="D2" s="4" t="n"/>
      <c r="E2" s="4" t="n"/>
      <c r="F2" s="4" t="n"/>
      <c r="G2" s="4" t="n"/>
    </row>
    <row r="4" ht="28" customHeight="1">
      <c r="A4" s="12" t="inlineStr">
        <is>
          <t>编号</t>
        </is>
      </c>
      <c r="B4" s="12" t="inlineStr">
        <is>
          <t>监管制度 / 目录</t>
        </is>
      </c>
      <c r="C4" s="12" t="inlineStr">
        <is>
          <t>适用文号或条款</t>
        </is>
      </c>
      <c r="D4" s="12" t="inlineStr">
        <is>
          <t>本产品对照要点</t>
        </is>
      </c>
      <c r="E4" s="12" t="inlineStr">
        <is>
          <t>判定</t>
        </is>
      </c>
      <c r="F4" s="12" t="inlineStr">
        <is>
          <t>未确认时的影响</t>
        </is>
      </c>
      <c r="G4" s="12" t="inlineStr">
        <is>
          <t>复核人/日期</t>
        </is>
      </c>
    </row>
    <row r="5">
      <c r="A5" s="24" t="inlineStr">
        <is>
          <t>K01</t>
        </is>
      </c>
      <c r="B5" s="14" t="inlineStr">
        <is>
          <t>《危险化学品目录（2015版）》</t>
        </is>
      </c>
      <c r="C5" s="14" t="inlineStr">
        <is>
          <t>安监总局等10部门公告2015年第5号序号903</t>
        </is>
      </c>
      <c r="D5" s="14" t="inlineStr">
        <is>
          <t>序号 903「过氧化氢溶液[含量＞8%]」，CAS 7722-84-1；30% 落在条目内。</t>
        </is>
      </c>
      <c r="E5" s="22" t="inlineStr">
        <is>
          <t>已确认</t>
        </is>
      </c>
      <c r="F5" s="14" t="inlineStr">
        <is>
          <t>落入 → 生产、经营、储存均需应急管理领域许可</t>
        </is>
      </c>
      <c r="G5" s="24" t="inlineStr"/>
    </row>
    <row r="6">
      <c r="A6" s="25" t="inlineStr">
        <is>
          <t>K02</t>
        </is>
      </c>
      <c r="B6" s="16" t="inlineStr">
        <is>
          <t>目录实施指南（安监总厅管三〔2015〕80号）</t>
        </is>
      </c>
      <c r="C6" s="16" t="inlineStr">
        <is>
          <t>安监总厅管三〔2015〕80号</t>
        </is>
      </c>
      <c r="D6" s="16" t="inlineStr">
        <is>
          <t>第二条：CAS 相同即视为同一危险化学品；第五条：混合物主要成分之和≥70% 可视同危化品管理。</t>
        </is>
      </c>
      <c r="E6" s="22" t="inlineStr">
        <is>
          <t>已确认</t>
        </is>
      </c>
      <c r="F6" s="16" t="inlineStr">
        <is>
          <t>统一 CAS 口径；混合物需按主要成分判定</t>
        </is>
      </c>
      <c r="G6" s="25" t="inlineStr"/>
    </row>
    <row r="7">
      <c r="A7" s="24" t="inlineStr">
        <is>
          <t>K03</t>
        </is>
      </c>
      <c r="B7" s="14" t="inlineStr">
        <is>
          <t>剧毒化学品（目录剧毒标注）</t>
        </is>
      </c>
      <c r="C7" s="14" t="inlineStr">
        <is>
          <t>目录2015版剧毒标注栏</t>
        </is>
      </c>
      <c r="D7" s="14" t="inlineStr">
        <is>
          <t>第 903 项未标注「剧毒」。</t>
        </is>
      </c>
      <c r="E7" s="22" t="inlineStr">
        <is>
          <t>已确认</t>
        </is>
      </c>
      <c r="F7" s="14" t="inlineStr">
        <is>
          <t>不触发剧毒化学品购买许可（条例第三十九条）</t>
        </is>
      </c>
      <c r="G7" s="24" t="inlineStr"/>
    </row>
    <row r="8">
      <c r="A8" s="25" t="inlineStr">
        <is>
          <t>K04</t>
        </is>
      </c>
      <c r="B8" s="16" t="inlineStr">
        <is>
          <t>《易制爆危险化学品名录（2017年版）》</t>
        </is>
      </c>
      <c r="C8" s="16" t="inlineStr">
        <is>
          <t>公安部 2017-05-11 公告</t>
        </is>
      </c>
      <c r="D8" s="16" t="inlineStr">
        <is>
          <t>6.1 过氧化氢溶液（含量＞8%），CAS 7722-84-1，氧化性液体类别 1/2/3 按浓度分档。</t>
        </is>
      </c>
      <c r="E8" s="22" t="inlineStr">
        <is>
          <t>已确认</t>
        </is>
      </c>
      <c r="F8" s="16" t="inlineStr">
        <is>
          <t>触发：销售企业查验购买凭证、买卖双方 5 日内流向备案、治安保卫与出入库台账</t>
        </is>
      </c>
      <c r="G8" s="25" t="inlineStr"/>
    </row>
    <row r="9">
      <c r="A9" s="24" t="inlineStr">
        <is>
          <t>K05</t>
        </is>
      </c>
      <c r="B9" s="14" t="inlineStr">
        <is>
          <t>《易制毒化学品的分类和品种目录》</t>
        </is>
      </c>
      <c r="C9" s="14" t="inlineStr">
        <is>
          <t>《易制毒化学品管理条例》及所附目录（含2021年调整）</t>
        </is>
      </c>
      <c r="D9" s="14" t="inlineStr">
        <is>
          <t>过氧化氢在编者记忆中未列名，但未取得目录全文逐条比对；结论挂起。</t>
        </is>
      </c>
      <c r="E9" s="23" t="inlineStr">
        <is>
          <t>待核验</t>
        </is>
      </c>
      <c r="F9" s="14" t="inlineStr">
        <is>
          <t>若列名，将额外触发备案与购销台账；未确认前按「可能触发」处理</t>
        </is>
      </c>
      <c r="G9" s="24" t="inlineStr"/>
    </row>
    <row r="10">
      <c r="A10" s="25" t="inlineStr">
        <is>
          <t>K06</t>
        </is>
      </c>
      <c r="B10" s="16" t="inlineStr">
        <is>
          <t>《首批重点监管的危险化学品名录》</t>
        </is>
      </c>
      <c r="C10" s="16" t="inlineStr">
        <is>
          <t>安监总管三〔2011〕95号及后续名录</t>
        </is>
      </c>
      <c r="D10" s="16" t="inlineStr">
        <is>
          <t>15 种清单中未见过氧化氢；后续批次名录未完成检索。</t>
        </is>
      </c>
      <c r="E10" s="23" t="inlineStr">
        <is>
          <t>待核验</t>
        </is>
      </c>
      <c r="F10" s="16" t="inlineStr">
        <is>
          <t>若列名 → 加严自动化控制与人员资质要求</t>
        </is>
      </c>
      <c r="G10" s="25" t="inlineStr"/>
    </row>
    <row r="11">
      <c r="A11" s="24" t="inlineStr">
        <is>
          <t>K07</t>
        </is>
      </c>
      <c r="B11" s="14" t="inlineStr">
        <is>
          <t>《危险化学品重大危险源辨识》GB 18218-2018</t>
        </is>
      </c>
      <c r="C11" s="14" t="inlineStr">
        <is>
          <t>GB 18218-2018</t>
        </is>
      </c>
      <c r="D11" s="14" t="inlineStr">
        <is>
          <t>临界量未取得原文；我方储量约 40 t，需按标准表1/表2 定量计算后判定。</t>
        </is>
      </c>
      <c r="E11" s="23" t="inlineStr">
        <is>
          <t>待核验</t>
        </is>
      </c>
      <c r="F11" s="14" t="inlineStr">
        <is>
          <t>构成 → 重大危险源备案、评估、在线监测与包保责任制</t>
        </is>
      </c>
      <c r="G11" s="24" t="inlineStr"/>
    </row>
    <row r="12">
      <c r="A12" s="25" t="inlineStr">
        <is>
          <t>K08</t>
        </is>
      </c>
      <c r="B12" s="16" t="inlineStr">
        <is>
          <t>《危险货物道路运输安全管理办法》及 GB 12268</t>
        </is>
      </c>
      <c r="C12" s="16" t="inlineStr">
        <is>
          <t>交通运输部等令2019年第29号</t>
        </is>
      </c>
      <c r="D12" s="16" t="inlineStr">
        <is>
          <t>UN 2014 / 5.1 类 / PG II 需以 SDS 第 14 节确认。</t>
        </is>
      </c>
      <c r="E12" s="23" t="inlineStr">
        <is>
          <t>待核验</t>
        </is>
      </c>
      <c r="F12" s="16" t="inlineStr">
        <is>
          <t>承运人资质、专用车辆、押运与应急处置要求</t>
        </is>
      </c>
      <c r="G12" s="25" t="inlineStr"/>
    </row>
    <row r="13">
      <c r="A13" s="24" t="inlineStr">
        <is>
          <t>K09</t>
        </is>
      </c>
      <c r="B13" s="14" t="inlineStr">
        <is>
          <t>《监控化学品管理条例》附表</t>
        </is>
      </c>
      <c r="C13" s="14" t="inlineStr">
        <is>
          <t>国务院令第190号</t>
        </is>
      </c>
      <c r="D13" s="14" t="inlineStr">
        <is>
          <t>未逐条核对附表。</t>
        </is>
      </c>
      <c r="E13" s="23" t="inlineStr">
        <is>
          <t>待核验</t>
        </is>
      </c>
      <c r="F13" s="14" t="inlineStr">
        <is>
          <t>若涉及禁化武附表化学品 → 履约申报</t>
        </is>
      </c>
      <c r="G13" s="24" t="inlineStr"/>
    </row>
    <row r="14">
      <c r="A14" s="25" t="inlineStr">
        <is>
          <t>K10</t>
        </is>
      </c>
      <c r="B14" s="16" t="inlineStr">
        <is>
          <t>食品添加剂 / 消毒产品专项管理</t>
        </is>
      </c>
      <c r="C14" s="16" t="inlineStr">
        <is>
          <t>《食品安全法》、GB 1886.9；《消毒管理办法》</t>
        </is>
      </c>
      <c r="D14" s="16" t="inlineStr">
        <is>
          <t>本次为工业用途；若采购等级变更则触发。</t>
        </is>
      </c>
      <c r="E14" s="23" t="inlineStr">
        <is>
          <t>待核验</t>
        </is>
      </c>
      <c r="F14" s="16" t="inlineStr">
        <is>
          <t>需另行核验 SC 证与消毒产品生产企业卫生许可</t>
        </is>
      </c>
      <c r="G14" s="25" t="inlineStr"/>
    </row>
  </sheetData>
  <mergeCells count="2">
    <mergeCell ref="A2:G2"/>
    <mergeCell ref="A1:G1"/>
  </mergeCells>
  <dataValidations count="1">
    <dataValidation sqref="E5:E95" showDropDown="0" showInputMessage="0" showErrorMessage="0" allowBlank="1" type="list">
      <formula1>"已确认,未确认（不等于不属于）,待核验"</formula1>
    </dataValidation>
  </dataValidations>
  <pageMargins left="0.75" right="0.75" top="1" bottom="1" header="0.5" footer="0.5"/>
</worksheet>
</file>

<file path=xl/worksheets/sheet5.xml><?xml version="1.0" encoding="utf-8"?>
<worksheet xmlns="http://schemas.openxmlformats.org/spreadsheetml/2006/main">
  <sheetPr>
    <tabColor rgb="001B4239"/>
    <outlinePr summaryBelow="1" summaryRight="1"/>
    <pageSetUpPr/>
  </sheetPr>
  <dimension ref="A1:E17"/>
  <sheetViews>
    <sheetView showGridLines="0" workbookViewId="0">
      <pane ySplit="5" topLeftCell="A6" activePane="bottomLeft" state="frozen"/>
      <selection pane="bottomLeft" activeCell="A1" sqref="A1"/>
    </sheetView>
  </sheetViews>
  <sheetFormatPr baseColWidth="8" defaultRowHeight="15"/>
  <cols>
    <col width="18" customWidth="1" min="1" max="1"/>
    <col width="26" customWidth="1" min="2" max="2"/>
    <col width="12" customWidth="1" min="3" max="3"/>
    <col width="56" customWidth="1" min="4" max="4"/>
    <col width="52" customWidth="1" min="5" max="5"/>
  </cols>
  <sheetData>
    <row r="1" ht="30" customHeight="1">
      <c r="A1" s="1" t="inlineStr">
        <is>
          <t>04 供应商侧：生产 / 经营 / 储存许可要求</t>
        </is>
      </c>
      <c r="B1" s="2" t="n"/>
      <c r="C1" s="2" t="n"/>
      <c r="D1" s="2" t="n"/>
      <c r="E1" s="2" t="n"/>
    </row>
    <row r="2" ht="20" customHeight="1">
      <c r="A2" s="3" t="inlineStr">
        <is>
          <t>许可跟着「活动」走：有无储存设施决定「带储存」还是「不带储存」    ｜    基准日 2026-10-12</t>
        </is>
      </c>
      <c r="B2" s="4" t="n"/>
      <c r="C2" s="4" t="n"/>
      <c r="D2" s="4" t="n"/>
      <c r="E2" s="4" t="n"/>
    </row>
    <row r="4" ht="44" customHeight="1">
      <c r="A4" s="26" t="inlineStr">
        <is>
          <t>许可跟着「活动」走：杭州名鑫双氧水有限公司官网可确认其为过氧化氢溶液的专业生产企业（三套生产线，年设计产能约 43 万吨），其运营模式属于「生产企业」，因此核心证照是应急管理领域核发的《危险化学品安全生产许可证》（覆盖生产装置与许可产能），而不是《危险化学品经营许可证》。只有在以下情形才需追加经营许可：其对外销售中涉及改变物质状态后再销售（实施指南第三条）、或另设经营网点/仓储对外销售他人产品。</t>
        </is>
      </c>
    </row>
    <row r="5" ht="28" customHeight="1">
      <c r="A5" s="12" t="inlineStr">
        <is>
          <t>供应商角色</t>
        </is>
      </c>
      <c r="B5" s="12" t="inlineStr">
        <is>
          <t>应取得的许可/证照</t>
        </is>
      </c>
      <c r="C5" s="12" t="inlineStr">
        <is>
          <t>是否必需</t>
        </is>
      </c>
      <c r="D5" s="12" t="inlineStr">
        <is>
          <t>法规依据与适用条件</t>
        </is>
      </c>
      <c r="E5" s="12" t="inlineStr">
        <is>
          <t>核验要点（范围是否覆盖拟购品）</t>
        </is>
      </c>
    </row>
    <row r="6">
      <c r="A6" s="16" t="inlineStr">
        <is>
          <t>生产企业（本单默认）</t>
        </is>
      </c>
      <c r="B6" s="16" t="inlineStr">
        <is>
          <t>危险化学品安全生产许可证</t>
        </is>
      </c>
      <c r="C6" s="27" t="inlineStr">
        <is>
          <t>必须</t>
        </is>
      </c>
      <c r="D6" s="16" t="inlineStr">
        <is>
          <t>《危险化学品安全管理条例》第二十条；《危险化学品生产企业安全生产许可证实施办法》（原国家安监总局令第41号）；浙江省《危险化学品生产企业安全生产许可证实施细则》</t>
        </is>
      </c>
      <c r="E6" s="16" t="inlineStr">
        <is>
          <t>许可范围须逐条写明「过氧化氢溶液[含量＞8%]」及其产能；须同时核对生产地址与供货装置一致、有效期覆盖整个供货期与质保期。</t>
        </is>
      </c>
    </row>
    <row r="7">
      <c r="A7" s="14" t="inlineStr">
        <is>
          <t>生产企业（兼直销）</t>
        </is>
      </c>
      <c r="B7" s="14" t="inlineStr">
        <is>
          <t>危险化学品经营许可证（如涉及改变物质状态后销售/另设经营场所）</t>
        </is>
      </c>
      <c r="C7" s="23" t="inlineStr">
        <is>
          <t>视情形</t>
        </is>
      </c>
      <c r="D7" s="14" t="inlineStr">
        <is>
          <t>《危险化学品安全管理条例》第二十九条、第三十三条；《危险化学品经营许可证管理办法》（原安监总局令第55号）；目录实施指南第三条</t>
        </is>
      </c>
      <c r="E7" s="14" t="inlineStr">
        <is>
          <t>许可范围含「过氧化氢溶液」；经营方式标明「带储存设施」或「不带储存」；经营场所与销售行为的实际发生地一致。</t>
        </is>
      </c>
    </row>
    <row r="8">
      <c r="A8" s="16" t="inlineStr">
        <is>
          <t>生产/储存企业</t>
        </is>
      </c>
      <c r="B8" s="16" t="inlineStr">
        <is>
          <t>危险化学品登记证</t>
        </is>
      </c>
      <c r="C8" s="27" t="inlineStr">
        <is>
          <t>必须</t>
        </is>
      </c>
      <c r="D8" s="16" t="inlineStr">
        <is>
          <t>《危险化学品安全管理条例》第六十七条；《危险化学品登记管理办法》（原安监总局令第53号）</t>
        </is>
      </c>
      <c r="E8" s="16" t="inlineStr">
        <is>
          <t>登记品种含过氧化氢溶液；企业性质栏应为「生产企业」；登记证在效期内。</t>
        </is>
      </c>
    </row>
    <row r="9">
      <c r="A9" s="14" t="inlineStr">
        <is>
          <t>涉及在用储存设施</t>
        </is>
      </c>
      <c r="B9" s="14" t="inlineStr">
        <is>
          <t>危险化学品重大危险源备案（若构成）</t>
        </is>
      </c>
      <c r="C9" s="23" t="inlineStr">
        <is>
          <t>视情形</t>
        </is>
      </c>
      <c r="D9" s="14" t="inlineStr">
        <is>
          <t>《危险化学品安全管理条例》第二十五条；GB 18218-2018</t>
        </is>
      </c>
      <c r="E9" s="14" t="inlineStr">
        <is>
          <t>供货方与承运方均需辨识；不构成重大危险源亦应有辨识记录。</t>
        </is>
      </c>
    </row>
    <row r="10">
      <c r="A10" s="16" t="inlineStr">
        <is>
          <t>易制爆危险化学品卖方</t>
        </is>
      </c>
      <c r="B10" s="16" t="inlineStr">
        <is>
          <t>购买凭证查验 + 销售流向信息备案（公安）</t>
        </is>
      </c>
      <c r="C10" s="27" t="inlineStr">
        <is>
          <t>必须</t>
        </is>
      </c>
      <c r="D10" s="16" t="inlineStr">
        <is>
          <t>《危险化学品安全管理条例》第四十条、第四十一条；《易制爆危险化学品治安管理办法》（公安部令第154号）</t>
        </is>
      </c>
      <c r="E10" s="16" t="inlineStr">
        <is>
          <t>卖方须核验买方许可证/购买凭证、登记经办人身份信息；销售后 5 日内向所在地县级公安机关报送品种、数量与流向。</t>
        </is>
      </c>
    </row>
    <row r="11">
      <c r="A11" s="14" t="inlineStr">
        <is>
          <t>生产企业（通用合规）</t>
        </is>
      </c>
      <c r="B11" s="14" t="inlineStr">
        <is>
          <t>生产安全事故应急救援预案备案</t>
        </is>
      </c>
      <c r="C11" s="27" t="inlineStr">
        <is>
          <t>必须</t>
        </is>
      </c>
      <c r="D11" s="14" t="inlineStr">
        <is>
          <t>《生产安全事故应急条例》（国务院令第708号）；《生产安全事故应急预案管理办法》</t>
        </is>
      </c>
      <c r="E11" s="14" t="inlineStr">
        <is>
          <t>要求提供备案回执而非仅目录；备案有效期与换证周期。</t>
        </is>
      </c>
    </row>
    <row r="12">
      <c r="A12" s="16" t="inlineStr">
        <is>
          <t>危险废物产生单位</t>
        </is>
      </c>
      <c r="B12" s="16" t="inlineStr">
        <is>
          <t>排污许可（含危废管理）与危险废物转移相关资质</t>
        </is>
      </c>
      <c r="C12" s="23" t="inlineStr">
        <is>
          <t>视情形</t>
        </is>
      </c>
      <c r="D12" s="16" t="inlineStr">
        <is>
          <t>《排污许可管理条例》；《危险废物转移管理办法》</t>
        </is>
      </c>
      <c r="E12" s="16" t="inlineStr">
        <is>
          <t>过氧化氢不属于典型废来源，但供应商生产装置涉及危废产生时须有排污许可；采购交付环节通常不直接触发。</t>
        </is>
      </c>
    </row>
    <row r="13">
      <c r="A13" s="14" t="inlineStr">
        <is>
          <t>仅当采购食品添加剂级</t>
        </is>
      </c>
      <c r="B13" s="14" t="inlineStr">
        <is>
          <t>食品生产许可证（SC）</t>
        </is>
      </c>
      <c r="C13" s="23" t="inlineStr">
        <is>
          <t>视情形</t>
        </is>
      </c>
      <c r="D13" s="14" t="inlineStr">
        <is>
          <t>《食品安全法》《食品生产许可管理办法》；GB 1886.9</t>
        </is>
      </c>
      <c r="E13" s="14" t="inlineStr">
        <is>
          <t>本单为工业用途，不适用；若改采购食品级则必须核对 SC 类别含「食品添加剂 过氧化氢」。</t>
        </is>
      </c>
    </row>
    <row r="14">
      <c r="A14" s="16" t="inlineStr">
        <is>
          <t>仅当采购消毒剂级</t>
        </is>
      </c>
      <c r="B14" s="16" t="inlineStr">
        <is>
          <t>消毒产品生产企业卫生许可证</t>
        </is>
      </c>
      <c r="C14" s="23" t="inlineStr">
        <is>
          <t>视情形</t>
        </is>
      </c>
      <c r="D14" s="16" t="inlineStr">
        <is>
          <t>《消毒管理办法》《消毒产品生产企业卫生规范》</t>
        </is>
      </c>
      <c r="E14" s="16" t="inlineStr">
        <is>
          <t>本单为工业用途，不适用。</t>
        </is>
      </c>
    </row>
    <row r="15">
      <c r="A15" s="14" t="inlineStr">
        <is>
          <t>承运环节（第三方物流）</t>
        </is>
      </c>
      <c r="B15" s="14" t="inlineStr">
        <is>
          <t>危险货物道路运输经营许可 + 车辆/人员资质</t>
        </is>
      </c>
      <c r="C15" s="23" t="inlineStr">
        <is>
          <t>必须（由承运人提供）</t>
        </is>
      </c>
      <c r="D15" s="14" t="inlineStr">
        <is>
          <t>《危险货物道路运输安全管理办法》（交通运输部等令2019年第29号）；GB 12268</t>
        </is>
      </c>
      <c r="E15" s="14" t="inlineStr">
        <is>
          <t>运输许可范围含第 5.1 类；驾驶员/押运员从业资格证；车辆道路运输证与罐体检验报告。</t>
        </is>
      </c>
    </row>
    <row r="17" ht="44" customHeight="1">
      <c r="A17" s="28" t="inlineStr">
        <is>
          <t>补充：生产企业销售自产的危险化学品，按条例无需另行取得经营许可——但「生产许可覆盖该品种 + 销售的就是自产该品种」两个前提缺一不可。；若成交后发现实际供货来自关联工厂或代工装置，属于「主体与生产场地不一致」，必须重新核验对应装置的许可证。；ISO 9001/14001/45001 属于体系认证，不替代任何行政许可；它们只能证明管理体系，不能证明品种许可。</t>
        </is>
      </c>
    </row>
  </sheetData>
  <mergeCells count="4">
    <mergeCell ref="A2:E2"/>
    <mergeCell ref="A1:E1"/>
    <mergeCell ref="A4:E4"/>
    <mergeCell ref="A17:E17"/>
  </mergeCells>
  <pageMargins left="0.75" right="0.75" top="1" bottom="1" header="0.5" footer="0.5"/>
</worksheet>
</file>

<file path=xl/worksheets/sheet6.xml><?xml version="1.0" encoding="utf-8"?>
<worksheet xmlns="http://schemas.openxmlformats.org/spreadsheetml/2006/main">
  <sheetPr>
    <tabColor rgb="001B4239"/>
    <outlinePr summaryBelow="1" summaryRight="1"/>
    <pageSetUpPr/>
  </sheetPr>
  <dimension ref="A1:E18"/>
  <sheetViews>
    <sheetView showGridLines="0" workbookViewId="0">
      <pane ySplit="5" topLeftCell="A6" activePane="bottomLeft" state="frozen"/>
      <selection pane="bottomLeft" activeCell="A1" sqref="A1"/>
    </sheetView>
  </sheetViews>
  <sheetFormatPr baseColWidth="8" defaultRowHeight="15"/>
  <cols>
    <col width="22" customWidth="1" min="1" max="1"/>
    <col width="10" customWidth="1" min="2" max="2"/>
    <col width="46" customWidth="1" min="3" max="3"/>
    <col width="30" customWidth="1" min="4" max="4"/>
    <col width="54" customWidth="1" min="5" max="5"/>
  </cols>
  <sheetData>
    <row r="1" ht="30" customHeight="1">
      <c r="A1" s="1" t="inlineStr">
        <is>
          <t>05 采购方（使用企业）义务</t>
        </is>
      </c>
      <c r="B1" s="2" t="n"/>
      <c r="C1" s="2" t="n"/>
      <c r="D1" s="2" t="n"/>
      <c r="E1" s="2" t="n"/>
    </row>
    <row r="2" ht="20" customHeight="1">
      <c r="A2" s="3" t="inlineStr">
        <is>
          <t>买易制爆品不是「买东西」，而是「建立一条可追溯的合法用途链」    ｜    基准日 2026-10-12</t>
        </is>
      </c>
      <c r="B2" s="4" t="n"/>
      <c r="C2" s="4" t="n"/>
      <c r="D2" s="4" t="n"/>
      <c r="E2" s="4" t="n"/>
    </row>
    <row r="4" ht="34" customHeight="1">
      <c r="A4" s="26" t="inlineStr">
        <is>
          <t>我方主体：示例采购方：华东某新材料有限公司（脱敏，不代表真实主体） ｜ 统一社会信用代码：（未提供统一社会信用代码） ｜ 用途：过氧化氢 30% 作为氧化剂用于浆料处理，使用浓度 3%–5%；不用于食品、不用于消毒。 ｜ 储存现状：厂区危化品专用库约 40 t 设计储量，防热避光、与还原剂/有机物隔离；委外槽车送货，卸车前核对运单与流向登记。</t>
        </is>
      </c>
    </row>
    <row r="5" ht="28" customHeight="1">
      <c r="A5" s="12" t="inlineStr">
        <is>
          <t>我方义务项</t>
        </is>
      </c>
      <c r="B5" s="12" t="inlineStr">
        <is>
          <t>性质</t>
        </is>
      </c>
      <c r="C5" s="12" t="inlineStr">
        <is>
          <t>法规依据</t>
        </is>
      </c>
      <c r="D5" s="12" t="inlineStr">
        <is>
          <t>触发条件</t>
        </is>
      </c>
      <c r="E5" s="12" t="inlineStr">
        <is>
          <t>落地动作 / 证据</t>
        </is>
      </c>
    </row>
    <row r="6">
      <c r="A6" s="16" t="inlineStr">
        <is>
          <t>查明并保存产品危险属性（SDS/分类）</t>
        </is>
      </c>
      <c r="B6" s="27" t="inlineStr">
        <is>
          <t>必须</t>
        </is>
      </c>
      <c r="C6" s="16" t="inlineStr">
        <is>
          <t>《危险化学品安全管理条例》第三十四条、第六十七条</t>
        </is>
      </c>
      <c r="D6" s="16" t="inlineStr">
        <is>
          <t>任何危险化学品进货</t>
        </is>
      </c>
      <c r="E6" s="16" t="inlineStr">
        <is>
          <t>索取现行版 SDS 与 COA 归档；SDS 版本号写入采购合同与收货记录。</t>
        </is>
      </c>
    </row>
    <row r="7">
      <c r="A7" s="14" t="inlineStr">
        <is>
          <t>购买易制爆危险化学品的身份与用途核验配合</t>
        </is>
      </c>
      <c r="B7" s="27" t="inlineStr">
        <is>
          <t>必须</t>
        </is>
      </c>
      <c r="C7" s="14" t="inlineStr">
        <is>
          <t>《危险化学品安全管理条例》第三十八条；公安部令第154号</t>
        </is>
      </c>
      <c r="D7" s="14" t="inlineStr">
        <is>
          <t>购买过氧化氢（含量＞8%）</t>
        </is>
      </c>
      <c r="E7" s="14" t="inlineStr">
        <is>
          <t>向供应商提供营业执照、经办人身份证明、购买数量与用途说明；个人不得购买易制爆危险化学品。</t>
        </is>
      </c>
    </row>
    <row r="8">
      <c r="A8" s="16" t="inlineStr">
        <is>
          <t>购买后 5 日内流向信息报备（县级公安机关）</t>
        </is>
      </c>
      <c r="B8" s="27" t="inlineStr">
        <is>
          <t>必须</t>
        </is>
      </c>
      <c r="C8" s="16" t="inlineStr">
        <is>
          <t>《危险化学品安全管理条例》第四十一条；《易制爆危险化学品治安管理办法》</t>
        </is>
      </c>
      <c r="D8" s="16" t="inlineStr">
        <is>
          <t>每批次购销完成后</t>
        </is>
      </c>
      <c r="E8" s="16" t="inlineStr">
        <is>
          <t>将品种、数量、流向信息报所在地县级公安机关；留存备案回执作为证据，纳入台账。</t>
        </is>
      </c>
    </row>
    <row r="9">
      <c r="A9" s="14" t="inlineStr">
        <is>
          <t>易制爆品出入库与流向台账、治安保卫</t>
        </is>
      </c>
      <c r="B9" s="27" t="inlineStr">
        <is>
          <t>必须</t>
        </is>
      </c>
      <c r="C9" s="14" t="inlineStr">
        <is>
          <t>《易制爆危险化学品治安管理办法》（公安部令第154号）</t>
        </is>
      </c>
      <c r="D9" s="14" t="inlineStr">
        <is>
          <t>持有、储存易制爆危险化学品</t>
        </is>
      </c>
      <c r="E9" s="14" t="inlineStr">
        <is>
          <t>建立购买、入库、领用、使用、退回的全链条台账；设置治安保卫机构与专职人员（视地方要求），仓储符合防流散要求。</t>
        </is>
      </c>
    </row>
    <row r="10">
      <c r="A10" s="16" t="inlineStr">
        <is>
          <t>危险化学品安全使用许可证（仅法定情形）</t>
        </is>
      </c>
      <c r="B10" s="23" t="inlineStr">
        <is>
          <t>视情形</t>
        </is>
      </c>
      <c r="C10" s="16" t="inlineStr">
        <is>
          <t>《危险化学品安全管理条例》第二十九条；《危险化学品安全使用许可证实施办法》（原安监总局令第57号）第二条、第三条</t>
        </is>
      </c>
      <c r="D10" s="16" t="inlineStr">
        <is>
          <t>属于「危险化学品安全使用许可适用行业目录」所列行业 + 使用量达到「危险化学品使用量的数量标准」的化工企业</t>
        </is>
      </c>
      <c r="E10" s="16" t="inlineStr">
        <is>
          <t>先查两项前提是否同时满足：①我方是否属适用行业目录；②年使用量是否达到数量标准。二者同时满足才需申领，否则不需；但结论须书面留档。</t>
        </is>
      </c>
    </row>
    <row r="11">
      <c r="A11" s="14" t="inlineStr">
        <is>
          <t>危险化学品重大危险源辨识与备案</t>
        </is>
      </c>
      <c r="B11" s="23" t="inlineStr">
        <is>
          <t>视情形</t>
        </is>
      </c>
      <c r="C11" s="14" t="inlineStr">
        <is>
          <t>《危险化学品安全管理条例》第二十五条；GB 18218-2018</t>
        </is>
      </c>
      <c r="D11" s="14" t="inlineStr">
        <is>
          <t>单元内储量达到或超过临界量</t>
        </is>
      </c>
      <c r="E11" s="14" t="inlineStr">
        <is>
          <t>按 GB 18218-2018 对储存单元定量计算；构成则备案、评估、设置监测预警并落实包保责任制。</t>
        </is>
      </c>
    </row>
    <row r="12">
      <c r="A12" s="16" t="inlineStr">
        <is>
          <t>储存设施与安全条件、应急预案演练</t>
        </is>
      </c>
      <c r="B12" s="27" t="inlineStr">
        <is>
          <t>必须</t>
        </is>
      </c>
      <c r="C12" s="16" t="inlineStr">
        <is>
          <t>《危险化学品安全管理条例》第二十二条至第二十四条</t>
        </is>
      </c>
      <c r="D12" s="16" t="inlineStr">
        <is>
          <t>储存危险化学品</t>
        </is>
      </c>
      <c r="E12" s="16" t="inlineStr">
        <is>
          <t>专用仓库/专用场地、专人管理、出入库核查；应急预案按属地要求备案并演练。</t>
        </is>
      </c>
    </row>
    <row r="13">
      <c r="A13" s="14" t="inlineStr">
        <is>
          <t>运输环节：委托具备危货运输资质的承运人</t>
        </is>
      </c>
      <c r="B13" s="27" t="inlineStr">
        <is>
          <t>必须</t>
        </is>
      </c>
      <c r="C13" s="14" t="inlineStr">
        <is>
          <t>《危险货物道路运输安全管理办法》；GB 12268</t>
        </is>
      </c>
      <c r="D13" s="14" t="inlineStr">
        <is>
          <t>公路交付</t>
        </is>
      </c>
      <c r="E13" s="14" t="inlineStr">
        <is>
          <t>合同约定由卖方或其合格承运人运输，索取出运单、承运资质与押运员资格；核对 UN 编号与包装类别。</t>
        </is>
      </c>
    </row>
    <row r="14">
      <c r="A14" s="16" t="inlineStr">
        <is>
          <t>禁止将易制爆品交寄/快递</t>
        </is>
      </c>
      <c r="B14" s="27" t="inlineStr">
        <is>
          <t>必须</t>
        </is>
      </c>
      <c r="C14" s="16" t="inlineStr">
        <is>
          <t>《易制爆危险化学品治安管理办法》第二十一条</t>
        </is>
      </c>
      <c r="D14" s="16" t="inlineStr">
        <is>
          <t>物流方式选择</t>
        </is>
      </c>
      <c r="E14" s="16" t="inlineStr">
        <is>
          <t>严禁快递/邮寄；小样亦须采用合规承运方式并留存记录。</t>
        </is>
      </c>
    </row>
    <row r="15">
      <c r="A15" s="14" t="inlineStr">
        <is>
          <t>作业人员培训、防护与职业健康</t>
        </is>
      </c>
      <c r="B15" s="27" t="inlineStr">
        <is>
          <t>必须</t>
        </is>
      </c>
      <c r="C15" s="14" t="inlineStr">
        <is>
          <t>《安全生产法》《职业病防治法》</t>
        </is>
      </c>
      <c r="D15" s="14" t="inlineStr">
        <is>
          <t>接触腐蚀性/氧化性物质</t>
        </is>
      </c>
      <c r="E15" s="14" t="inlineStr">
        <is>
          <t>腐蚀性液体作业需防腐蚀手套、护目镜/面屏；岗位危害告知与定期培训记录。</t>
        </is>
      </c>
    </row>
    <row r="16">
      <c r="A16" s="16" t="inlineStr">
        <is>
          <t>供应商资质档案（本底稿）持续维护</t>
        </is>
      </c>
      <c r="B16" s="29" t="inlineStr">
        <is>
          <t>建议</t>
        </is>
      </c>
      <c r="C16" s="16" t="inlineStr">
        <is>
          <t>《安全生产法》第三十七条（原第四十六条）关于不得将项目/场所发包给不具备条件单位的精神；企业内控</t>
        </is>
      </c>
      <c r="D16" s="16" t="inlineStr">
        <is>
          <t>首次准入与每季度复审</t>
        </is>
      </c>
      <c r="E16" s="16" t="inlineStr">
        <is>
          <t>台账随证照到期前 180 天预警更新；变更供应商/场地即重置核验。</t>
        </is>
      </c>
    </row>
    <row r="18" ht="44" customHeight="1">
      <c r="A18" s="18" t="inlineStr">
        <is>
          <t>提示：「危险化学品安全使用许可」不是所有使用企业都要办：行业目录与数量标准两个前提同时成立才触发；很多企业把它当成必办项，导致过度采购服务，或反之漏办。请务必以目录与数量标准原文逐项对照后书面留档。；若我方属非化工企业（如纺织、造纸、电子），通常不落入安全使用许可适用范围，但仍有储存安全、流向登记与运输合规义务。；地方（省/市）法规可能更严，如部分省市要求易制爆品销售采购流向实时录入公安监管信息系统，申报时限短于 5 日。</t>
        </is>
      </c>
    </row>
  </sheetData>
  <mergeCells count="4">
    <mergeCell ref="A2:E2"/>
    <mergeCell ref="A1:E1"/>
    <mergeCell ref="A4:E4"/>
    <mergeCell ref="A18:E18"/>
  </mergeCells>
  <pageMargins left="0.75" right="0.75" top="1" bottom="1" header="0.5" footer="0.5"/>
</worksheet>
</file>

<file path=xl/worksheets/sheet7.xml><?xml version="1.0" encoding="utf-8"?>
<worksheet xmlns="http://schemas.openxmlformats.org/spreadsheetml/2006/main">
  <sheetPr>
    <tabColor rgb="00A8843C"/>
    <outlinePr summaryBelow="1" summaryRight="1"/>
    <pageSetUpPr/>
  </sheetPr>
  <dimension ref="A1:Q1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6" customWidth="1" min="3" max="3"/>
    <col width="20" customWidth="1" min="4" max="4"/>
    <col width="13" customWidth="1" min="5" max="5"/>
    <col width="13" customWidth="1" min="6" max="6"/>
    <col width="18" customWidth="1" min="7" max="7"/>
    <col width="12" customWidth="1" min="8" max="8"/>
    <col width="10" customWidth="1" min="9" max="9"/>
    <col width="52" customWidth="1" min="10" max="10"/>
    <col width="12" customWidth="1" min="11" max="11"/>
    <col width="22" customWidth="1" min="12" max="12"/>
    <col width="16" customWidth="1" min="13" max="13"/>
    <col width="34" customWidth="1" min="14" max="14"/>
    <col width="40" customWidth="1" min="15" max="15"/>
    <col width="46" customWidth="1" min="16" max="16"/>
  </cols>
  <sheetData>
    <row r="1" ht="30" customHeight="1">
      <c r="A1" s="1" t="inlineStr">
        <is>
          <t>06 证照台账（核心表）</t>
        </is>
      </c>
      <c r="B1" s="2" t="n"/>
      <c r="C1" s="2" t="n"/>
      <c r="D1" s="2" t="n"/>
      <c r="E1" s="2" t="n"/>
      <c r="F1" s="2" t="n"/>
      <c r="G1" s="2" t="n"/>
      <c r="H1" s="2" t="n"/>
      <c r="I1" s="2" t="n"/>
      <c r="J1" s="2" t="n"/>
      <c r="K1" s="2" t="n"/>
      <c r="L1" s="2" t="n"/>
      <c r="M1" s="2" t="n"/>
      <c r="N1" s="2" t="n"/>
      <c r="O1" s="2" t="n"/>
      <c r="P1" s="2" t="n"/>
      <c r="Q1" s="2" t="n"/>
    </row>
    <row r="2" ht="20" customHeight="1">
      <c r="A2" s="3" t="inlineStr">
        <is>
          <t>四态：已核验 / 信息不一致 / 待核验 / 无公开信息；过期单独标记。「状态」「范围覆盖」列可下拉维护    ｜    基准日 2026-10-12</t>
        </is>
      </c>
      <c r="B2" s="4" t="n"/>
      <c r="C2" s="4" t="n"/>
      <c r="D2" s="4" t="n"/>
      <c r="E2" s="4" t="n"/>
      <c r="F2" s="4" t="n"/>
      <c r="G2" s="4" t="n"/>
      <c r="H2" s="4" t="n"/>
      <c r="I2" s="4" t="n"/>
      <c r="J2" s="4" t="n"/>
      <c r="K2" s="4" t="n"/>
      <c r="L2" s="4" t="n"/>
      <c r="M2" s="4" t="n"/>
      <c r="N2" s="4" t="n"/>
      <c r="O2" s="4" t="n"/>
      <c r="P2" s="4" t="n"/>
      <c r="Q2" s="4" t="n"/>
    </row>
    <row r="4" ht="28" customHeight="1">
      <c r="A4" s="12" t="inlineStr">
        <is>
          <t>证照编号</t>
        </is>
      </c>
      <c r="B4" s="12" t="inlineStr">
        <is>
          <t>证照类型</t>
        </is>
      </c>
      <c r="C4" s="12" t="inlineStr">
        <is>
          <t>证书编号</t>
        </is>
      </c>
      <c r="D4" s="12" t="inlineStr">
        <is>
          <t>发证机关</t>
        </is>
      </c>
      <c r="E4" s="12" t="inlineStr">
        <is>
          <t>发证/起始日期</t>
        </is>
      </c>
      <c r="F4" s="12" t="inlineStr">
        <is>
          <t>有效期至</t>
        </is>
      </c>
      <c r="G4" s="12" t="inlineStr">
        <is>
          <t>有效期判定(此单由公式自动计算)</t>
        </is>
      </c>
      <c r="H4" s="12" t="inlineStr">
        <is>
          <t>核验状态</t>
        </is>
      </c>
      <c r="I4" s="12" t="inlineStr">
        <is>
          <t>应否具备</t>
        </is>
      </c>
      <c r="J4" s="12" t="inlineStr">
        <is>
          <t>许可/核准范围（证载原文）</t>
        </is>
      </c>
      <c r="K4" s="12" t="inlineStr">
        <is>
          <t>范围是否覆盖本采购</t>
        </is>
      </c>
      <c r="L4" s="12" t="inlineStr">
        <is>
          <t>字段来源</t>
        </is>
      </c>
      <c r="M4" s="12" t="inlineStr">
        <is>
          <t>公开状态</t>
        </is>
      </c>
      <c r="N4" s="12" t="inlineStr">
        <is>
          <t>公开链接</t>
        </is>
      </c>
      <c r="O4" s="12" t="inlineStr">
        <is>
          <t>交叉核验记录</t>
        </is>
      </c>
      <c r="P4" s="12" t="inlineStr">
        <is>
          <t>核验说明与缺口</t>
        </is>
      </c>
    </row>
    <row r="5">
      <c r="A5" s="24" t="inlineStr">
        <is>
          <t>C01</t>
        </is>
      </c>
      <c r="B5" s="14" t="inlineStr">
        <is>
          <t>营业执照（副本）</t>
        </is>
      </c>
      <c r="C5" s="14" t="inlineStr">
        <is>
          <t>91330100668020191W</t>
        </is>
      </c>
      <c r="D5" s="14" t="inlineStr">
        <is>
          <t>杭州市／钱塘区市场监督管理部门</t>
        </is>
      </c>
      <c r="E5" s="24" t="inlineStr">
        <is>
          <t>2007-11-07</t>
        </is>
      </c>
      <c r="F5" s="24" t="inlineStr">
        <is>
          <t>长期</t>
        </is>
      </c>
      <c r="G5" s="30">
        <f>IF(OR($F5="",$F5="长期"),IF($F5="","有效期未取得","长期有效"),IF($F5&lt;TEXT(基准日,"yyyy-mm-dd"),"已过期 "&amp;TEXT(基准日-$F5,"0")&amp;" 天","有效 余"&amp;TEXT($F5-基准日,"0")&amp;"天"))</f>
        <v/>
      </c>
      <c r="H5" s="23" t="inlineStr">
        <is>
          <t>待核验</t>
        </is>
      </c>
      <c r="I5" s="24" t="inlineStr">
        <is>
          <t>应具备</t>
        </is>
      </c>
      <c r="J5" s="14" t="inlineStr">
        <is>
          <t>统一社会信用代码 91330100668020191W；住所 浙江省杭州市钱塘区临江街道红十五路9936-2号；法定代表人 胡卫平；注册资本 3869 万人民币；成立时间 2007-11-07；经营范围含「许可项目：危险化学品生产；消毒剂生产（不含危险化学品）；食品添加剂生产」。</t>
        </is>
      </c>
      <c r="K5" s="22" t="inlineStr">
        <is>
          <t>覆盖</t>
        </is>
      </c>
      <c r="L5" s="14" t="inlineStr">
        <is>
          <t>统一社会信用代码、住所、法定代表人、注册资本、成立时间、经营范围均引自格林达 2026-07-18 公告（2026-026）「关联方基本情况」；营业执照影像未取得</t>
        </is>
      </c>
      <c r="M5" s="24" t="inlineStr">
        <is>
          <t>可查询，未取得影像</t>
        </is>
      </c>
      <c r="N5" s="31" t="inlineStr">
        <is>
          <t>https://paper.cnstock.com/html/2026-07/18/content_2245857.htm</t>
        </is>
      </c>
      <c r="O5" s="14" t="inlineStr">
        <is>
          <t>上证报公告披露字段 vs 本地 GB 32100 校验码：通过；公告住所「9936-2号」 vs 官网「9936号」：门牌尾号差异，未核实</t>
        </is>
      </c>
      <c r="P5" s="14" t="inlineStr">
        <is>
          <t>营业执照本身不是危险化学品经营资格。以营业执照上的经营范围推断「可以卖危化品」是典型误判——须看安全生产许可证的品种与产能。</t>
        </is>
      </c>
    </row>
    <row r="6">
      <c r="A6" s="25" t="inlineStr">
        <is>
          <t>C02</t>
        </is>
      </c>
      <c r="B6" s="16" t="inlineStr">
        <is>
          <t>危险化学品安全生产许可证</t>
        </is>
      </c>
      <c r="C6" s="16" t="n"/>
      <c r="D6" s="16" t="inlineStr">
        <is>
          <t>浙江省应急管理厅</t>
        </is>
      </c>
      <c r="E6" s="25" t="n"/>
      <c r="F6" s="25" t="inlineStr"/>
      <c r="G6" s="32">
        <f>IF(OR($F6="",$F6="长期"),IF($F6="","有效期未取得","长期有效"),IF($F6&lt;TEXT(基准日,"yyyy-mm-dd"),"已过期 "&amp;TEXT(基准日-$F6,"0")&amp;" 天","有效 余"&amp;TEXT($F6-基准日,"0")&amp;"天"))</f>
        <v/>
      </c>
      <c r="H6" s="23" t="inlineStr">
        <is>
          <t>待核验</t>
        </is>
      </c>
      <c r="I6" s="25" t="inlineStr">
        <is>
          <t>应具备</t>
        </is>
      </c>
      <c r="J6" s="16" t="inlineStr">
        <is>
          <t>未取得。应载明：企业名称、生产地址、许可范围（过氧化氢溶液[含量＞8%]及年产能）、有效期。</t>
        </is>
      </c>
      <c r="K6" s="29" t="inlineStr">
        <is>
          <t>无法判断</t>
        </is>
      </c>
      <c r="L6" s="16" t="inlineStr">
        <is>
          <t>未取得证照影像；定向检索浙江省应急管理厅「安全生产许可证」相关公告，未检索到该证照的公开公示页面</t>
        </is>
      </c>
      <c r="M6" s="25" t="inlineStr">
        <is>
          <t>未发现公开记录</t>
        </is>
      </c>
      <c r="N6" s="33" t="inlineStr"/>
      <c r="O6" s="16" t="inlineStr">
        <is>
          <t>已检索：浙江省应急管理厅 2024-01-31 公告注销 29 家企业危化品安全生产许可证（附件 29 家逐条核对，不含本公司）；已检索：浙江省 2024-04-17 注销 13 家企业名单（未含本公司）；未检索到含本公司的许可证授予/换发公示</t>
        </is>
      </c>
      <c r="P6" s="16" t="inlineStr">
        <is>
          <t>这是本单最关键、且当前完全缺失的一张证。产能与浓度必须与本次采购的 30% 及供货量匹配；并须确认供货装置就在许可证覆盖的生产地址内。</t>
        </is>
      </c>
    </row>
    <row r="7">
      <c r="A7" s="24" t="inlineStr">
        <is>
          <t>C03</t>
        </is>
      </c>
      <c r="B7" s="14" t="inlineStr">
        <is>
          <t>危险化学品登记证</t>
        </is>
      </c>
      <c r="C7" s="14" t="n"/>
      <c r="D7" s="14" t="inlineStr">
        <is>
          <t>浙江省危险化学品登记办公室</t>
        </is>
      </c>
      <c r="E7" s="24" t="n"/>
      <c r="F7" s="24" t="inlineStr"/>
      <c r="G7" s="30">
        <f>IF(OR($F7="",$F7="长期"),IF($F7="","有效期未取得","长期有效"),IF($F7&lt;TEXT(基准日,"yyyy-mm-dd"),"已过期 "&amp;TEXT(基准日-$F7,"0")&amp;" 天","有效 余"&amp;TEXT($F7-基准日,"0")&amp;"天"))</f>
        <v/>
      </c>
      <c r="H7" s="23" t="inlineStr">
        <is>
          <t>待核验</t>
        </is>
      </c>
      <c r="I7" s="24" t="inlineStr">
        <is>
          <t>应具备</t>
        </is>
      </c>
      <c r="J7" s="14" t="inlineStr">
        <is>
          <t>未取得。应载明：证书编号、企业名称、注册地址、企业性质（生产企业）、登记品种、有效期。</t>
        </is>
      </c>
      <c r="K7" s="29" t="inlineStr">
        <is>
          <t>无法判断</t>
        </is>
      </c>
      <c r="L7" s="14" t="inlineStr">
        <is>
          <t>未取得证照影像；未检索到公开公示</t>
        </is>
      </c>
      <c r="M7" s="24" t="inlineStr">
        <is>
          <t>未发现公开记录</t>
        </is>
      </c>
      <c r="N7" s="31" t="inlineStr"/>
      <c r="O7" s="14" t="inlineStr">
        <is>
          <t>未检索到浙江省危险化学品登记证公开查询入口并完成查询</t>
        </is>
      </c>
      <c r="P7" s="14" t="inlineStr">
        <is>
          <t>登记证与生产许可证是两套制度，不能互相替代；生产企业登记品种必须包含过氧化氢溶液。</t>
        </is>
      </c>
    </row>
    <row r="8">
      <c r="A8" s="25" t="inlineStr">
        <is>
          <t>C04</t>
        </is>
      </c>
      <c r="B8" s="16" t="inlineStr">
        <is>
          <t>ISO 9001 质量管理体系认证证书</t>
        </is>
      </c>
      <c r="C8" s="16" t="n"/>
      <c r="D8" s="16" t="inlineStr">
        <is>
          <t>认证机构（待识别）</t>
        </is>
      </c>
      <c r="E8" s="25" t="n"/>
      <c r="F8" s="25" t="inlineStr"/>
      <c r="G8" s="32">
        <f>IF(OR($F8="",$F8="长期"),IF($F8="","有效期未取得","长期有效"),IF($F8&lt;TEXT(基准日,"yyyy-mm-dd"),"已过期 "&amp;TEXT(基准日-$F8,"0")&amp;" 天","有效 余"&amp;TEXT($F8-基准日,"0")&amp;"天"))</f>
        <v/>
      </c>
      <c r="H8" s="23" t="inlineStr">
        <is>
          <t>待核验</t>
        </is>
      </c>
      <c r="I8" s="25" t="inlineStr">
        <is>
          <t>备选/按需</t>
        </is>
      </c>
      <c r="J8" s="16" t="inlineStr">
        <is>
          <t>官网「相关证书」栏目公示了证书影像（共 11 项，含 ISO 45001、ISO 9001、ISO 14001、营业执照、全国工业生产许可证、食品生产许可证、消毒产品生产企业卫生许可证、高新技术企业等）。</t>
        </is>
      </c>
      <c r="K8" s="29" t="inlineStr">
        <is>
          <t>无法判断</t>
        </is>
      </c>
      <c r="L8" s="16" t="inlineStr">
        <is>
          <t>供应商官网 mxsys.cn/zhengshu.html 影像存在但字段未读取</t>
        </is>
      </c>
      <c r="M8" s="25" t="inlineStr">
        <is>
          <t>官网公开</t>
        </is>
      </c>
      <c r="N8" s="33" t="inlineStr">
        <is>
          <t>http://www.mxsys.cn/zhengshu.html</t>
        </is>
      </c>
      <c r="O8" s="16" t="inlineStr">
        <is>
          <t>官网公示了 11 项证书的影像文件；证书编号、有效期、认可机构未提取，未与认证机构公开查询比对</t>
        </is>
      </c>
      <c r="P8" s="16" t="inlineStr">
        <is>
          <t>仅作参考项（conditional）。体系证书到期或暂停不影响行政许可，但反映管理稳定性。</t>
        </is>
      </c>
    </row>
    <row r="9">
      <c r="A9" s="24" t="inlineStr">
        <is>
          <t>C05</t>
        </is>
      </c>
      <c r="B9" s="14" t="inlineStr">
        <is>
          <t>ISO 14001 环境管理体系认证证书</t>
        </is>
      </c>
      <c r="C9" s="14" t="n"/>
      <c r="D9" s="14" t="inlineStr">
        <is>
          <t>认证机构（待识别）</t>
        </is>
      </c>
      <c r="E9" s="24" t="n"/>
      <c r="F9" s="24" t="inlineStr"/>
      <c r="G9" s="30">
        <f>IF(OR($F9="",$F9="长期"),IF($F9="","有效期未取得","长期有效"),IF($F9&lt;TEXT(基准日,"yyyy-mm-dd"),"已过期 "&amp;TEXT(基准日-$F9,"0")&amp;" 天","有效 余"&amp;TEXT($F9-基准日,"0")&amp;"天"))</f>
        <v/>
      </c>
      <c r="H9" s="23" t="inlineStr">
        <is>
          <t>待核验</t>
        </is>
      </c>
      <c r="I9" s="24" t="inlineStr">
        <is>
          <t>备选/按需</t>
        </is>
      </c>
      <c r="J9" s="14" t="inlineStr">
        <is>
          <t>官网公示影像存在，字段未读取。</t>
        </is>
      </c>
      <c r="K9" s="29" t="inlineStr">
        <is>
          <t>无法判断</t>
        </is>
      </c>
      <c r="L9" s="14" t="inlineStr">
        <is>
          <t>供应商官网「相关证书」栏目</t>
        </is>
      </c>
      <c r="M9" s="24" t="inlineStr">
        <is>
          <t>官网公开</t>
        </is>
      </c>
      <c r="N9" s="31" t="inlineStr">
        <is>
          <t>http://www.mxsys.cn/zhengshu.html</t>
        </is>
      </c>
      <c r="O9" s="14" t="inlineStr"/>
      <c r="P9" s="14" t="inlineStr">
        <is>
          <t>参考项。</t>
        </is>
      </c>
    </row>
    <row r="10">
      <c r="A10" s="25" t="inlineStr">
        <is>
          <t>C06</t>
        </is>
      </c>
      <c r="B10" s="16" t="inlineStr">
        <is>
          <t>ISO 45001 职业健康安全管理体系认证证书</t>
        </is>
      </c>
      <c r="C10" s="16" t="n"/>
      <c r="D10" s="16" t="inlineStr">
        <is>
          <t>认证机构（待识别）</t>
        </is>
      </c>
      <c r="E10" s="25" t="n"/>
      <c r="F10" s="25" t="inlineStr"/>
      <c r="G10" s="32">
        <f>IF(OR($F10="",$F10="长期"),IF($F10="","有效期未取得","长期有效"),IF($F10&lt;TEXT(基准日,"yyyy-mm-dd"),"已过期 "&amp;TEXT(基准日-$F10,"0")&amp;" 天","有效 余"&amp;TEXT($F10-基准日,"0")&amp;"天"))</f>
        <v/>
      </c>
      <c r="H10" s="23" t="inlineStr">
        <is>
          <t>待核验</t>
        </is>
      </c>
      <c r="I10" s="25" t="inlineStr">
        <is>
          <t>备选/按需</t>
        </is>
      </c>
      <c r="J10" s="16" t="inlineStr">
        <is>
          <t>官网公示影像存在，字段未读取。</t>
        </is>
      </c>
      <c r="K10" s="29" t="inlineStr">
        <is>
          <t>无法判断</t>
        </is>
      </c>
      <c r="L10" s="16" t="inlineStr">
        <is>
          <t>供应商官网「相关证书」栏目</t>
        </is>
      </c>
      <c r="M10" s="25" t="inlineStr">
        <is>
          <t>官网公开</t>
        </is>
      </c>
      <c r="N10" s="33" t="inlineStr">
        <is>
          <t>http://www.mxsys.cn/zhengshu.html</t>
        </is>
      </c>
      <c r="O10" s="16" t="inlineStr"/>
      <c r="P10" s="16" t="inlineStr">
        <is>
          <t>参考项。</t>
        </is>
      </c>
    </row>
    <row r="11">
      <c r="A11" s="24" t="inlineStr">
        <is>
          <t>C07</t>
        </is>
      </c>
      <c r="B11" s="14" t="inlineStr">
        <is>
          <t>全国工业产品生产许可证（工业产品）</t>
        </is>
      </c>
      <c r="C11" s="14" t="n"/>
      <c r="D11" s="14" t="inlineStr">
        <is>
          <t>省级市场监督管理部门（待核）</t>
        </is>
      </c>
      <c r="E11" s="24" t="n"/>
      <c r="F11" s="24" t="inlineStr"/>
      <c r="G11" s="30">
        <f>IF(OR($F11="",$F11="长期"),IF($F11="","有效期未取得","长期有效"),IF($F11&lt;TEXT(基准日,"yyyy-mm-dd"),"已过期 "&amp;TEXT(基准日-$F11,"0")&amp;" 天","有效 余"&amp;TEXT($F11-基准日,"0")&amp;"天"))</f>
        <v/>
      </c>
      <c r="H11" s="23" t="inlineStr">
        <is>
          <t>待核验</t>
        </is>
      </c>
      <c r="I11" s="24" t="inlineStr">
        <is>
          <t>备选/按需</t>
        </is>
      </c>
      <c r="J11" s="14" t="inlineStr">
        <is>
          <t>官网证书栏目标题显示存在该证，但产品目录与是否覆盖「危险化学品有机/无机产品」未读取。</t>
        </is>
      </c>
      <c r="K11" s="29" t="inlineStr">
        <is>
          <t>无法判断</t>
        </is>
      </c>
      <c r="L11" s="14" t="inlineStr">
        <is>
          <t>供应商官网「相关证书」栏目标题</t>
        </is>
      </c>
      <c r="M11" s="24" t="inlineStr">
        <is>
          <t>官网公开</t>
        </is>
      </c>
      <c r="N11" s="31" t="inlineStr">
        <is>
          <t>http://www.mxsys.cn/zhengshu.html</t>
        </is>
      </c>
      <c r="O11" s="14" t="inlineStr">
        <is>
          <t>可能与危化品安全生产许可证并存：两套制度、两个部门，需分别取得</t>
        </is>
      </c>
      <c r="P11" s="14" t="inlineStr">
        <is>
          <t>注意区分：安全生产许可证（应急管理）与工业产品生产许可证（市场监管）是两张证，不能互相替代。是否仍需后者，取决于现行工业产品生产许可证管理目录。</t>
        </is>
      </c>
    </row>
    <row r="12">
      <c r="A12" s="25" t="inlineStr">
        <is>
          <t>C08</t>
        </is>
      </c>
      <c r="B12" s="16" t="inlineStr">
        <is>
          <t>食品生产许可证（SC）</t>
        </is>
      </c>
      <c r="C12" s="16" t="n"/>
      <c r="D12" s="16" t="inlineStr">
        <is>
          <t>区/市市场监督管理局</t>
        </is>
      </c>
      <c r="E12" s="25" t="n"/>
      <c r="F12" s="25" t="inlineStr"/>
      <c r="G12" s="32">
        <f>IF(OR($F12="",$F12="长期"),IF($F12="","有效期未取得","长期有效"),IF($F12&lt;TEXT(基准日,"yyyy-mm-dd"),"已过期 "&amp;TEXT(基准日-$F12,"0")&amp;" 天","有效 余"&amp;TEXT($F12-基准日,"0")&amp;"天"))</f>
        <v/>
      </c>
      <c r="H12" s="23" t="inlineStr">
        <is>
          <t>待核验</t>
        </is>
      </c>
      <c r="I12" s="25" t="inlineStr">
        <is>
          <t>不适用</t>
        </is>
      </c>
      <c r="J12" s="16" t="inlineStr">
        <is>
          <t>官网公示影像存在；具体类别与有效期未读取。</t>
        </is>
      </c>
      <c r="K12" s="27" t="inlineStr">
        <is>
          <t>未覆盖</t>
        </is>
      </c>
      <c r="L12" s="16" t="inlineStr">
        <is>
          <t>供应商官网「相关证书」栏目</t>
        </is>
      </c>
      <c r="M12" s="25" t="inlineStr">
        <is>
          <t>官网公开</t>
        </is>
      </c>
      <c r="N12" s="33" t="inlineStr">
        <is>
          <t>http://www.mxsys.cn/zhengshu.html</t>
        </is>
      </c>
      <c r="O12" s="16" t="inlineStr">
        <is>
          <t>官网产品中心另设「食品级双氧水（食品添加剂过氧化氢）」类别，与本单工业级不是同一等级</t>
        </is>
      </c>
      <c r="P12" s="16" t="inlineStr">
        <is>
          <t>按用途判定为不适用（need=none）。若后续改采购食品级，本证转为必需项。</t>
        </is>
      </c>
    </row>
    <row r="13">
      <c r="A13" s="24" t="inlineStr">
        <is>
          <t>C09</t>
        </is>
      </c>
      <c r="B13" s="14" t="inlineStr">
        <is>
          <t>消毒产品生产企业卫生许可证</t>
        </is>
      </c>
      <c r="C13" s="14" t="n"/>
      <c r="D13" s="14" t="inlineStr">
        <is>
          <t>浙江省卫生健康委员会</t>
        </is>
      </c>
      <c r="E13" s="24" t="n"/>
      <c r="F13" s="24" t="inlineStr"/>
      <c r="G13" s="30">
        <f>IF(OR($F13="",$F13="长期"),IF($F13="","有效期未取得","长期有效"),IF($F13&lt;TEXT(基准日,"yyyy-mm-dd"),"已过期 "&amp;TEXT(基准日-$F13,"0")&amp;" 天","有效 余"&amp;TEXT($F13-基准日,"0")&amp;"天"))</f>
        <v/>
      </c>
      <c r="H13" s="23" t="inlineStr">
        <is>
          <t>待核验</t>
        </is>
      </c>
      <c r="I13" s="24" t="inlineStr">
        <is>
          <t>不适用</t>
        </is>
      </c>
      <c r="J13" s="14" t="inlineStr">
        <is>
          <t>官网公示影像存在；许可类别未读取。</t>
        </is>
      </c>
      <c r="K13" s="27" t="inlineStr">
        <is>
          <t>未覆盖</t>
        </is>
      </c>
      <c r="L13" s="14" t="inlineStr">
        <is>
          <t>供应商官网「相关证书」栏目</t>
        </is>
      </c>
      <c r="M13" s="24" t="inlineStr">
        <is>
          <t>官网公开</t>
        </is>
      </c>
      <c r="N13" s="31" t="inlineStr">
        <is>
          <t>http://www.mxsys.cn/zhengshu.html</t>
        </is>
      </c>
      <c r="O13" s="14" t="inlineStr"/>
      <c r="P13" s="14" t="inlineStr">
        <is>
          <t>按用途判定为不适用。</t>
        </is>
      </c>
    </row>
    <row r="14">
      <c r="A14" s="25" t="inlineStr">
        <is>
          <t>C10</t>
        </is>
      </c>
      <c r="B14" s="16" t="inlineStr">
        <is>
          <t>危险化学品经营许可证（如适用）</t>
        </is>
      </c>
      <c r="C14" s="16" t="n"/>
      <c r="D14" s="16" t="inlineStr">
        <is>
          <t>所在地应急管理部门</t>
        </is>
      </c>
      <c r="E14" s="25" t="n"/>
      <c r="F14" s="25" t="inlineStr"/>
      <c r="G14" s="32">
        <f>IF(OR($F14="",$F14="长期"),IF($F14="","有效期未取得","长期有效"),IF($F14&lt;TEXT(基准日,"yyyy-mm-dd"),"已过期 "&amp;TEXT(基准日-$F14,"0")&amp;" 天","有效 余"&amp;TEXT($F14-基准日,"0")&amp;"天"))</f>
        <v/>
      </c>
      <c r="H14" s="23" t="inlineStr">
        <is>
          <t>待核验</t>
        </is>
      </c>
      <c r="I14" s="25" t="inlineStr">
        <is>
          <t>备选/按需</t>
        </is>
      </c>
      <c r="J14" s="16" t="inlineStr">
        <is>
          <t>未取得；本单以自行生产供货为主，通常无需，但若其改变物质状态后销售或另设经营场所则需。</t>
        </is>
      </c>
      <c r="K14" s="29" t="inlineStr">
        <is>
          <t>无法判断</t>
        </is>
      </c>
      <c r="L14" s="16" t="inlineStr">
        <is>
          <t>未取得证照影像；未检索到公开公示</t>
        </is>
      </c>
      <c r="M14" s="25" t="inlineStr">
        <is>
          <t>未发现公开记录</t>
        </is>
      </c>
      <c r="N14" s="33" t="inlineStr"/>
      <c r="O14" s="16" t="inlineStr"/>
      <c r="P14" s="16" t="inlineStr">
        <is>
          <t>「视情形」项：不必然需要。要求供应商出具「自产供货声明」即可闭环，但不能替代生产许可证。</t>
        </is>
      </c>
    </row>
    <row r="15">
      <c r="A15" s="24" t="inlineStr">
        <is>
          <t>C11</t>
        </is>
      </c>
      <c r="B15" s="14" t="inlineStr">
        <is>
          <t>生产安全事故应急救援预案备案回执</t>
        </is>
      </c>
      <c r="C15" s="14" t="n"/>
      <c r="D15" s="14" t="inlineStr">
        <is>
          <t>所在地应急管理部门</t>
        </is>
      </c>
      <c r="E15" s="24" t="n"/>
      <c r="F15" s="24" t="inlineStr"/>
      <c r="G15" s="30">
        <f>IF(OR($F15="",$F15="长期"),IF($F15="","有效期未取得","长期有效"),IF($F15&lt;TEXT(基准日,"yyyy-mm-dd"),"已过期 "&amp;TEXT(基准日-$F15,"0")&amp;" 天","有效 余"&amp;TEXT($F15-基准日,"0")&amp;"天"))</f>
        <v/>
      </c>
      <c r="H15" s="23" t="inlineStr">
        <is>
          <t>待核验</t>
        </is>
      </c>
      <c r="I15" s="24" t="inlineStr">
        <is>
          <t>应具备</t>
        </is>
      </c>
      <c r="J15" s="14" t="inlineStr">
        <is>
          <t>未取得。应载明：企业名称、预案名称、备案日期。</t>
        </is>
      </c>
      <c r="K15" s="29" t="inlineStr">
        <is>
          <t>无法判断</t>
        </is>
      </c>
      <c r="L15" s="14" t="inlineStr">
        <is>
          <t>未取得；未检索到公开公示</t>
        </is>
      </c>
      <c r="M15" s="24" t="inlineStr">
        <is>
          <t>未发现公开记录</t>
        </is>
      </c>
      <c r="N15" s="31" t="inlineStr"/>
      <c r="O15" s="14" t="inlineStr"/>
      <c r="P15" s="14" t="inlineStr">
        <is>
          <t>属企业整体合规项，单项缺失不直接导致本次采购违法，但作为准入素材应补齐。</t>
        </is>
      </c>
    </row>
    <row r="16">
      <c r="A16" s="25" t="inlineStr">
        <is>
          <t>C12</t>
        </is>
      </c>
      <c r="B16" s="16" t="inlineStr">
        <is>
          <t>高新技术企业证书</t>
        </is>
      </c>
      <c r="C16" s="16" t="n"/>
      <c r="D16" s="16" t="inlineStr">
        <is>
          <t>科技主管部门（待核）</t>
        </is>
      </c>
      <c r="E16" s="25" t="n"/>
      <c r="F16" s="25" t="inlineStr"/>
      <c r="G16" s="32">
        <f>IF(OR($F16="",$F16="长期"),IF($F16="","有效期未取得","长期有效"),IF($F16&lt;TEXT(基准日,"yyyy-mm-dd"),"已过期 "&amp;TEXT(基准日-$F16,"0")&amp;" 天","有效 余"&amp;TEXT($F16-基准日,"0")&amp;"天"))</f>
        <v/>
      </c>
      <c r="H16" s="23" t="inlineStr">
        <is>
          <t>待核验</t>
        </is>
      </c>
      <c r="I16" s="25" t="inlineStr">
        <is>
          <t>不适用</t>
        </is>
      </c>
      <c r="J16" s="16" t="inlineStr">
        <is>
          <t>官网公示影像存在；证书编号与有效期未读取。</t>
        </is>
      </c>
      <c r="K16" s="27" t="inlineStr">
        <is>
          <t>未覆盖</t>
        </is>
      </c>
      <c r="L16" s="16" t="inlineStr">
        <is>
          <t>供应商官网「相关证书」栏目</t>
        </is>
      </c>
      <c r="M16" s="25" t="inlineStr">
        <is>
          <t>官网公开</t>
        </is>
      </c>
      <c r="N16" s="33" t="inlineStr">
        <is>
          <t>http://www.mxsys.cn/zhengshu.html</t>
        </is>
      </c>
      <c r="O16" s="16" t="inlineStr"/>
      <c r="P16" s="16" t="inlineStr">
        <is>
          <t>非准入要素，仅作背景参考。</t>
        </is>
      </c>
    </row>
    <row r="18">
      <c r="A18" s="34" t="inlineStr">
        <is>
          <t>汇总(公式)</t>
        </is>
      </c>
      <c r="B18" s="35">
        <f>COUNTA($H$5:$H$16)</f>
        <v/>
      </c>
      <c r="C18" s="35">
        <f>COUNTIF($H$5:$H$16,"已核验")</f>
        <v/>
      </c>
      <c r="D18" s="35">
        <f>COUNTIF($H$5:$H$16,"信息不一致")</f>
        <v/>
      </c>
      <c r="E18" s="35">
        <f>COUNTIF($H$5:$H$16,"待核验")</f>
        <v/>
      </c>
      <c r="F18" s="35">
        <f>COUNTIF($H$5:$H$16,"无公开信息")</f>
        <v/>
      </c>
      <c r="G18" s="35">
        <f>COUNTIF($H$5:$H$16,"已过期")</f>
        <v/>
      </c>
      <c r="H18" s="35">
        <f>COUNTIF($G$5:$G$16,"有效 余*")</f>
        <v/>
      </c>
    </row>
    <row r="19">
      <c r="A19" s="36" t="inlineStr">
        <is>
          <t>口径</t>
        </is>
      </c>
      <c r="B19" s="37" t="inlineStr">
        <is>
          <t>「180天内到期」按 G 列判定文本统计（含「有效 余180天」及以下），仅作预警提示，不改变核验状态；证书编号留空表示尚未取得，不得填写推测值。</t>
        </is>
      </c>
    </row>
  </sheetData>
  <autoFilter ref="A4:P16"/>
  <mergeCells count="3">
    <mergeCell ref="A2:Q2"/>
    <mergeCell ref="B19:N19"/>
    <mergeCell ref="A1:Q1"/>
  </mergeCells>
  <dataValidations count="3">
    <dataValidation sqref="H5:H80" showDropDown="0" showInputMessage="0" showErrorMessage="0" allowBlank="1" type="list">
      <formula1>"已核验,信息不一致,待核验,无公开信息,已过期"</formula1>
    </dataValidation>
    <dataValidation sqref="K5:K80" showDropDown="0" showInputMessage="0" showErrorMessage="0" allowBlank="1" type="list">
      <formula1>"覆盖,部分覆盖,未覆盖,无法判断"</formula1>
    </dataValidation>
    <dataValidation sqref="I5:I80" showDropDown="0" showInputMessage="0" showErrorMessage="0" allowBlank="1" type="list">
      <formula1>"应具备,备选/按需,不适用"</formula1>
    </dataValidation>
  </dataValidations>
  <hyperlinks>
    <hyperlink xmlns:r="http://schemas.openxmlformats.org/officeDocument/2006/relationships" ref="N5"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 xmlns:r="http://schemas.openxmlformats.org/officeDocument/2006/relationships" ref="N16" r:id="rId8"/>
  </hyperlinks>
  <pageMargins left="0.75" right="0.75" top="1" bottom="1" header="0.5" footer="0.5"/>
</worksheet>
</file>

<file path=xl/worksheets/sheet8.xml><?xml version="1.0" encoding="utf-8"?>
<worksheet xmlns="http://schemas.openxmlformats.org/spreadsheetml/2006/main">
  <sheetPr>
    <tabColor rgb="00A8843C"/>
    <outlinePr summaryBelow="1" summaryRight="1"/>
    <pageSetUpPr/>
  </sheetPr>
  <dimension ref="A1:J16"/>
  <sheetViews>
    <sheetView showGridLines="0" workbookViewId="0">
      <pane ySplit="4" topLeftCell="A5" activePane="bottomLeft" state="frozen"/>
      <selection pane="bottomLeft" activeCell="A1" sqref="A1"/>
    </sheetView>
  </sheetViews>
  <sheetFormatPr baseColWidth="8" defaultRowHeight="15"/>
  <cols>
    <col width="9" customWidth="1" min="1" max="1"/>
    <col width="22" customWidth="1" min="2" max="2"/>
    <col width="13" customWidth="1" min="3" max="3"/>
    <col width="12" customWidth="1" min="4" max="4"/>
    <col width="14" customWidth="1" min="5" max="5"/>
    <col width="30" customWidth="1" min="6" max="6"/>
    <col width="12" customWidth="1" min="7" max="7"/>
    <col width="16" customWidth="1" min="8" max="8"/>
    <col width="26" customWidth="1" min="9" max="9"/>
    <col width="56" customWidth="1" min="10" max="10"/>
  </cols>
  <sheetData>
    <row r="1" ht="30" customHeight="1">
      <c r="A1" s="1" t="inlineStr">
        <is>
          <t>07 有效期与许可范围比对（逐单核对）</t>
        </is>
      </c>
      <c r="B1" s="2" t="n"/>
      <c r="C1" s="2" t="n"/>
      <c r="D1" s="2" t="n"/>
      <c r="E1" s="2" t="n"/>
      <c r="F1" s="2" t="n"/>
      <c r="G1" s="2" t="n"/>
      <c r="H1" s="2" t="n"/>
      <c r="I1" s="2" t="n"/>
      <c r="J1" s="2" t="n"/>
    </row>
    <row r="2" ht="20" customHeight="1">
      <c r="A2" s="3" t="inlineStr">
        <is>
          <t>只剩天数用公式算；「是否覆盖本采购」「主体是否一致」必须逐项用证据回答，不得推定    ｜    基准日 2026-10-12</t>
        </is>
      </c>
      <c r="B2" s="4" t="n"/>
      <c r="C2" s="4" t="n"/>
      <c r="D2" s="4" t="n"/>
      <c r="E2" s="4" t="n"/>
      <c r="F2" s="4" t="n"/>
      <c r="G2" s="4" t="n"/>
      <c r="H2" s="4" t="n"/>
      <c r="I2" s="4" t="n"/>
      <c r="J2" s="4" t="n"/>
    </row>
    <row r="4" ht="28" customHeight="1">
      <c r="A4" s="12" t="inlineStr">
        <is>
          <t>证照编号</t>
        </is>
      </c>
      <c r="B4" s="12" t="inlineStr">
        <is>
          <t>证照类型</t>
        </is>
      </c>
      <c r="C4" s="12" t="inlineStr">
        <is>
          <t>有效期至</t>
        </is>
      </c>
      <c r="D4" s="12" t="inlineStr">
        <is>
          <t>剩余天数(公式)</t>
        </is>
      </c>
      <c r="E4" s="12" t="inlineStr">
        <is>
          <t>到期风险(公式)</t>
        </is>
      </c>
      <c r="F4" s="12" t="inlineStr">
        <is>
          <t>是否覆盖拟购产品/浓度</t>
        </is>
      </c>
      <c r="G4" s="12" t="inlineStr">
        <is>
          <t>覆盖判定</t>
        </is>
      </c>
      <c r="H4" s="12" t="inlineStr">
        <is>
          <t>主体名称是否一致</t>
        </is>
      </c>
      <c r="I4" s="12" t="inlineStr">
        <is>
          <t>业务活动是否一致</t>
        </is>
      </c>
      <c r="J4" s="12" t="inlineStr">
        <is>
          <t>比对依据与备注</t>
        </is>
      </c>
    </row>
    <row r="5">
      <c r="A5" s="24" t="inlineStr">
        <is>
          <t>C01</t>
        </is>
      </c>
      <c r="B5" s="14" t="inlineStr">
        <is>
          <t>营业执照（副本）</t>
        </is>
      </c>
      <c r="C5" s="24" t="inlineStr">
        <is>
          <t>长期</t>
        </is>
      </c>
      <c r="D5" s="24">
        <f>IF(OR($C5="",$C5="长期"),"",$C5-基准日)</f>
        <v/>
      </c>
      <c r="E5" s="24">
        <f>IF($D5="","—",IF($D5&lt;0,"已过期",IF($D5&lt;=180,"临期","有效")))</f>
        <v/>
      </c>
      <c r="F5" s="14" t="inlineStr">
        <is>
          <t>主体名称、统一社会信用代码与本次采购主体一致；经营范围含危险化学品生产，但登记经营范围不等于许可范围。</t>
        </is>
      </c>
      <c r="G5" s="22" t="inlineStr">
        <is>
          <t>覆盖</t>
        </is>
      </c>
      <c r="H5" s="24" t="inlineStr">
        <is>
          <t>待核验</t>
        </is>
      </c>
      <c r="I5" s="24" t="inlineStr">
        <is>
          <t>待核验</t>
        </is>
      </c>
      <c r="J5" s="14" t="inlineStr">
        <is>
          <t>营业执照本身不是危险化学品经营资格。以营业执照上的经营范围推断「可以卖危化品」是典型误判——须看安全生产许可证的品种与产能。</t>
        </is>
      </c>
    </row>
    <row r="6">
      <c r="A6" s="25" t="inlineStr">
        <is>
          <t>C02</t>
        </is>
      </c>
      <c r="B6" s="16" t="inlineStr">
        <is>
          <t>危险化学品安全生产许可证</t>
        </is>
      </c>
      <c r="C6" s="25" t="inlineStr"/>
      <c r="D6" s="25">
        <f>IF(OR($C6="",$C6="长期"),"",$C6-基准日)</f>
        <v/>
      </c>
      <c r="E6" s="25">
        <f>IF($D6="","—",IF($D6&lt;0,"已过期",IF($D6&lt;=180,"临期","有效")))</f>
        <v/>
      </c>
      <c r="F6" s="16" t="inlineStr">
        <is>
          <t>无法判断：证照本身缺失，任何「覆盖/部分覆盖」的判断都没有依据。</t>
        </is>
      </c>
      <c r="G6" s="29" t="inlineStr">
        <is>
          <t>无法判断</t>
        </is>
      </c>
      <c r="H6" s="25" t="inlineStr">
        <is>
          <t>待核验</t>
        </is>
      </c>
      <c r="I6" s="25" t="inlineStr">
        <is>
          <t>待核验</t>
        </is>
      </c>
      <c r="J6" s="16" t="inlineStr">
        <is>
          <t>这是本单最关键、且当前完全缺失的一张证。产能与浓度必须与本次采购的 30% 及供货量匹配；并须确认供货装置就在许可证覆盖的生产地址内。</t>
        </is>
      </c>
    </row>
    <row r="7">
      <c r="A7" s="24" t="inlineStr">
        <is>
          <t>C03</t>
        </is>
      </c>
      <c r="B7" s="14" t="inlineStr">
        <is>
          <t>危险化学品登记证</t>
        </is>
      </c>
      <c r="C7" s="24" t="inlineStr"/>
      <c r="D7" s="24">
        <f>IF(OR($C7="",$C7="长期"),"",$C7-基准日)</f>
        <v/>
      </c>
      <c r="E7" s="24">
        <f>IF($D7="","—",IF($D7&lt;0,"已过期",IF($D7&lt;=180,"临期","有效")))</f>
        <v/>
      </c>
      <c r="F7" s="14" t="inlineStr">
        <is>
          <t>无法判断。</t>
        </is>
      </c>
      <c r="G7" s="29" t="inlineStr">
        <is>
          <t>无法判断</t>
        </is>
      </c>
      <c r="H7" s="24" t="inlineStr">
        <is>
          <t>待核验</t>
        </is>
      </c>
      <c r="I7" s="24" t="inlineStr">
        <is>
          <t>待核验</t>
        </is>
      </c>
      <c r="J7" s="14" t="inlineStr">
        <is>
          <t>登记证与生产许可证是两套制度，不能互相替代；生产企业登记品种必须包含过氧化氢溶液。</t>
        </is>
      </c>
    </row>
    <row r="8">
      <c r="A8" s="25" t="inlineStr">
        <is>
          <t>C04</t>
        </is>
      </c>
      <c r="B8" s="16" t="inlineStr">
        <is>
          <t>ISO 9001 质量管理体系认证证书</t>
        </is>
      </c>
      <c r="C8" s="25" t="inlineStr"/>
      <c r="D8" s="25">
        <f>IF(OR($C8="",$C8="长期"),"",$C8-基准日)</f>
        <v/>
      </c>
      <c r="E8" s="25">
        <f>IF($D8="","—",IF($D8&lt;0,"已过期",IF($D8&lt;=180,"临期","有效")))</f>
        <v/>
      </c>
      <c r="F8" s="16" t="inlineStr">
        <is>
          <t>体系认证与品种许可无关，不能用于证明本次采购产品可合法生产/销售。</t>
        </is>
      </c>
      <c r="G8" s="29" t="inlineStr">
        <is>
          <t>无法判断</t>
        </is>
      </c>
      <c r="H8" s="25" t="inlineStr">
        <is>
          <t>待核验</t>
        </is>
      </c>
      <c r="I8" s="25" t="inlineStr">
        <is>
          <t>待核验</t>
        </is>
      </c>
      <c r="J8" s="16" t="inlineStr">
        <is>
          <t>仅作参考项（conditional）。体系证书到期或暂停不影响行政许可，但反映管理稳定性。</t>
        </is>
      </c>
    </row>
    <row r="9">
      <c r="A9" s="24" t="inlineStr">
        <is>
          <t>C05</t>
        </is>
      </c>
      <c r="B9" s="14" t="inlineStr">
        <is>
          <t>ISO 14001 环境管理体系认证证书</t>
        </is>
      </c>
      <c r="C9" s="24" t="inlineStr"/>
      <c r="D9" s="24">
        <f>IF(OR($C9="",$C9="长期"),"",$C9-基准日)</f>
        <v/>
      </c>
      <c r="E9" s="24">
        <f>IF($D9="","—",IF($D9&lt;0,"已过期",IF($D9&lt;=180,"临期","有效")))</f>
        <v/>
      </c>
      <c r="F9" s="14" t="inlineStr">
        <is>
          <t>不构成本次采购许可依据。</t>
        </is>
      </c>
      <c r="G9" s="29" t="inlineStr">
        <is>
          <t>无法判断</t>
        </is>
      </c>
      <c r="H9" s="24" t="inlineStr">
        <is>
          <t>待核验</t>
        </is>
      </c>
      <c r="I9" s="24" t="inlineStr">
        <is>
          <t>待核验</t>
        </is>
      </c>
      <c r="J9" s="14" t="inlineStr">
        <is>
          <t>参考项。</t>
        </is>
      </c>
    </row>
    <row r="10">
      <c r="A10" s="25" t="inlineStr">
        <is>
          <t>C06</t>
        </is>
      </c>
      <c r="B10" s="16" t="inlineStr">
        <is>
          <t>ISO 45001 职业健康安全管理体系认证证书</t>
        </is>
      </c>
      <c r="C10" s="25" t="inlineStr"/>
      <c r="D10" s="25">
        <f>IF(OR($C10="",$C10="长期"),"",$C10-基准日)</f>
        <v/>
      </c>
      <c r="E10" s="25">
        <f>IF($D10="","—",IF($D10&lt;0,"已过期",IF($D10&lt;=180,"临期","有效")))</f>
        <v/>
      </c>
      <c r="F10" s="16" t="inlineStr">
        <is>
          <t>不构成本次采购许可依据。</t>
        </is>
      </c>
      <c r="G10" s="29" t="inlineStr">
        <is>
          <t>无法判断</t>
        </is>
      </c>
      <c r="H10" s="25" t="inlineStr">
        <is>
          <t>待核验</t>
        </is>
      </c>
      <c r="I10" s="25" t="inlineStr">
        <is>
          <t>待核验</t>
        </is>
      </c>
      <c r="J10" s="16" t="inlineStr">
        <is>
          <t>参考项。</t>
        </is>
      </c>
    </row>
    <row r="11">
      <c r="A11" s="24" t="inlineStr">
        <is>
          <t>C07</t>
        </is>
      </c>
      <c r="B11" s="14" t="inlineStr">
        <is>
          <t>全国工业产品生产许可证（工业产品）</t>
        </is>
      </c>
      <c r="C11" s="24" t="inlineStr"/>
      <c r="D11" s="24">
        <f>IF(OR($C11="",$C11="长期"),"",$C11-基准日)</f>
        <v/>
      </c>
      <c r="E11" s="24">
        <f>IF($D11="","—",IF($D11&lt;0,"已过期",IF($D11&lt;=180,"临期","有效")))</f>
        <v/>
      </c>
      <c r="F11" s="14" t="inlineStr">
        <is>
          <t>工业产品生产许可目录是否仍包含该品类、产品单元是否包含过氧化氢——未核实，不能视为覆盖。</t>
        </is>
      </c>
      <c r="G11" s="29" t="inlineStr">
        <is>
          <t>无法判断</t>
        </is>
      </c>
      <c r="H11" s="24" t="inlineStr">
        <is>
          <t>待核验</t>
        </is>
      </c>
      <c r="I11" s="24" t="inlineStr">
        <is>
          <t>待核验</t>
        </is>
      </c>
      <c r="J11" s="14" t="inlineStr">
        <is>
          <t>注意区分：安全生产许可证（应急管理）与工业产品生产许可证（市场监管）是两张证，不能互相替代。是否仍需后者，取决于现行工业产品生产许可证管理目录。</t>
        </is>
      </c>
    </row>
    <row r="12">
      <c r="A12" s="25" t="inlineStr">
        <is>
          <t>C08</t>
        </is>
      </c>
      <c r="B12" s="16" t="inlineStr">
        <is>
          <t>食品生产许可证（SC）</t>
        </is>
      </c>
      <c r="C12" s="25" t="inlineStr"/>
      <c r="D12" s="25">
        <f>IF(OR($C12="",$C12="长期"),"",$C12-基准日)</f>
        <v/>
      </c>
      <c r="E12" s="25">
        <f>IF($D12="","—",IF($D12&lt;0,"已过期",IF($D12&lt;=180,"临期","有效")))</f>
        <v/>
      </c>
      <c r="F12" s="16" t="inlineStr">
        <is>
          <t>本次采购为工业用途，无需食品生产许可；本证不构成本次采购资格依据。</t>
        </is>
      </c>
      <c r="G12" s="27" t="inlineStr">
        <is>
          <t>未覆盖</t>
        </is>
      </c>
      <c r="H12" s="25" t="inlineStr">
        <is>
          <t>待核验</t>
        </is>
      </c>
      <c r="I12" s="25" t="inlineStr">
        <is>
          <t>待核验</t>
        </is>
      </c>
      <c r="J12" s="16" t="inlineStr">
        <is>
          <t>按用途判定为不适用（need=none）。若后续改采购食品级，本证转为必需项。</t>
        </is>
      </c>
    </row>
    <row r="13">
      <c r="A13" s="24" t="inlineStr">
        <is>
          <t>C09</t>
        </is>
      </c>
      <c r="B13" s="14" t="inlineStr">
        <is>
          <t>消毒产品生产企业卫生许可证</t>
        </is>
      </c>
      <c r="C13" s="24" t="inlineStr"/>
      <c r="D13" s="24">
        <f>IF(OR($C13="",$C13="长期"),"",$C13-基准日)</f>
        <v/>
      </c>
      <c r="E13" s="24">
        <f>IF($D13="","—",IF($D13&lt;0,"已过期",IF($D13&lt;=180,"临期","有效")))</f>
        <v/>
      </c>
      <c r="F13" s="14" t="inlineStr">
        <is>
          <t>本次采购为工业用途，不涉及消毒产品，不适用。</t>
        </is>
      </c>
      <c r="G13" s="27" t="inlineStr">
        <is>
          <t>未覆盖</t>
        </is>
      </c>
      <c r="H13" s="24" t="inlineStr">
        <is>
          <t>待核验</t>
        </is>
      </c>
      <c r="I13" s="24" t="inlineStr">
        <is>
          <t>待核验</t>
        </is>
      </c>
      <c r="J13" s="14" t="inlineStr">
        <is>
          <t>按用途判定为不适用。</t>
        </is>
      </c>
    </row>
    <row r="14">
      <c r="A14" s="25" t="inlineStr">
        <is>
          <t>C10</t>
        </is>
      </c>
      <c r="B14" s="16" t="inlineStr">
        <is>
          <t>危险化学品经营许可证（如适用）</t>
        </is>
      </c>
      <c r="C14" s="25" t="inlineStr"/>
      <c r="D14" s="25">
        <f>IF(OR($C14="",$C14="长期"),"",$C14-基准日)</f>
        <v/>
      </c>
      <c r="E14" s="25">
        <f>IF($D14="","—",IF($D14&lt;0,"已过期",IF($D14&lt;=180,"临期","有效")))</f>
        <v/>
      </c>
      <c r="F14" s="16" t="inlineStr">
        <is>
          <t>无法判断；需由供应商书面声明本次供货全部为其自产、且产自已获许可的装置。</t>
        </is>
      </c>
      <c r="G14" s="29" t="inlineStr">
        <is>
          <t>无法判断</t>
        </is>
      </c>
      <c r="H14" s="25" t="inlineStr">
        <is>
          <t>待核验</t>
        </is>
      </c>
      <c r="I14" s="25" t="inlineStr">
        <is>
          <t>待核验</t>
        </is>
      </c>
      <c r="J14" s="16" t="inlineStr">
        <is>
          <t>「视情形」项：不必然需要。要求供应商出具「自产供货声明」即可闭环，但不能替代生产许可证。</t>
        </is>
      </c>
    </row>
    <row r="15">
      <c r="A15" s="24" t="inlineStr">
        <is>
          <t>C11</t>
        </is>
      </c>
      <c r="B15" s="14" t="inlineStr">
        <is>
          <t>生产安全事故应急救援预案备案回执</t>
        </is>
      </c>
      <c r="C15" s="24" t="inlineStr"/>
      <c r="D15" s="24">
        <f>IF(OR($C15="",$C15="长期"),"",$C15-基准日)</f>
        <v/>
      </c>
      <c r="E15" s="24">
        <f>IF($D15="","—",IF($D15&lt;0,"已过期",IF($D15&lt;=180,"临期","有效")))</f>
        <v/>
      </c>
      <c r="F15" s="14" t="inlineStr">
        <is>
          <t>与产品覆盖无关，属企业整体合规。</t>
        </is>
      </c>
      <c r="G15" s="29" t="inlineStr">
        <is>
          <t>无法判断</t>
        </is>
      </c>
      <c r="H15" s="24" t="inlineStr">
        <is>
          <t>待核验</t>
        </is>
      </c>
      <c r="I15" s="24" t="inlineStr">
        <is>
          <t>待核验</t>
        </is>
      </c>
      <c r="J15" s="14" t="inlineStr">
        <is>
          <t>属企业整体合规项，单项缺失不直接导致本次采购违法，但作为准入素材应补齐。</t>
        </is>
      </c>
    </row>
    <row r="16">
      <c r="A16" s="25" t="inlineStr">
        <is>
          <t>C12</t>
        </is>
      </c>
      <c r="B16" s="16" t="inlineStr">
        <is>
          <t>高新技术企业证书</t>
        </is>
      </c>
      <c r="C16" s="25" t="inlineStr"/>
      <c r="D16" s="25">
        <f>IF(OR($C16="",$C16="长期"),"",$C16-基准日)</f>
        <v/>
      </c>
      <c r="E16" s="25">
        <f>IF($D16="","—",IF($D16&lt;0,"已过期",IF($D16&lt;=180,"临期","有效")))</f>
        <v/>
      </c>
      <c r="F16" s="16" t="inlineStr">
        <is>
          <t>与采购资格无关。</t>
        </is>
      </c>
      <c r="G16" s="27" t="inlineStr">
        <is>
          <t>未覆盖</t>
        </is>
      </c>
      <c r="H16" s="25" t="inlineStr">
        <is>
          <t>待核验</t>
        </is>
      </c>
      <c r="I16" s="25" t="inlineStr">
        <is>
          <t>待核验</t>
        </is>
      </c>
      <c r="J16" s="16" t="inlineStr">
        <is>
          <t>非准入要素，仅作背景参考。</t>
        </is>
      </c>
    </row>
  </sheetData>
  <autoFilter ref="A4:J16"/>
  <mergeCells count="2">
    <mergeCell ref="A1:J1"/>
    <mergeCell ref="A2:J2"/>
  </mergeCells>
  <pageMargins left="0.75" right="0.75" top="1" bottom="1" header="0.5" footer="0.5"/>
</worksheet>
</file>

<file path=xl/worksheets/sheet9.xml><?xml version="1.0" encoding="utf-8"?>
<worksheet xmlns="http://schemas.openxmlformats.org/spreadsheetml/2006/main">
  <sheetPr>
    <tabColor rgb="00A8843C"/>
    <outlinePr summaryBelow="1" summaryRight="1"/>
    <pageSetUpPr/>
  </sheetPr>
  <dimension ref="A1:E14"/>
  <sheetViews>
    <sheetView showGridLines="0" workbookViewId="0">
      <pane ySplit="5" topLeftCell="A6" activePane="bottomLeft" state="frozen"/>
      <selection pane="bottomLeft" activeCell="A1" sqref="A1"/>
    </sheetView>
  </sheetViews>
  <sheetFormatPr baseColWidth="8" defaultRowHeight="15"/>
  <cols>
    <col width="18" customWidth="1" min="1" max="1"/>
    <col width="42" customWidth="1" min="2" max="2"/>
    <col width="42" customWidth="1" min="3" max="3"/>
    <col width="10" customWidth="1" min="4" max="4"/>
    <col width="52" customWidth="1" min="5" max="5"/>
  </cols>
  <sheetData>
    <row r="1" ht="30" customHeight="1">
      <c r="A1" s="1" t="inlineStr">
        <is>
          <t>08 交叉核验记录（证照 × 主管部门公示 × 工商身份）</t>
        </is>
      </c>
      <c r="B1" s="2" t="n"/>
      <c r="C1" s="2" t="n"/>
      <c r="D1" s="2" t="n"/>
      <c r="E1" s="2" t="n"/>
    </row>
    <row r="2" ht="20" customHeight="1">
      <c r="A2" s="3" t="inlineStr">
        <is>
          <t>三方对不上就是「信息不一致」；仅一方可得只能写「待核验」    ｜    基准日 2026-10-12</t>
        </is>
      </c>
      <c r="B2" s="4" t="n"/>
      <c r="C2" s="4" t="n"/>
      <c r="D2" s="4" t="n"/>
      <c r="E2" s="4" t="n"/>
    </row>
    <row r="4" ht="34" customHeight="1">
      <c r="A4" s="26" t="inlineStr">
        <is>
          <t>交叉核验的 A 侧是证照/供应商材料，B 侧是主管部门公示与上市公司披露。本单的特点是：A 侧几乎全为空（未取得证照影像），因此绝大多数比对只能得出「待核验」，不能得出「一致」。</t>
        </is>
      </c>
    </row>
    <row r="5" ht="28" customHeight="1">
      <c r="A5" s="12" t="inlineStr">
        <is>
          <t>比对项</t>
        </is>
      </c>
      <c r="B5" s="12" t="inlineStr">
        <is>
          <t>证照/供应商材料（A）</t>
        </is>
      </c>
      <c r="C5" s="12" t="inlineStr">
        <is>
          <t>公开来源/主管部门记录（B）</t>
        </is>
      </c>
      <c r="D5" s="12" t="inlineStr">
        <is>
          <t>结论</t>
        </is>
      </c>
      <c r="E5" s="12" t="inlineStr">
        <is>
          <t>处理意见</t>
        </is>
      </c>
    </row>
    <row r="6">
      <c r="A6" s="16" t="inlineStr">
        <is>
          <t>主体名称与统一社会信用代码</t>
        </is>
      </c>
      <c r="B6" s="16" t="inlineStr">
        <is>
          <t>供应商官网名称「杭州名鑫双氧水有限公司」</t>
        </is>
      </c>
      <c r="C6" s="16" t="inlineStr">
        <is>
          <t>格林达 2026-026 公告：名称相同，统一社会信用代码 91330100668020191W</t>
        </is>
      </c>
      <c r="D6" s="22" t="inlineStr">
        <is>
          <t>一致</t>
        </is>
      </c>
      <c r="E6" s="16" t="inlineStr">
        <is>
          <t>方向性一致；仍须以营业执照与公示系统截图为准。</t>
        </is>
      </c>
    </row>
    <row r="7">
      <c r="A7" s="14" t="inlineStr">
        <is>
          <t>统一社会信用代码校验码</t>
        </is>
      </c>
      <c r="B7" s="14" t="inlineStr">
        <is>
          <t>91330100668020191W</t>
        </is>
      </c>
      <c r="C7" s="14" t="inlineStr">
        <is>
          <t>按 GB 32100-2015 本地复算第 18 位为 W</t>
        </is>
      </c>
      <c r="D7" s="22" t="inlineStr">
        <is>
          <t>一致</t>
        </is>
      </c>
      <c r="E7" s="14" t="inlineStr">
        <is>
          <t>校验码通过只能说明编号格式有效，不能证明其属于该企业。</t>
        </is>
      </c>
    </row>
    <row r="8">
      <c r="A8" s="16" t="inlineStr">
        <is>
          <t>注册地址</t>
        </is>
      </c>
      <c r="B8" s="16" t="inlineStr">
        <is>
          <t>公告住所：红十五路9936-2号</t>
        </is>
      </c>
      <c r="C8" s="16" t="inlineStr">
        <is>
          <t>官网：红十五路9936号</t>
        </is>
      </c>
      <c r="D8" s="23" t="inlineStr">
        <is>
          <t>部分一致</t>
        </is>
      </c>
      <c r="E8" s="16" t="inlineStr">
        <is>
          <t>同一门牌不同尾号，可能为厂区/注册地之别；须以营业执照与许可证生产地址为准。</t>
        </is>
      </c>
    </row>
    <row r="9">
      <c r="A9" s="14" t="inlineStr">
        <is>
          <t>企业性质（生产 or 经营）</t>
        </is>
      </c>
      <c r="B9" s="14" t="inlineStr">
        <is>
          <t>官网：三套双氧水生产线、年设计产能约 43 万吨</t>
        </is>
      </c>
      <c r="C9" s="14" t="inlineStr">
        <is>
          <t>公告经营范围：危险化学品生产；未载明经营许可</t>
        </is>
      </c>
      <c r="D9" s="22" t="inlineStr">
        <is>
          <t>一致</t>
        </is>
      </c>
      <c r="E9" s="14" t="inlineStr">
        <is>
          <t>支持其为生产企业的判断；但许可证实际许可品种与产能仍未知。</t>
        </is>
      </c>
    </row>
    <row r="10">
      <c r="A10" s="16" t="inlineStr">
        <is>
          <t>危险化学品安全生产许可证</t>
        </is>
      </c>
      <c r="B10" s="16" t="inlineStr">
        <is>
          <t>未取得证照</t>
        </is>
      </c>
      <c r="C10" s="16" t="inlineStr">
        <is>
          <t>浙江省应急管理厅 2024-01-31 注销名单（29 家）、2024-04-17 注销名单（13 家）均不含本公司</t>
        </is>
      </c>
      <c r="D10" s="23" t="inlineStr">
        <is>
          <t>部分一致</t>
        </is>
      </c>
      <c r="E10" s="16" t="inlineStr">
        <is>
          <t>「不在注销名单」是弱证据，只能排除「已公开注销」，不能证明「现行有效」。需调取许可证原件或省厅公示。</t>
        </is>
      </c>
    </row>
    <row r="11">
      <c r="A11" s="14" t="inlineStr">
        <is>
          <t>ISO 体系认证</t>
        </is>
      </c>
      <c r="B11" s="14" t="inlineStr">
        <is>
          <t>官网证书栏目公示 11 项证书影像</t>
        </is>
      </c>
      <c r="C11" s="14" t="inlineStr">
        <is>
          <t>认证机构公开查询系统：未执行查询</t>
        </is>
      </c>
      <c r="D11" s="23" t="inlineStr">
        <is>
          <t>部分一致</t>
        </is>
      </c>
      <c r="E11" s="14" t="inlineStr">
        <is>
          <t>官网自宣不等于认证有效；须按证书编号到认证机构/认可委查询。</t>
        </is>
      </c>
    </row>
    <row r="12">
      <c r="A12" s="16" t="inlineStr">
        <is>
          <t>食品/消毒类资质</t>
        </is>
      </c>
      <c r="B12" s="16" t="inlineStr">
        <is>
          <t>官网公示该两类证照影像</t>
        </is>
      </c>
      <c r="C12" s="16" t="inlineStr">
        <is>
          <t>本次采购工业级，不适用</t>
        </is>
      </c>
      <c r="D12" s="23" t="inlineStr">
        <is>
          <t>部分一致</t>
        </is>
      </c>
      <c r="E12" s="16" t="inlineStr">
        <is>
          <t>与本单覆盖无关，标注「未覆盖」仅为提醒不要把等级混用。</t>
        </is>
      </c>
    </row>
    <row r="14" ht="44" customHeight="1">
      <c r="A14" s="18" t="inlineStr">
        <is>
          <t>说明：B 侧（主管部门公示）检索已尽力但未穷尽：浙江省应急管理厅网站未提供面向公众的许可证逐条查询页，仅有注销公告类文件；如需现行有效性，应通过省政务服务网/政务服务热线或要求供应商提供带二维码的电子证照。；对上市公司公告的引用只取其「关联方基本情况」段落，不取结论性表述（如「具备良好履约能力」），该表述属公告口径而非资质证据。</t>
        </is>
      </c>
    </row>
  </sheetData>
  <mergeCells count="4">
    <mergeCell ref="A2:E2"/>
    <mergeCell ref="A1:E1"/>
    <mergeCell ref="A4:E4"/>
    <mergeCell ref="A14:E14"/>
  </mergeCells>
  <pageMargins left="0.75" right="0.75" top="1" bottom="1" header="0.5" footer="0.5"/>
</worksheet>
</file>

<file path=xl/worksheets/sheet10.xml><?xml version="1.0" encoding="utf-8"?>
<worksheet xmlns="http://schemas.openxmlformats.org/spreadsheetml/2006/main">
  <sheetPr>
    <tabColor rgb="00B3402A"/>
    <outlinePr summaryBelow="1" summaryRight="1"/>
    <pageSetUpPr/>
  </sheetPr>
  <dimension ref="A1:I17"/>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24" customWidth="1" min="3" max="3"/>
    <col width="24" customWidth="1" min="4" max="4"/>
    <col width="52" customWidth="1" min="5" max="5"/>
    <col width="46" customWidth="1" min="6" max="6"/>
    <col width="10" customWidth="1" min="7" max="7"/>
    <col width="9" customWidth="1" min="8" max="8"/>
    <col width="26" customWidth="1" min="9" max="9"/>
  </cols>
  <sheetData>
    <row r="1" ht="30" customHeight="1">
      <c r="A1" s="1" t="inlineStr">
        <is>
          <t>09 索证清单（Material To Request）</t>
        </is>
      </c>
      <c r="B1" s="2" t="n"/>
      <c r="C1" s="2" t="n"/>
      <c r="D1" s="2" t="n"/>
      <c r="E1" s="2" t="n"/>
      <c r="F1" s="2" t="n"/>
      <c r="G1" s="2" t="n"/>
      <c r="H1" s="2" t="n"/>
      <c r="I1" s="2" t="n"/>
    </row>
    <row r="2" ht="20" customHeight="1">
      <c r="A2" s="3" t="inlineStr">
        <is>
          <t>按优先级取证；查不到即入清单，绝不写「已确认无证」。勾选列用于跟踪进度    ｜    基准日 2026-10-12</t>
        </is>
      </c>
      <c r="B2" s="4" t="n"/>
      <c r="C2" s="4" t="n"/>
      <c r="D2" s="4" t="n"/>
      <c r="E2" s="4" t="n"/>
      <c r="F2" s="4" t="n"/>
      <c r="G2" s="4" t="n"/>
      <c r="H2" s="4" t="n"/>
      <c r="I2" s="4" t="n"/>
    </row>
    <row r="4" ht="28" customHeight="1">
      <c r="A4" s="12" t="inlineStr">
        <is>
          <t>编号</t>
        </is>
      </c>
      <c r="B4" s="12" t="inlineStr">
        <is>
          <t>优先级</t>
        </is>
      </c>
      <c r="C4" s="12" t="inlineStr">
        <is>
          <t>必须索取的证照/资料</t>
        </is>
      </c>
      <c r="D4" s="12" t="inlineStr">
        <is>
          <t>出具机关/说明</t>
        </is>
      </c>
      <c r="E4" s="12" t="inlineStr">
        <is>
          <t>为什么必须索取（本单的具体理由）</t>
        </is>
      </c>
      <c r="F4" s="12" t="inlineStr">
        <is>
          <t>需确认的问题</t>
        </is>
      </c>
      <c r="G4" s="12" t="inlineStr">
        <is>
          <t>来源</t>
        </is>
      </c>
      <c r="H4" s="12" t="inlineStr">
        <is>
          <t>已取得?</t>
        </is>
      </c>
      <c r="I4" s="12" t="inlineStr">
        <is>
          <t>备注</t>
        </is>
      </c>
    </row>
    <row r="5">
      <c r="A5" s="24" t="inlineStr">
        <is>
          <t>R01</t>
        </is>
      </c>
      <c r="B5" s="27" t="inlineStr">
        <is>
          <t>P0</t>
        </is>
      </c>
      <c r="C5" s="14" t="inlineStr">
        <is>
          <t>危险化学品安全生产许可证（正副本）</t>
        </is>
      </c>
      <c r="D5" s="14" t="inlineStr">
        <is>
          <t>浙江省应急管理厅</t>
        </is>
      </c>
      <c r="E5" s="14" t="inlineStr">
        <is>
          <t>生产企业合法供货的核心凭证；当前完全缺失，且无法从公开渠道确认</t>
        </is>
      </c>
      <c r="F5" s="14" t="inlineStr">
        <is>
          <t>请提供加盖公章的证书扫描件，并确认：①证载生产地址是否覆盖实际供货装置所在厂区；②许可范围是否逐条包含「过氧化氢溶液[含量＞8%]」；③许可产能与年供货能力是否匹配；④有效期是否覆盖本次合同期与质保期。</t>
        </is>
      </c>
      <c r="G5" s="24" t="inlineStr">
        <is>
          <t>人工补充</t>
        </is>
      </c>
      <c r="H5" s="24" t="inlineStr"/>
      <c r="I5" s="14" t="inlineStr"/>
    </row>
    <row r="6">
      <c r="A6" s="25" t="inlineStr">
        <is>
          <t>R02</t>
        </is>
      </c>
      <c r="B6" s="27" t="inlineStr">
        <is>
          <t>P0</t>
        </is>
      </c>
      <c r="C6" s="16" t="inlineStr">
        <is>
          <t>营业执照（副本）</t>
        </is>
      </c>
      <c r="D6" s="16" t="inlineStr">
        <is>
          <t>市场监督管理部门</t>
        </is>
      </c>
      <c r="E6" s="16" t="inlineStr">
        <is>
          <t>确认签约主体与开票主体；当前仅有公告字段，无影像</t>
        </is>
      </c>
      <c r="F6" s="16" t="inlineStr">
        <is>
          <t>请提供营业执照副本扫描件，确认名称、统一社会信用代码 91330100668020191W、住所与法定代表人，并说明 9936 与 9936-2 号的关系。</t>
        </is>
      </c>
      <c r="G6" s="25" t="inlineStr">
        <is>
          <t>人工补充</t>
        </is>
      </c>
      <c r="H6" s="25" t="inlineStr"/>
      <c r="I6" s="16" t="inlineStr"/>
    </row>
    <row r="7">
      <c r="A7" s="24" t="inlineStr">
        <is>
          <t>R04</t>
        </is>
      </c>
      <c r="B7" s="27" t="inlineStr">
        <is>
          <t>P0</t>
        </is>
      </c>
      <c r="C7" s="14" t="inlineStr">
        <is>
          <t>易制爆危险化学品销售合规承诺与流程说明</t>
        </is>
      </c>
      <c r="D7" s="14" t="inlineStr">
        <is>
          <t>供应商（自述）+ 公安备案</t>
        </is>
      </c>
      <c r="E7" s="14" t="inlineStr">
        <is>
          <t>过氧化氢溶液（含量&gt;8%）属易制爆名录；卖方须查验购买凭证并在销售后 5 日内报备流向</t>
        </is>
      </c>
      <c r="F7" s="14" t="inlineStr">
        <is>
          <t>请书面说明：①销售前如何查验我方营业执照、经办人身份与用途；②销售后流向报备的责任部门与时限；③是否已接入属地公安易制爆信息系统。</t>
        </is>
      </c>
      <c r="G7" s="24" t="inlineStr">
        <is>
          <t>人工补充</t>
        </is>
      </c>
      <c r="H7" s="24" t="inlineStr"/>
      <c r="I7" s="14" t="inlineStr"/>
    </row>
    <row r="8">
      <c r="A8" s="25" t="inlineStr">
        <is>
          <t>R05</t>
        </is>
      </c>
      <c r="B8" s="27" t="inlineStr">
        <is>
          <t>P0</t>
        </is>
      </c>
      <c r="C8" s="16" t="inlineStr">
        <is>
          <t>现行版 SDS 与产品规格书</t>
        </is>
      </c>
      <c r="D8" s="16" t="inlineStr">
        <is>
          <t>供应商技术部门</t>
        </is>
      </c>
      <c r="E8" s="16" t="inlineStr">
        <is>
          <t>确定危险性分类、运输分类与储存条件；当前无 SDS</t>
        </is>
      </c>
      <c r="F8" s="16" t="inlineStr">
        <is>
          <t>请提供 GHS 中文版 SDS（含第 2、7、9、14 节）与 30% 产品规格书，说明稳定剂种类、不挥发物、铁含量等指标及执行标准号与版本。</t>
        </is>
      </c>
      <c r="G8" s="25" t="inlineStr">
        <is>
          <t>人工补充</t>
        </is>
      </c>
      <c r="H8" s="25" t="inlineStr"/>
      <c r="I8" s="16" t="inlineStr"/>
    </row>
    <row r="9">
      <c r="A9" s="24" t="inlineStr">
        <is>
          <t>R06</t>
        </is>
      </c>
      <c r="B9" s="27" t="inlineStr">
        <is>
          <t>P0</t>
        </is>
      </c>
      <c r="C9" s="14" t="inlineStr">
        <is>
          <t>自产供货声明（含生产装置归属）</t>
        </is>
      </c>
      <c r="D9" s="14" t="inlineStr">
        <is>
          <t>供应商（盖章）</t>
        </is>
      </c>
      <c r="E9" s="14" t="inlineStr">
        <is>
          <t>生产企业直销免经营许可的前提是「销售自产该品种」；链条断裂则本次交易资格不成立</t>
        </is>
      </c>
      <c r="F9" s="14" t="inlineStr">
        <is>
          <t>请出具声明：本次供货全部为该企业自产，产自安全生产许可证覆盖的装置；如为代工/关联工厂生产，请提供该工厂的许可证。</t>
        </is>
      </c>
      <c r="G9" s="24" t="inlineStr">
        <is>
          <t>人工补充</t>
        </is>
      </c>
      <c r="H9" s="24" t="inlineStr"/>
      <c r="I9" s="14" t="inlineStr"/>
    </row>
    <row r="10">
      <c r="A10" s="25" t="inlineStr">
        <is>
          <t>R03</t>
        </is>
      </c>
      <c r="B10" s="23" t="inlineStr">
        <is>
          <t>P1</t>
        </is>
      </c>
      <c r="C10" s="16" t="inlineStr">
        <is>
          <t>危险化学品登记证</t>
        </is>
      </c>
      <c r="D10" s="16" t="inlineStr">
        <is>
          <t>浙江省危险化学品登记办公室</t>
        </is>
      </c>
      <c r="E10" s="16" t="inlineStr">
        <is>
          <t>条例第六十七条要求的登记义务；生产品种须含过氧化氢溶液</t>
        </is>
      </c>
      <c r="F10" s="16" t="inlineStr">
        <is>
          <t>请提供危险化学品登记证，确认企业性质为生产企业、登记品种含过氧化氢溶液、有效期。</t>
        </is>
      </c>
      <c r="G10" s="25" t="inlineStr">
        <is>
          <t>人工补充</t>
        </is>
      </c>
      <c r="H10" s="25" t="inlineStr"/>
      <c r="I10" s="16" t="inlineStr"/>
    </row>
    <row r="11">
      <c r="A11" s="24" t="inlineStr">
        <is>
          <t>R08</t>
        </is>
      </c>
      <c r="B11" s="23" t="inlineStr">
        <is>
          <t>P1</t>
        </is>
      </c>
      <c r="C11" s="14" t="inlineStr">
        <is>
          <t>全国工业产品生产许可证（工业产品）核对</t>
        </is>
      </c>
      <c r="D11" s="14" t="inlineStr">
        <is>
          <t>省级市场监督管理部门</t>
        </is>
      </c>
      <c r="E11" s="14" t="inlineStr">
        <is>
          <t>官网存在该证，但目录与产品单元是否覆盖本次产品未知</t>
        </is>
      </c>
      <c r="F11" s="14" t="inlineStr">
        <is>
          <t>请提供该证，并说明其产品目录与产品单元，确认是否覆盖过氧化氢；若不覆盖请说明是否仍需办理。</t>
        </is>
      </c>
      <c r="G11" s="24" t="inlineStr">
        <is>
          <t>人工补充</t>
        </is>
      </c>
      <c r="H11" s="24" t="inlineStr"/>
      <c r="I11" s="14" t="inlineStr"/>
    </row>
    <row r="12">
      <c r="A12" s="25" t="inlineStr">
        <is>
          <t>R10</t>
        </is>
      </c>
      <c r="B12" s="23" t="inlineStr">
        <is>
          <t>P1</t>
        </is>
      </c>
      <c r="C12" s="16" t="inlineStr">
        <is>
          <t>承运人危险货物道路运输资质</t>
        </is>
      </c>
      <c r="D12" s="16" t="inlineStr">
        <is>
          <t>交通运输主管部门</t>
        </is>
      </c>
      <c r="E12" s="16" t="inlineStr">
        <is>
          <t>交付环节运输合规；若由我方自提则转为我方义务</t>
        </is>
      </c>
      <c r="F12" s="16" t="inlineStr">
        <is>
          <t>请提供承运人道路运输经营许可证（含第 5.1 类）、车辆道路运输证、驾驶员与押运员从业资格证；并注明是否由贵司安排运输。</t>
        </is>
      </c>
      <c r="G12" s="25" t="inlineStr">
        <is>
          <t>人工补充</t>
        </is>
      </c>
      <c r="H12" s="25" t="inlineStr"/>
      <c r="I12" s="16" t="inlineStr"/>
    </row>
    <row r="13">
      <c r="A13" s="24" t="inlineStr">
        <is>
          <t>A02</t>
        </is>
      </c>
      <c r="B13" s="23" t="inlineStr">
        <is>
          <t>P1</t>
        </is>
      </c>
      <c r="C13" s="14" t="inlineStr">
        <is>
          <t>危险化学品安全生产许可证</t>
        </is>
      </c>
      <c r="D13" s="14" t="inlineStr">
        <is>
          <t>浙江省应急管理厅</t>
        </is>
      </c>
      <c r="E13" s="14" t="inlineStr">
        <is>
          <t>证照表状态为「待核验」：这是本单最关键、且当前完全缺失的一张证。产能与浓度必须与本次采购的 30% 及供货量匹配；并须确认供货装置就在许可证覆盖的生产地址内。</t>
        </is>
      </c>
      <c r="F13" s="14" t="inlineStr">
        <is>
          <t>请提供加盖公章的复印件及编号，供与主管部门公示核对</t>
        </is>
      </c>
      <c r="G13" s="24" t="inlineStr">
        <is>
          <t>自动派生</t>
        </is>
      </c>
      <c r="H13" s="24" t="inlineStr"/>
      <c r="I13" s="14" t="inlineStr"/>
    </row>
    <row r="14">
      <c r="A14" s="25" t="inlineStr">
        <is>
          <t>R07</t>
        </is>
      </c>
      <c r="B14" s="29" t="inlineStr">
        <is>
          <t>P2</t>
        </is>
      </c>
      <c r="C14" s="16" t="inlineStr">
        <is>
          <t>ISO 9001 证书及认证机构公开查询截图</t>
        </is>
      </c>
      <c r="D14" s="16" t="inlineStr">
        <is>
          <t>认证机构</t>
        </is>
      </c>
      <c r="E14" s="16" t="inlineStr">
        <is>
          <t>官网仅展示影像，字段未读取；属参考项</t>
        </is>
      </c>
      <c r="F14" s="16" t="inlineStr">
        <is>
          <t>请提供证书编号、有效期与认证机构名称，便于在认证机构/认可委系统核验。</t>
        </is>
      </c>
      <c r="G14" s="25" t="inlineStr">
        <is>
          <t>人工补充</t>
        </is>
      </c>
      <c r="H14" s="25" t="inlineStr"/>
      <c r="I14" s="16" t="inlineStr"/>
    </row>
    <row r="15">
      <c r="A15" s="24" t="inlineStr">
        <is>
          <t>R09</t>
        </is>
      </c>
      <c r="B15" s="29" t="inlineStr">
        <is>
          <t>P2</t>
        </is>
      </c>
      <c r="C15" s="14" t="inlineStr">
        <is>
          <t>生产安全事故应急救援预案备案回执</t>
        </is>
      </c>
      <c r="D15" s="14" t="inlineStr">
        <is>
          <t>所在地应急管理部门</t>
        </is>
      </c>
      <c r="E15" s="14" t="inlineStr">
        <is>
          <t>企业整体合规项，准入素材</t>
        </is>
      </c>
      <c r="F15" s="14" t="inlineStr">
        <is>
          <t>请提供预案备案回执（非目录页）。</t>
        </is>
      </c>
      <c r="G15" s="24" t="inlineStr">
        <is>
          <t>人工补充</t>
        </is>
      </c>
      <c r="H15" s="24" t="inlineStr"/>
      <c r="I15" s="14" t="inlineStr"/>
    </row>
    <row r="17">
      <c r="A17" s="38" t="inlineStr">
        <is>
          <t>说明：本清单由证照表与监管要求自动派生 4 项（标注 AUTO），请与人工补充项合并去重。</t>
        </is>
      </c>
    </row>
  </sheetData>
  <autoFilter ref="A4:I15"/>
  <mergeCells count="3">
    <mergeCell ref="A1:I1"/>
    <mergeCell ref="A17:I17"/>
    <mergeCell ref="A2:I2"/>
  </mergeCells>
  <dataValidations count="1">
    <dataValidation sqref="H5:H120" showDropDown="0" showInputMessage="0" showErrorMessage="0" allowBlank="1" type="list">
      <formula1>"是,否,部分"</formula1>
    </dataValidation>
  </dataValidations>
  <pageMargins left="0.75" right="0.75" top="1" bottom="1" header="0.5" footer="0.5"/>
</worksheet>
</file>

<file path=xl/worksheets/sheet11.xml><?xml version="1.0" encoding="utf-8"?>
<worksheet xmlns="http://schemas.openxmlformats.org/spreadsheetml/2006/main">
  <sheetPr>
    <tabColor rgb="00B3402A"/>
    <outlinePr summaryBelow="1" summaryRight="1"/>
    <pageSetUpPr/>
  </sheetPr>
  <dimension ref="A1:C51"/>
  <sheetViews>
    <sheetView showGridLines="0" workbookViewId="0">
      <selection activeCell="A1" sqref="A1"/>
    </sheetView>
  </sheetViews>
  <sheetFormatPr baseColWidth="8" defaultRowHeight="15"/>
  <cols>
    <col width="40" customWidth="1" min="1" max="1"/>
    <col width="40" customWidth="1" min="2" max="2"/>
    <col width="40" customWidth="1" min="3" max="3"/>
  </cols>
  <sheetData>
    <row r="1" ht="30" customHeight="1">
      <c r="A1" s="1" t="inlineStr">
        <is>
          <t>10 发送给供应商的补充资料请求（草稿）</t>
        </is>
      </c>
      <c r="B1" s="2" t="n"/>
      <c r="C1" s="2" t="n"/>
    </row>
    <row r="2" ht="20" customHeight="1">
      <c r="A2" s="3" t="inlineStr">
        <is>
          <t>把索证清单转成对方能直接回复的邮件/公函；发送前替换占位符    ｜    基准日 2026-10-12</t>
        </is>
      </c>
      <c r="B2" s="4" t="n"/>
      <c r="C2" s="4" t="n"/>
    </row>
    <row r="4" ht="34" customHeight="1">
      <c r="A4" s="26" t="inlineStr">
        <is>
          <t>以下草稿可直接复制为邮件正文或改写为公函；方括号内为待填信息。发送前请确认收件对象与落款。</t>
        </is>
      </c>
    </row>
    <row r="5">
      <c r="A5" s="39" t="inlineStr">
        <is>
          <t>主题：[示例采购方] 供应商资质核验 · 过氧化氢 30% 首批采购资料补充请求（记录号 QC-H2O2-30-MX-20261012）
尊敬的杭州名鑫双氧水有限公司 销售/合规部：
我方计划向贵司采购【工业级过氧化氢溶液 30%，首批 30 吨】，用于我方【浆料氧化工艺】，不用于食品、不用于消毒用途。根据《危险化学品安全管理条例》《易制爆危险化学品治安管理办法》等规定，我方需在入库前完成供应商资质核验并建立档案。
经初步检索，贵司官网「相关证书」栏目公示了体系认证等证书，但【危险化学品安全生产许可证】未见公示，我方亦未能通过公开渠道确认。为避免误判，特向贵司请求补充以下资料（请以加盖公章的扫描件形式回复，或提供带二维码的电子证照）：
一、主体与许可（请在 3 个工作日内回复）
1. 营业执照副本；
2. 《危险化学品安全生产许可证》正副本，并请标注：许可范围是否包含「过氧化氢溶液[含量＞8%]」、许可产能、生产地址、有效期；
3. 《危险化学品登记证》；
4. 自产供货书面声明：本次供货为该企业自产，产自上述许可证覆盖的装置；如涉及代工或关联工厂生产，请一并提供对应装置的许可证；
5. 若贵司认为本次销售还应具备《危险化学品经营许可证》，请提供；若认为不需要，请书面说明依据。
二、产品资料（请在 3 个工作日内回复）
6. 现行版 GHS 中文 SDS（含第 2、7、9、14 节）及 30% 产品规格书（执行标准号与版本、稳定剂体系、关键指标）；
7. 最近一批 COA；
8. 产品等级声明：工业级，不用于食品与消毒用途。
三、易制爆合规（请在 5 个工作日内回复）
9. 贵司销售易制爆危险化学品时对我方购买凭证的查验方式；
10. 销售后向公安机关报送流向信息的责任部门与时限；
11. 是否接入属地公安易制爆信息系统，若有请提供操作说明。
四、运输（如由贵司安排运输）
12. 承运人的道路运输经营许可证（含 5.1 类）、车辆道路运输证、驾驶员与押运员从业资格证。
我方同时确认：我方【已完成/将在交货前完成】易制爆危险化学品购买流向报备，并向贵司提供营业执照、经办人身份证明与用途说明。
在收到第 1、2、4、5、6 项资料前，我方暂缓下达采购订单；如资料在核验中出现不一致，我们会主动与贵司沟通澄清，不会仅凭单份资料作出结论。
顺颂
商祺
[示例采购方] 采购部 / EHS
联系人：【姓名】　电话：【电话】　邮箱：【邮箱】
【日期】
附：我方核验要点（供贵司对照）
· 签约主体 = 开票主体 = 许可证持证主体 = 实际供货装置归属主体，四者需一致；
· 许可范围须覆盖「30%」这一浓度与本次供货量；
· 有效期须覆盖合同期与质保期。</t>
        </is>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sheetData>
  <mergeCells count="4">
    <mergeCell ref="A1:C1"/>
    <mergeCell ref="A4:C4"/>
    <mergeCell ref="A2:C2"/>
    <mergeCell ref="A5:C51"/>
  </mergeCells>
  <pageMargins left="0.75" right="0.75" top="1" bottom="1" header="0.5" footer="0.5"/>
</worksheet>
</file>

<file path=xl/worksheets/sheet12.xml><?xml version="1.0" encoding="utf-8"?>
<worksheet xmlns="http://schemas.openxmlformats.org/spreadsheetml/2006/main">
  <sheetPr>
    <tabColor rgb="00B3402A"/>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5" customWidth="1" min="1" max="1"/>
    <col width="9" customWidth="1" min="2" max="2"/>
    <col width="26" customWidth="1" min="3" max="3"/>
    <col width="52" customWidth="1" min="4" max="4"/>
    <col width="44" customWidth="1" min="5" max="5"/>
    <col width="48" customWidth="1" min="6" max="6"/>
  </cols>
  <sheetData>
    <row r="1" ht="30" customHeight="1">
      <c r="A1" s="1" t="inlineStr">
        <is>
          <t>11 风险与处置</t>
        </is>
      </c>
      <c r="B1" s="2" t="n"/>
      <c r="C1" s="2" t="n"/>
      <c r="D1" s="2" t="n"/>
      <c r="E1" s="2" t="n"/>
      <c r="F1" s="2" t="n"/>
    </row>
    <row r="2" ht="20" customHeight="1">
      <c r="A2" s="3" t="inlineStr">
        <is>
          <t>按「事实—后果—处置」写；每条必须有具体事实与对应动作    ｜    基准日 2026-10-12</t>
        </is>
      </c>
      <c r="B2" s="4" t="n"/>
      <c r="C2" s="4" t="n"/>
      <c r="D2" s="4" t="n"/>
      <c r="E2" s="4" t="n"/>
      <c r="F2" s="4" t="n"/>
    </row>
    <row r="4" ht="28" customHeight="1">
      <c r="A4" s="12" t="inlineStr">
        <is>
          <t>#</t>
        </is>
      </c>
      <c r="B4" s="12" t="inlineStr">
        <is>
          <t>风险等级</t>
        </is>
      </c>
      <c r="C4" s="12" t="inlineStr">
        <is>
          <t>风险点</t>
        </is>
      </c>
      <c r="D4" s="12" t="inlineStr">
        <is>
          <t>事实（已查到）</t>
        </is>
      </c>
      <c r="E4" s="12" t="inlineStr">
        <is>
          <t>可能后果</t>
        </is>
      </c>
      <c r="F4" s="12" t="inlineStr">
        <is>
          <t>处置动作 / 责任</t>
        </is>
      </c>
    </row>
    <row r="5">
      <c r="A5" s="24" t="n">
        <v>1</v>
      </c>
      <c r="B5" s="27" t="inlineStr">
        <is>
          <t>高</t>
        </is>
      </c>
      <c r="C5" s="14" t="inlineStr">
        <is>
          <t>核心生产许可缺失，本次交易资格未闭环</t>
        </is>
      </c>
      <c r="D5" s="14" t="inlineStr">
        <is>
          <t>未取得《危险化学品安全生产许可证》，公开渠道亦未能确认；浙江省 2024 年两份注销名单不含本公司，仅为弱证据。</t>
        </is>
      </c>
      <c r="E5" s="14" t="inlineStr">
        <is>
          <t>若供应商实际无权生产该品种，我方采购将成为「从未取得许可的主体购买危险化学品」，面临采购合法性与安全生产审计风险。</t>
        </is>
      </c>
      <c r="F5" s="14" t="inlineStr">
        <is>
          <t>R01 为放行前置条件：取得证书原件并完成省政务服务网核验后方可下单。</t>
        </is>
      </c>
    </row>
    <row r="6">
      <c r="A6" s="25" t="n">
        <v>2</v>
      </c>
      <c r="B6" s="27" t="inlineStr">
        <is>
          <t>高</t>
        </is>
      </c>
      <c r="C6" s="16" t="inlineStr">
        <is>
          <t>未取得 SDS，危险性分类与运输条件只能依据目录推定</t>
        </is>
      </c>
      <c r="D6" s="16" t="inlineStr">
        <is>
          <t>当前以《目录》第 903 项与《易制爆名录》6.1 项推定危险性；无 SDS 与规格书。</t>
        </is>
      </c>
      <c r="E6" s="16" t="inlineStr">
        <is>
          <t>储存条件、运输分类（UN/包装类）、应急处置方案可能失配；对装卸与应急人员构成风险。</t>
        </is>
      </c>
      <c r="F6" s="16" t="inlineStr">
        <is>
          <t>R05 为放行前置条件；到货前完成 SDS 与收货条件比对。</t>
        </is>
      </c>
    </row>
    <row r="7">
      <c r="A7" s="24" t="n">
        <v>3</v>
      </c>
      <c r="B7" s="27" t="inlineStr">
        <is>
          <t>高</t>
        </is>
      </c>
      <c r="C7" s="14" t="inlineStr">
        <is>
          <t>易制爆流向备案义务未落实</t>
        </is>
      </c>
      <c r="D7" s="14" t="inlineStr">
        <is>
          <t>过氧化氢溶液（含量&gt;8%）属易制爆名录；买卖双方均有查验与报备义务，我方备案流程尚未确认属地口径。</t>
        </is>
      </c>
      <c r="E7" s="14" t="inlineStr">
        <is>
          <t>未按 5 日内报备或台账不全，可能被公安机关责令整改并处罚。</t>
        </is>
      </c>
      <c r="F7" s="14" t="inlineStr">
        <is>
          <t>交货前与属地公安确认报备渠道，指定专人建立出入库台账并留存备案回执。</t>
        </is>
      </c>
    </row>
    <row r="8">
      <c r="A8" s="25" t="n">
        <v>4</v>
      </c>
      <c r="B8" s="23" t="inlineStr">
        <is>
          <t>中</t>
        </is>
      </c>
      <c r="C8" s="16" t="inlineStr">
        <is>
          <t>主体链条可能混同（关联工厂供货）</t>
        </is>
      </c>
      <c r="D8" s="16" t="inlineStr">
        <is>
          <t>供应商处于电化集团化工园区，存在关联工厂与代工可能；当前无自产声明。</t>
        </is>
      </c>
      <c r="E8" s="16" t="inlineStr">
        <is>
          <t>若实际供货方为另一装置或另一主体，则原有许可证不覆盖，等同无证采购。</t>
        </is>
      </c>
      <c r="F8" s="16" t="inlineStr">
        <is>
          <t>取得 R06 自产供货声明；签约与开票主体一致；送货单载明生产批号与生产装置。</t>
        </is>
      </c>
    </row>
    <row r="9">
      <c r="A9" s="24" t="n">
        <v>5</v>
      </c>
      <c r="B9" s="23" t="inlineStr">
        <is>
          <t>中</t>
        </is>
      </c>
      <c r="C9" s="14" t="inlineStr">
        <is>
          <t>注册地址与官网地址门牌差异</t>
        </is>
      </c>
      <c r="D9" s="14" t="inlineStr">
        <is>
          <t>公告住所 9936-2 号；官网 9936 号。</t>
        </is>
      </c>
      <c r="E9" s="14" t="inlineStr">
        <is>
          <t>地址不符可能导致许可证与合同主体地址对不上，影响发票与合规归档。</t>
        </is>
      </c>
      <c r="F9" s="14" t="inlineStr">
        <is>
          <t>以营业执照与许可证地址复核；若为厂区/注册地区别，取得书面说明。</t>
        </is>
      </c>
    </row>
    <row r="10">
      <c r="A10" s="25" t="n">
        <v>6</v>
      </c>
      <c r="B10" s="23" t="inlineStr">
        <is>
          <t>中</t>
        </is>
      </c>
      <c r="C10" s="16" t="inlineStr">
        <is>
          <t>食品级/消毒剂级资质被误当作工业级供货资格</t>
        </is>
      </c>
      <c r="D10" s="16" t="inlineStr">
        <is>
          <t>供应商官网四类产品与两类专项资质并存。</t>
        </is>
      </c>
      <c r="E10" s="16" t="inlineStr">
        <is>
          <t>采购等级与合同用途不明确时，可能出现「以消毒剂级/食品级价格供货工业级」或反向的等级错配。</t>
        </is>
      </c>
      <c r="F10" s="16" t="inlineStr">
        <is>
          <t>合同写明等级与执行标准，并要求供应商在送货单上标注等级。</t>
        </is>
      </c>
    </row>
    <row r="11">
      <c r="A11" s="24" t="n">
        <v>7</v>
      </c>
      <c r="B11" s="29" t="inlineStr">
        <is>
          <t>低</t>
        </is>
      </c>
      <c r="C11" s="14" t="inlineStr">
        <is>
          <t>体系认证被当作行政许可</t>
        </is>
      </c>
      <c r="D11" s="14" t="inlineStr">
        <is>
          <t>官网公示多项 ISO 与荣誉证书。</t>
        </is>
      </c>
      <c r="E11" s="14" t="inlineStr">
        <is>
          <t>错误地把 ISO 当用途资格，可能掩盖行政许可缺口。</t>
        </is>
      </c>
      <c r="F11" s="14" t="inlineStr">
        <is>
          <t>台账中将体系认证标注为「参考项/不构成许可依据」。</t>
        </is>
      </c>
    </row>
    <row r="12">
      <c r="A12" s="25" t="n">
        <v>8</v>
      </c>
      <c r="B12" s="29" t="inlineStr">
        <is>
          <t>低</t>
        </is>
      </c>
      <c r="C12" s="16" t="inlineStr">
        <is>
          <t>「未检索到公开信息」被误读为「该主体没有取得证照」</t>
        </is>
      </c>
      <c r="D12" s="16" t="inlineStr">
        <is>
          <t>本单多张证照处于「待核验/未发现公开记录」。</t>
        </is>
      </c>
      <c r="E12" s="16" t="inlineStr">
        <is>
          <t>若在内部沟通中写成「没有证」，可能引发不当的供应商关系问题与合规误判。</t>
        </is>
      </c>
      <c r="F12" s="16" t="inlineStr">
        <is>
          <t>统一表述为「本次未取得公开记录，需索证」；见本报告第 11 节表述纪律。</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tabColor rgb="00A9761B"/>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44" customWidth="1" min="3" max="3"/>
    <col width="52" customWidth="1" min="4" max="4"/>
    <col width="34" customWidth="1" min="5" max="5"/>
    <col width="12" customWidth="1" min="6" max="6"/>
    <col width="12" customWidth="1" min="7" max="7"/>
  </cols>
  <sheetData>
    <row r="1" ht="30" customHeight="1">
      <c r="A1" s="1" t="inlineStr">
        <is>
          <t>12 仍需人工核验的事项（无法自动化）</t>
        </is>
      </c>
      <c r="B1" s="2" t="n"/>
      <c r="C1" s="2" t="n"/>
      <c r="D1" s="2" t="n"/>
      <c r="E1" s="2" t="n"/>
      <c r="F1" s="2" t="n"/>
      <c r="G1" s="2" t="n"/>
    </row>
    <row r="2" ht="20" customHeight="1">
      <c r="A2" s="3" t="inlineStr">
        <is>
          <t>公开检索与 OCR 都做不到的事，必须写清「怎么核、谁去核、何时核完」    ｜    基准日 2026-10-12</t>
        </is>
      </c>
      <c r="B2" s="4" t="n"/>
      <c r="C2" s="4" t="n"/>
      <c r="D2" s="4" t="n"/>
      <c r="E2" s="4" t="n"/>
      <c r="F2" s="4" t="n"/>
      <c r="G2" s="4" t="n"/>
    </row>
    <row r="4" ht="28" customHeight="1">
      <c r="A4" s="12" t="inlineStr">
        <is>
          <t>#</t>
        </is>
      </c>
      <c r="B4" s="12" t="inlineStr">
        <is>
          <t>事项</t>
        </is>
      </c>
      <c r="C4" s="12" t="inlineStr">
        <is>
          <t>为什么必须人工</t>
        </is>
      </c>
      <c r="D4" s="12" t="inlineStr">
        <is>
          <t>核实方法</t>
        </is>
      </c>
      <c r="E4" s="12" t="inlineStr">
        <is>
          <t>需要的证据</t>
        </is>
      </c>
      <c r="F4" s="12" t="inlineStr">
        <is>
          <t>责任人</t>
        </is>
      </c>
      <c r="G4" s="12" t="inlineStr">
        <is>
          <t>完成日期</t>
        </is>
      </c>
    </row>
    <row r="5">
      <c r="A5" s="24" t="n">
        <v>1</v>
      </c>
      <c r="B5" s="14" t="inlineStr">
        <is>
          <t>在浙江省政务服务网按证书编号核验电子证照</t>
        </is>
      </c>
      <c r="C5" s="14" t="inlineStr">
        <is>
          <t>省应急管理厅网站不提供面向公众的逐条许可证查询，无法自动化比对</t>
        </is>
      </c>
      <c r="D5" s="14" t="inlineStr">
        <is>
          <t>要求供应商提供带二维码的电子证照，或由我方在省政务服务网/政务热线按编号查询；截图存档并注明查询时间与操作人</t>
        </is>
      </c>
      <c r="E5" s="14" t="inlineStr">
        <is>
          <t>查询截图 + 证书原件照片</t>
        </is>
      </c>
      <c r="F5" s="24" t="inlineStr">
        <is>
          <t>采购/合规</t>
        </is>
      </c>
      <c r="G5" s="24" t="inlineStr"/>
    </row>
    <row r="6">
      <c r="A6" s="25" t="n">
        <v>2</v>
      </c>
      <c r="B6" s="16" t="inlineStr">
        <is>
          <t>许可证生产地址与供货装置一致性</t>
        </is>
      </c>
      <c r="C6" s="16" t="inlineStr">
        <is>
          <t>许可按装置与场地核发，场地不符即视为无证生产</t>
        </is>
      </c>
      <c r="D6" s="16" t="inlineStr">
        <is>
          <t>比对许可证生产地址、营业执照住所、实际送货地点；必要时现场核实卸货点与装置关系</t>
        </is>
      </c>
      <c r="E6" s="16" t="inlineStr">
        <is>
          <t>地址比对表 + 现场照片</t>
        </is>
      </c>
      <c r="F6" s="25" t="inlineStr">
        <is>
          <t>采购 + EHS</t>
        </is>
      </c>
      <c r="G6" s="25" t="inlineStr"/>
    </row>
    <row r="7">
      <c r="A7" s="24" t="n">
        <v>3</v>
      </c>
      <c r="B7" s="14" t="inlineStr">
        <is>
          <t>许可范围中浓度与产能的逐字比对</t>
        </is>
      </c>
      <c r="C7" s="14" t="inlineStr">
        <is>
          <t>许可证常按「过氧化氢溶液[含量＞8%]」笼统表述并附产能，需确认 30% 在其内</t>
        </is>
      </c>
      <c r="D7" s="14" t="inlineStr">
        <is>
          <t>逐条抄录许可范围与产能，与本次采购浓度、数量做矩阵比对；异常交 EHS 复核</t>
        </is>
      </c>
      <c r="E7" s="14" t="inlineStr">
        <is>
          <t>范围比对矩阵</t>
        </is>
      </c>
      <c r="F7" s="24" t="inlineStr">
        <is>
          <t>EHS</t>
        </is>
      </c>
      <c r="G7" s="24" t="inlineStr"/>
    </row>
    <row r="8">
      <c r="A8" s="25" t="n">
        <v>4</v>
      </c>
      <c r="B8" s="16" t="inlineStr">
        <is>
          <t>我方是否触发「危险化学品安全使用许可」</t>
        </is>
      </c>
      <c r="C8" s="16" t="inlineStr">
        <is>
          <t>依赖「适用行业目录」与「使用量数量标准」两份文件，且需按我方行业与用量判定</t>
        </is>
      </c>
      <c r="D8" s="16" t="inlineStr">
        <is>
          <t>查现行行业目录与数量标准原文，对照我方行业分类与年用量；结论书面留档（含不适用理由）</t>
        </is>
      </c>
      <c r="E8" s="16" t="inlineStr">
        <is>
          <t>判定说明 + 目录/数量标准原文</t>
        </is>
      </c>
      <c r="F8" s="25" t="inlineStr">
        <is>
          <t>合规</t>
        </is>
      </c>
      <c r="G8" s="25" t="inlineStr"/>
    </row>
    <row r="9">
      <c r="A9" s="24" t="n">
        <v>5</v>
      </c>
      <c r="B9" s="14" t="inlineStr">
        <is>
          <t>属地公安机关易制爆流向报备的操作口径</t>
        </is>
      </c>
      <c r="C9" s="14" t="inlineStr">
        <is>
          <t>各地系统与时限不同（部分省市要求实时录入）</t>
        </is>
      </c>
      <c r="D9" s="14" t="inlineStr">
        <is>
          <t>向属地派出所/治安管理大队确认报备渠道、时限与所需材料，留存沟通记录</t>
        </is>
      </c>
      <c r="E9" s="14" t="inlineStr">
        <is>
          <t>沟通记录 + 备案回执样例</t>
        </is>
      </c>
      <c r="F9" s="24" t="inlineStr">
        <is>
          <t>EHS</t>
        </is>
      </c>
      <c r="G9" s="24" t="inlineStr"/>
    </row>
    <row r="10">
      <c r="A10" s="25" t="n">
        <v>6</v>
      </c>
      <c r="B10" s="16" t="inlineStr">
        <is>
          <t>GB 18218 临界量与重大危险源判定</t>
        </is>
      </c>
      <c r="C10" s="16" t="inlineStr">
        <is>
          <t>需标准原文表1/表2 逐项比对，不能估算</t>
        </is>
      </c>
      <c r="D10" s="16" t="inlineStr">
        <is>
          <t>取得标准原文，按储存单元最大存在量计算；由具备资质的评价机构出具辨识结论</t>
        </is>
      </c>
      <c r="E10" s="16" t="inlineStr">
        <is>
          <t>辨识报告</t>
        </is>
      </c>
      <c r="F10" s="25" t="inlineStr">
        <is>
          <t>EHS</t>
        </is>
      </c>
      <c r="G10" s="25" t="inlineStr"/>
    </row>
    <row r="11">
      <c r="A11" s="24" t="n">
        <v>7</v>
      </c>
      <c r="B11" s="14" t="inlineStr">
        <is>
          <t>运输环节 UN 编号与包装类别核对</t>
        </is>
      </c>
      <c r="C11" s="14" t="inlineStr">
        <is>
          <t>SDS 未到位，且道路运输分类以 SDS 第 14 节为准</t>
        </is>
      </c>
      <c r="D11" s="14" t="inlineStr">
        <is>
          <t>SDS 到位后核对第 14 节；与承运人危货运输资质范围比对</t>
        </is>
      </c>
      <c r="E11" s="14" t="inlineStr">
        <is>
          <t>SDS 第14节 + 承运资质</t>
        </is>
      </c>
      <c r="F11" s="24" t="inlineStr">
        <is>
          <t>采购</t>
        </is>
      </c>
      <c r="G11" s="24" t="inlineStr"/>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tabColor rgb="006B7A72"/>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46" customWidth="1" min="3" max="3"/>
    <col width="26" customWidth="1" min="4" max="4"/>
    <col width="12" customWidth="1" min="5" max="5"/>
    <col width="52" customWidth="1" min="6" max="6"/>
    <col width="60" customWidth="1" min="7" max="7"/>
  </cols>
  <sheetData>
    <row r="1" ht="30" customHeight="1">
      <c r="A1" s="1" t="inlineStr">
        <is>
          <t>13 证据登记（E01…En）</t>
        </is>
      </c>
      <c r="B1" s="2" t="n"/>
      <c r="C1" s="2" t="n"/>
      <c r="D1" s="2" t="n"/>
      <c r="E1" s="2" t="n"/>
      <c r="F1" s="2" t="n"/>
      <c r="G1" s="2" t="n"/>
    </row>
    <row r="2" ht="20" customHeight="1">
      <c r="A2" s="3" t="inlineStr">
        <is>
          <t>每条结论均可回溯到具体文号/条款/页面；没有登记的来源不算证据    ｜    基准日 2026-10-12</t>
        </is>
      </c>
      <c r="B2" s="4" t="n"/>
      <c r="C2" s="4" t="n"/>
      <c r="D2" s="4" t="n"/>
      <c r="E2" s="4" t="n"/>
      <c r="F2" s="4" t="n"/>
      <c r="G2" s="4" t="n"/>
    </row>
    <row r="4" ht="28" customHeight="1">
      <c r="A4" s="12" t="inlineStr">
        <is>
          <t>证据ID</t>
        </is>
      </c>
      <c r="B4" s="12" t="inlineStr">
        <is>
          <t>类型</t>
        </is>
      </c>
      <c r="C4" s="12" t="inlineStr">
        <is>
          <t>文件/页面标题</t>
        </is>
      </c>
      <c r="D4" s="12" t="inlineStr">
        <is>
          <t>发布机构</t>
        </is>
      </c>
      <c r="E4" s="12" t="inlineStr">
        <is>
          <t>日期</t>
        </is>
      </c>
      <c r="F4" s="12" t="inlineStr">
        <is>
          <t>URL</t>
        </is>
      </c>
      <c r="G4" s="12" t="inlineStr">
        <is>
          <t>支撑了什么（具体到条款/字段）</t>
        </is>
      </c>
    </row>
    <row r="5">
      <c r="A5" s="24" t="inlineStr">
        <is>
          <t>E01</t>
        </is>
      </c>
      <c r="B5" s="14" t="inlineStr">
        <is>
          <t>行政法规</t>
        </is>
      </c>
      <c r="C5" s="14" t="inlineStr">
        <is>
          <t>危险化学品安全管理条例（国务院令第591号，2013年修订）</t>
        </is>
      </c>
      <c r="D5" s="14" t="inlineStr">
        <is>
          <t>国务院 / 应急管理部</t>
        </is>
      </c>
      <c r="E5" s="24" t="inlineStr">
        <is>
          <t>2011-03-11（2013-12-07修订）</t>
        </is>
      </c>
      <c r="F5" s="31" t="inlineStr">
        <is>
          <t>https://www.mem.gov.cn/fw/flfgbz/fg/201709/P020220609517465250797.pdf</t>
        </is>
      </c>
      <c r="G5" s="14" t="inlineStr">
        <is>
          <t>第三条危险化学品定义；第二十条生产许可；第二十九/三十三条使用许可与经营许可；第三十四/三十八/三十九条购买与凭证；第四十条、四十一条剧毒/易制爆销售购买与 5 日内流向报备；第六十七条危险化学品登记</t>
        </is>
      </c>
    </row>
    <row r="6">
      <c r="A6" s="25" t="inlineStr">
        <is>
          <t>E02</t>
        </is>
      </c>
      <c r="B6" s="16" t="inlineStr">
        <is>
          <t>部门规章</t>
        </is>
      </c>
      <c r="C6" s="16" t="inlineStr">
        <is>
          <t>危险化学品目录（2015版）</t>
        </is>
      </c>
      <c r="D6" s="16" t="inlineStr">
        <is>
          <t>安监总局等10部门（公告2015年第5号）</t>
        </is>
      </c>
      <c r="E6" s="25" t="inlineStr">
        <is>
          <t>2015-02-27</t>
        </is>
      </c>
      <c r="F6" s="33" t="inlineStr">
        <is>
          <t>https://ehs.shanghaitech.edu.cn/2020/0918/c7817a55838/page.htm</t>
        </is>
      </c>
      <c r="G6" s="16" t="inlineStr">
        <is>
          <t>序号 903「过氧化氢溶液[含量＞8%]」CAS 7722-84-1；剧毒标注栏；危险化学品确定原则与混合物 70% 规则</t>
        </is>
      </c>
    </row>
    <row r="7">
      <c r="A7" s="24" t="inlineStr">
        <is>
          <t>E03</t>
        </is>
      </c>
      <c r="B7" s="14" t="inlineStr">
        <is>
          <t>规范性文件</t>
        </is>
      </c>
      <c r="C7" s="14" t="inlineStr">
        <is>
          <t>危险化学品目录（2015版）实施指南（试行）（安监总厅管三〔2015〕80号）</t>
        </is>
      </c>
      <c r="D7" s="14" t="inlineStr">
        <is>
          <t>国家安全监管总局办公厅</t>
        </is>
      </c>
      <c r="E7" s="24" t="inlineStr">
        <is>
          <t>2015-08-19</t>
        </is>
      </c>
      <c r="F7" s="31" t="inlineStr">
        <is>
          <t>https://www.miit.gov.cn/ssqqhxptyflhbqzdgz/fgzc/zywj/art/2023/art_7e390e630bea4633af522d44e94dd3b7.html</t>
        </is>
      </c>
      <c r="G7" s="14" t="inlineStr">
        <is>
          <t>第二条 CAS 相同即同一危险化学品；第三条改变物质状态后销售须经营许可；第五条混合物≥70% 视同危化品；第六条&lt;70% 需鉴定分类</t>
        </is>
      </c>
    </row>
    <row r="8">
      <c r="A8" s="25" t="inlineStr">
        <is>
          <t>E04</t>
        </is>
      </c>
      <c r="B8" s="16" t="inlineStr">
        <is>
          <t>上市公司公告</t>
        </is>
      </c>
      <c r="C8" s="16" t="inlineStr">
        <is>
          <t>杭州格林达电子材料股份有限公司关于新增2026年度日常关联交易预计的公告（编号2026-026）</t>
        </is>
      </c>
      <c r="D8" s="16" t="inlineStr">
        <is>
          <t>上海证券报 / 上交所信披</t>
        </is>
      </c>
      <c r="E8" s="25" t="inlineStr">
        <is>
          <t>2026-07-18</t>
        </is>
      </c>
      <c r="F8" s="33" t="inlineStr">
        <is>
          <t>https://paper.cnstock.com/html/2026-07/18/content_2245857.htm</t>
        </is>
      </c>
      <c r="G8" s="16" t="inlineStr">
        <is>
          <t>供应商统一社会信用代码 91330100668020191W、住所、法定代表人胡卫平、注册资本 3869 万、成立时间 2007-11-07、经营范围、控股股东关系</t>
        </is>
      </c>
    </row>
    <row r="9">
      <c r="A9" s="24" t="inlineStr">
        <is>
          <t>E05</t>
        </is>
      </c>
      <c r="B9" s="14" t="inlineStr">
        <is>
          <t>部门公告</t>
        </is>
      </c>
      <c r="C9" s="14" t="inlineStr">
        <is>
          <t>易制爆危险化学品名录（2017年版）（公安部 2017-05-11 公告）</t>
        </is>
      </c>
      <c r="D9" s="14" t="inlineStr">
        <is>
          <t>公安部</t>
        </is>
      </c>
      <c r="E9" s="24" t="inlineStr">
        <is>
          <t>2017-05-11</t>
        </is>
      </c>
      <c r="F9" s="31" t="inlineStr">
        <is>
          <t>https://csrcare.com/master%20law/%E6%B3%95%E8%A7%84/%E6%B3%95%E8%A7%84%E6%80%A7%E6%96%87%E4%BB%B6GW/GW1000-000806-2017%E6%98%93%E5%88%B6%E7%88%86%E5%8D%B1%E9%99%A9%E5%8C%96%E5%AD%A6%E5%93%81%E5%90%8D%E5%BD%95(2017%E5%B9%B4%E7%89%88).pdf</t>
        </is>
      </c>
      <c r="G9" s="14" t="inlineStr">
        <is>
          <t>第6类第6.1项：过氧化氢溶液（含量＞8%），CAS 7722-84-1，并按浓度分氧化性液体类别1/2/3</t>
        </is>
      </c>
    </row>
    <row r="10">
      <c r="A10" s="25" t="inlineStr">
        <is>
          <t>E06</t>
        </is>
      </c>
      <c r="B10" s="16" t="inlineStr">
        <is>
          <t>部门规章</t>
        </is>
      </c>
      <c r="C10" s="16" t="inlineStr">
        <is>
          <t>易制爆危险化学品治安管理办法（公安部令第154号）</t>
        </is>
      </c>
      <c r="D10" s="16" t="inlineStr">
        <is>
          <t>公安部</t>
        </is>
      </c>
      <c r="E10" s="25" t="inlineStr">
        <is>
          <t>2019-08-10 施行</t>
        </is>
      </c>
      <c r="F10" s="33" t="inlineStr">
        <is>
          <t>https://www.mps.gov.cn/n6557558/c6622046/content.html</t>
        </is>
      </c>
      <c r="G10" s="16" t="inlineStr">
        <is>
          <t>购买凭证查验、流向信息报备、禁止交寄快递（第二十一条）、治安保卫与台账要求（原文本条号需以官方全文复核）</t>
        </is>
      </c>
    </row>
    <row r="11">
      <c r="A11" s="24" t="inlineStr">
        <is>
          <t>E07</t>
        </is>
      </c>
      <c r="B11" s="14" t="inlineStr">
        <is>
          <t>部门规章</t>
        </is>
      </c>
      <c r="C11" s="14" t="inlineStr">
        <is>
          <t>危险化学品安全使用许可证实施办法（原安监总局令第57号，2015/2017 修正）</t>
        </is>
      </c>
      <c r="D11" s="14" t="inlineStr">
        <is>
          <t>国家安全生产监督管理总局</t>
        </is>
      </c>
      <c r="E11" s="24" t="inlineStr">
        <is>
          <t>2013-05-01 施行</t>
        </is>
      </c>
      <c r="F11" s="31" t="inlineStr">
        <is>
          <t>http://www.dxzc.gov.cn/jc_dxq/365/387/content_24928.html</t>
        </is>
      </c>
      <c r="G11" s="14" t="inlineStr">
        <is>
          <t>第二条适用范围：列入安全使用许可适用行业目录、使用危险化学品从事生产并达到使用量数量标准的化工企业；第三条应取得安全使用许可证</t>
        </is>
      </c>
    </row>
    <row r="12">
      <c r="A12" s="25" t="inlineStr">
        <is>
          <t>E08</t>
        </is>
      </c>
      <c r="B12" s="16" t="inlineStr">
        <is>
          <t>部门规章</t>
        </is>
      </c>
      <c r="C12" s="16" t="inlineStr">
        <is>
          <t>危险化学品生产企业安全生产许可证实施办法（原安监总局令第41号）</t>
        </is>
      </c>
      <c r="D12" s="16" t="inlineStr">
        <is>
          <t>国家安全生产监督管理总局</t>
        </is>
      </c>
      <c r="E12" s="25" t="inlineStr">
        <is>
          <t>—</t>
        </is>
      </c>
      <c r="F12" s="33" t="inlineStr">
        <is>
          <t>https://yjt.zj.gov.cn/</t>
        </is>
      </c>
      <c r="G12" s="16" t="inlineStr">
        <is>
          <t>生产企业安全生产许可的发证条件与证书要素（详见省实施细则）</t>
        </is>
      </c>
    </row>
    <row r="13">
      <c r="A13" s="24" t="inlineStr">
        <is>
          <t>E09</t>
        </is>
      </c>
      <c r="B13" s="14" t="inlineStr">
        <is>
          <t>地方细则</t>
        </is>
      </c>
      <c r="C13" s="14" t="inlineStr">
        <is>
          <t>浙江省危险化学品生产企业安全生产许可证实施细则</t>
        </is>
      </c>
      <c r="D13" s="14" t="inlineStr">
        <is>
          <t>浙江省应急管理厅</t>
        </is>
      </c>
      <c r="E13" s="24" t="inlineStr">
        <is>
          <t>2024-12</t>
        </is>
      </c>
      <c r="F13" s="31" t="inlineStr">
        <is>
          <t>https://yjj.sx.gov.cn/art/2024/12/4/art_1229558497_1906939.html</t>
        </is>
      </c>
      <c r="G13" s="14" t="inlineStr">
        <is>
          <t>浙江省发证程序、证书样本与许可范围表述口径</t>
        </is>
      </c>
    </row>
    <row r="14">
      <c r="A14" s="25" t="inlineStr">
        <is>
          <t>E10</t>
        </is>
      </c>
      <c r="B14" s="16" t="inlineStr">
        <is>
          <t>部门规章</t>
        </is>
      </c>
      <c r="C14" s="16" t="inlineStr">
        <is>
          <t>危险化学品登记管理办法（原安监总局令第53号）</t>
        </is>
      </c>
      <c r="D14" s="16" t="inlineStr">
        <is>
          <t>国家安全生产监督管理总局</t>
        </is>
      </c>
      <c r="E14" s="25" t="inlineStr">
        <is>
          <t>2012-08-01 施行</t>
        </is>
      </c>
      <c r="F14" s="33" t="inlineStr">
        <is>
          <t>https://faolex.fao.org/docs/pdf/chn148048.pdf</t>
        </is>
      </c>
      <c r="G14" s="16" t="inlineStr">
        <is>
          <t>登记证正副本载明事项：证书编号、企业名称、注册地址、企业性质、登记品种、有效期、发证机关、发证日期</t>
        </is>
      </c>
    </row>
    <row r="15">
      <c r="A15" s="24" t="inlineStr">
        <is>
          <t>E11</t>
        </is>
      </c>
      <c r="B15" s="14" t="inlineStr">
        <is>
          <t>行政法规</t>
        </is>
      </c>
      <c r="C15" s="14" t="inlineStr">
        <is>
          <t>易制毒化学品管理条例（国务院令第445号）及所附品种目录（含2021年调整）</t>
        </is>
      </c>
      <c r="D15" s="14" t="inlineStr">
        <is>
          <t>国务院 / 公安部等</t>
        </is>
      </c>
      <c r="E15" s="24" t="inlineStr">
        <is>
          <t>2005-11-01 施行</t>
        </is>
      </c>
      <c r="F15" s="31" t="inlineStr">
        <is>
          <t>https://www.mps.gov.cn/</t>
        </is>
      </c>
      <c r="G15" s="14" t="inlineStr">
        <is>
          <t>易制毒分类与品种目录；本单中过氧化氢是否列名—未完成逐条比对</t>
        </is>
      </c>
    </row>
    <row r="16">
      <c r="A16" s="25" t="inlineStr">
        <is>
          <t>E12</t>
        </is>
      </c>
      <c r="B16" s="16" t="inlineStr">
        <is>
          <t>地方规章</t>
        </is>
      </c>
      <c r="C16" s="16" t="inlineStr">
        <is>
          <t>上海市危险化学品安全管理办法（沪府令第44号，2023年修正）</t>
        </is>
      </c>
      <c r="D16" s="16" t="inlineStr">
        <is>
          <t>上海市人民政府</t>
        </is>
      </c>
      <c r="E16" s="25" t="inlineStr">
        <is>
          <t>2023-06-15 修正</t>
        </is>
      </c>
      <c r="F16" s="33" t="inlineStr">
        <is>
          <t>https://www.shanghai.gov.cn/xxzfgzwj/20230714/bb4d7f393a07460dba9a6ca6952808b5.html</t>
        </is>
      </c>
      <c r="G16" s="16" t="inlineStr">
        <is>
          <t>省级层面更严要求示例：易制爆流向信息实时录入公安系统、储存与出入库信息化、应急预案演练频次（作为地方差异提示，非本单适用法规）</t>
        </is>
      </c>
    </row>
    <row r="17">
      <c r="A17" s="24" t="inlineStr">
        <is>
          <t>E13</t>
        </is>
      </c>
      <c r="B17" s="14" t="inlineStr">
        <is>
          <t>监管信息公开</t>
        </is>
      </c>
      <c r="C17" s="14" t="inlineStr">
        <is>
          <t>浙江省应急管理厅关于注销精工油墨（杭州）有限公司等29家企业危险化学品安全生产许可证的通知（附 29 家企业逐条清单）</t>
        </is>
      </c>
      <c r="D17" s="14" t="inlineStr">
        <is>
          <t>浙江省应急管理厅</t>
        </is>
      </c>
      <c r="E17" s="24" t="inlineStr">
        <is>
          <t>2024-01-31</t>
        </is>
      </c>
      <c r="F17" s="31" t="inlineStr">
        <is>
          <t>https://yjt.zj.gov.cn/art/2024/1/31/art_1228991502_59143559.html</t>
        </is>
      </c>
      <c r="G17" s="14" t="inlineStr">
        <is>
          <t>核对本公司是否在注销名单中—不在；同时可观察许可证编号格式为「（浙）WH安许证字〔年〕编号」</t>
        </is>
      </c>
    </row>
    <row r="18">
      <c r="A18" s="25" t="inlineStr">
        <is>
          <t>E14</t>
        </is>
      </c>
      <c r="B18" s="16" t="inlineStr">
        <is>
          <t>企业官网</t>
        </is>
      </c>
      <c r="C18" s="16" t="inlineStr">
        <is>
          <t>杭州名鑫双氧水有限公司官网 · 关于我们 / 相关证书 / 产品中心</t>
        </is>
      </c>
      <c r="D18" s="16" t="inlineStr">
        <is>
          <t>杭州名鑫双氧水有限公司</t>
        </is>
      </c>
      <c r="E18" s="25" t="inlineStr">
        <is>
          <t>访问于 2026-10-12</t>
        </is>
      </c>
      <c r="F18" s="33" t="inlineStr">
        <is>
          <t>http://www.mxsys.cn/zhengshu.html</t>
        </is>
      </c>
      <c r="G18" s="16" t="inlineStr">
        <is>
          <t>三套双氧水生产线、年设计产能约 43 万吨、四类产品；证书栏目公示 11 项证书影像（体系认证、营业执照、全国工业生产许可证、食品生产许可、消毒产品生产企业卫生许可、荣誉等）</t>
        </is>
      </c>
    </row>
    <row r="19">
      <c r="A19" s="24" t="inlineStr">
        <is>
          <t>E15</t>
        </is>
      </c>
      <c r="B19" s="14" t="inlineStr">
        <is>
          <t>国家标准</t>
        </is>
      </c>
      <c r="C19" s="14" t="inlineStr">
        <is>
          <t>危险化学品重大危险源辨识 GB 18218-2018</t>
        </is>
      </c>
      <c r="D19" s="14" t="inlineStr">
        <is>
          <t>国家市场监督管理总局、国家标准化管理委员会</t>
        </is>
      </c>
      <c r="E19" s="24" t="inlineStr">
        <is>
          <t>2019-03-01 实施</t>
        </is>
      </c>
      <c r="F19" s="31" t="inlineStr">
        <is>
          <t>https://openstd.samr.gov.cn/bzgk/std/newGbInfo?hcno=E976F49B263D7579CCABD419B1E40225</t>
        </is>
      </c>
      <c r="G19" s="14" t="inlineStr">
        <is>
          <t>重大危险源临界量与辨识方法；本次未取得表1/表2 原文数值，判定挂起</t>
        </is>
      </c>
    </row>
    <row r="20">
      <c r="A20" s="25" t="inlineStr">
        <is>
          <t>E16</t>
        </is>
      </c>
      <c r="B20" s="16" t="inlineStr">
        <is>
          <t>规范性文件</t>
        </is>
      </c>
      <c r="C20" s="16" t="inlineStr">
        <is>
          <t>浙江省应急管理厅关于注销杭州萧山医药化工有限公司等13家企业危险化学品安全生产许可证的通知</t>
        </is>
      </c>
      <c r="D20" s="16" t="inlineStr">
        <is>
          <t>浙江省应急管理厅</t>
        </is>
      </c>
      <c r="E20" s="25" t="inlineStr">
        <is>
          <t>2024-04-17</t>
        </is>
      </c>
      <c r="F20" s="33" t="inlineStr">
        <is>
          <t>https://yjt.zj.gov.cn/art/2024/4/17/art_1228991502_59148015.html</t>
        </is>
      </c>
      <c r="G20" s="16" t="inlineStr">
        <is>
          <t>第二份注销名单（未取得附件逐条核对，仅核标题主体范围）—辅助弱证据</t>
        </is>
      </c>
    </row>
  </sheetData>
  <mergeCells count="2">
    <mergeCell ref="A2:G2"/>
    <mergeCell ref="A1:G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s>
  <pageMargins left="0.75" right="0.75" top="1" bottom="1" header="0.5" footer="0.5"/>
</worksheet>
</file>

<file path=xl/worksheets/sheet15.xml><?xml version="1.0" encoding="utf-8"?>
<worksheet xmlns="http://schemas.openxmlformats.org/spreadsheetml/2006/main">
  <sheetPr>
    <tabColor rgb="006B7A72"/>
    <outlinePr summaryBelow="1" summaryRight="1"/>
    <pageSetUpPr/>
  </sheetPr>
  <dimension ref="A1:C20"/>
  <sheetViews>
    <sheetView showGridLines="0" workbookViewId="0">
      <selection activeCell="A1" sqref="A1"/>
    </sheetView>
  </sheetViews>
  <sheetFormatPr baseColWidth="8" defaultRowHeight="15"/>
  <cols>
    <col width="26" customWidth="1" min="1" max="1"/>
    <col width="40" customWidth="1" min="2" max="2"/>
    <col width="76" customWidth="1" min="3" max="3"/>
  </cols>
  <sheetData>
    <row r="1" ht="30" customHeight="1">
      <c r="A1" s="1" t="inlineStr">
        <is>
          <t>14 附录：字段字典与维护约定</t>
        </is>
      </c>
      <c r="B1" s="2" t="n"/>
      <c r="C1" s="2" t="n"/>
    </row>
    <row r="2" ht="20" customHeight="1">
      <c r="A2" s="3" t="inlineStr">
        <is>
          <t>换日期、换产品、换供应商都只改数据，不改结构    ｜    版本 2026-10-12</t>
        </is>
      </c>
      <c r="B2" s="4" t="n"/>
      <c r="C2" s="4" t="n"/>
    </row>
    <row r="4" ht="28" customHeight="1">
      <c r="A4" s="12" t="inlineStr">
        <is>
          <t>字段/概念</t>
        </is>
      </c>
      <c r="B4" s="12" t="inlineStr">
        <is>
          <t>取值</t>
        </is>
      </c>
      <c r="C4" s="12" t="inlineStr">
        <is>
          <t>含义与写法规矩</t>
        </is>
      </c>
    </row>
    <row r="5">
      <c r="A5" s="14" t="inlineStr">
        <is>
          <t>as_of（基准日）</t>
        </is>
      </c>
      <c r="B5" s="14" t="inlineStr">
        <is>
          <t>YYYY-MM-DD</t>
        </is>
      </c>
      <c r="C5" s="14" t="inlineStr">
        <is>
          <t>全表唯一时间基准；所有「剩余天数/是否过期」相对它计算</t>
        </is>
      </c>
    </row>
    <row r="6">
      <c r="A6" s="16" t="inlineStr">
        <is>
          <t>cert.status</t>
        </is>
      </c>
      <c r="B6" s="16" t="inlineStr">
        <is>
          <t>verified</t>
        </is>
      </c>
      <c r="C6" s="16" t="inlineStr">
        <is>
          <t>已核验：证载字段被一手/官方公开来源直接支撑</t>
        </is>
      </c>
    </row>
    <row r="7">
      <c r="A7" s="14" t="inlineStr"/>
      <c r="B7" s="14" t="inlineStr">
        <is>
          <t>mismatch</t>
        </is>
      </c>
      <c r="C7" s="14" t="inlineStr">
        <is>
          <t>信息不一致：字段冲突、过期、主体不符或范围不匹配</t>
        </is>
      </c>
    </row>
    <row r="8">
      <c r="A8" s="16" t="inlineStr"/>
      <c r="B8" s="16" t="inlineStr">
        <is>
          <t>pending</t>
        </is>
      </c>
      <c r="C8" s="16" t="inlineStr">
        <is>
          <t>待核验：仅凭供应商提供，尚无公开来源可比对</t>
        </is>
      </c>
    </row>
    <row r="9">
      <c r="A9" s="14" t="inlineStr"/>
      <c r="B9" s="14" t="inlineStr">
        <is>
          <t>no_public</t>
        </is>
      </c>
      <c r="C9" s="14" t="inlineStr">
        <is>
          <t>无公开信息：定向检索未发现公开记录，不得推断为无证</t>
        </is>
      </c>
    </row>
    <row r="10">
      <c r="A10" s="16" t="inlineStr"/>
      <c r="B10" s="16" t="inlineStr">
        <is>
          <t>expired</t>
        </is>
      </c>
      <c r="C10" s="16" t="inlineStr">
        <is>
          <t>由 valid_to 与 as_of 自动推导（有效期早于基准日）</t>
        </is>
      </c>
    </row>
    <row r="11">
      <c r="A11" s="14" t="inlineStr">
        <is>
          <t>cert.cover</t>
        </is>
      </c>
      <c r="B11" s="14" t="inlineStr">
        <is>
          <t>cover/partial/not_cover/unknown</t>
        </is>
      </c>
      <c r="C11" s="14" t="inlineStr">
        <is>
          <t>许可范围是否覆盖拟采购产品与浓度；unknown 必须写原因</t>
        </is>
      </c>
    </row>
    <row r="12">
      <c r="A12" s="16" t="inlineStr">
        <is>
          <t>cert.need</t>
        </is>
      </c>
      <c r="B12" s="16" t="inlineStr">
        <is>
          <t>required/conditional/none</t>
        </is>
      </c>
      <c r="C12" s="16" t="inlineStr">
        <is>
          <t>本单中该证照是否应由供应商具备</t>
        </is>
      </c>
    </row>
    <row r="13">
      <c r="A13" s="14" t="inlineStr">
        <is>
          <t>finding.verdict</t>
        </is>
      </c>
      <c r="B13" s="14" t="inlineStr">
        <is>
          <t>confirmed</t>
        </is>
      </c>
      <c r="C13" s="14" t="inlineStr">
        <is>
          <t>已确认：目录条目阈值可逐字对上</t>
        </is>
      </c>
    </row>
    <row r="14">
      <c r="A14" s="16" t="inlineStr"/>
      <c r="B14" s="16" t="inlineStr">
        <is>
          <t>not_confirmed</t>
        </is>
      </c>
      <c r="C14" s="16" t="inlineStr">
        <is>
          <t>未确认（不等于不属于）：资料不足，须补证</t>
        </is>
      </c>
    </row>
    <row r="15">
      <c r="A15" s="14" t="inlineStr"/>
      <c r="B15" s="14" t="inlineStr">
        <is>
          <t>pending</t>
        </is>
      </c>
      <c r="C15" s="14" t="inlineStr">
        <is>
          <t>待核验：需供应商材料或主管部门确认</t>
        </is>
      </c>
    </row>
    <row r="16">
      <c r="A16" s="16" t="inlineStr">
        <is>
          <t>优先级</t>
        </is>
      </c>
      <c r="B16" s="16" t="inlineStr">
        <is>
          <t>P0/P1/P2</t>
        </is>
      </c>
      <c r="C16" s="16" t="inlineStr">
        <is>
          <t>P0 未取得不得下单；P1 卡合同/首批发货；P2 档案完善</t>
        </is>
      </c>
    </row>
    <row r="17">
      <c r="A17" s="14" t="inlineStr">
        <is>
          <t>scan mode</t>
        </is>
      </c>
      <c r="B17" s="14" t="inlineStr">
        <is>
          <t>mock</t>
        </is>
      </c>
      <c r="C17" s="14" t="inlineStr">
        <is>
          <t>模拟演示件，必须显式标注，严禁当作真实证照</t>
        </is>
      </c>
    </row>
    <row r="18">
      <c r="A18" s="16" t="inlineStr">
        <is>
          <t>scan mode</t>
        </is>
      </c>
      <c r="B18" s="16" t="inlineStr">
        <is>
          <t>upload</t>
        </is>
      </c>
      <c r="C18" s="16" t="inlineStr">
        <is>
          <t>真实上传件，OCR 字段须与公开记录逐字段比对</t>
        </is>
      </c>
    </row>
    <row r="19">
      <c r="A19" s="14" t="inlineStr">
        <is>
          <t>主体一致性</t>
        </is>
      </c>
      <c r="B19" s="14" t="inlineStr">
        <is>
          <t>—</t>
        </is>
      </c>
      <c r="C19" s="14" t="inlineStr">
        <is>
          <t>证照上的名称/地址/代码必须与当前工商登记一致；更名须附变更记录</t>
        </is>
      </c>
    </row>
    <row r="20">
      <c r="A20" s="16" t="inlineStr">
        <is>
          <t>维护周期</t>
        </is>
      </c>
      <c r="B20" s="16" t="inlineStr">
        <is>
          <t>每季度/换证后</t>
        </is>
      </c>
      <c r="C20" s="16" t="inlineStr">
        <is>
          <t>证照到期前 180 天预警；变更后 5 个工作日内更新台账</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chem-supplier-qualification skill</dc:creator>
  <dc:title xmlns:dc="http://purl.org/dc/elements/1.1/">证照与监管要求核验台账</dc:title>
  <dc:subject xmlns:dc="http://purl.org/dc/elements/1.1/">杭州名鑫双氧水有限公司 / 过氧化氢溶液</dc:subject>
  <dcterms:created xmlns:dcterms="http://purl.org/dc/terms/" xmlns:xsi="http://www.w3.org/2001/XMLSchema-instance" xsi:type="dcterms:W3CDTF">2026-10-19T10:07:24Z</dcterms:created>
  <dcterms:modified xmlns:dcterms="http://purl.org/dc/terms/" xmlns:xsi="http://www.w3.org/2001/XMLSchema-instance" xsi:type="dcterms:W3CDTF">2026-10-19T10:07:25Z</dcterms:modified>
</cp:coreProperties>
</file>
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参数" sheetId="2" state="visible" r:id="rId2"/>
    <sheet xmlns:r="http://schemas.openxmlformats.org/officeDocument/2006/relationships" name="2-价格口径" sheetId="3" state="visible" r:id="rId3"/>
    <sheet xmlns:r="http://schemas.openxmlformats.org/officeDocument/2006/relationships" name="3-到厂成本" sheetId="4" state="visible" r:id="rId4"/>
    <sheet xmlns:r="http://schemas.openxmlformats.org/officeDocument/2006/relationships" name="4-因素分解" sheetId="5" state="visible" r:id="rId5"/>
    <sheet xmlns:r="http://schemas.openxmlformats.org/officeDocument/2006/relationships" name="5-线路与距离" sheetId="6" state="visible" r:id="rId6"/>
    <sheet xmlns:r="http://schemas.openxmlformats.org/officeDocument/2006/relationships" name="6-历史价差" sheetId="7" state="visible" r:id="rId7"/>
    <sheet xmlns:r="http://schemas.openxmlformats.org/officeDocument/2006/relationships" name="7-缺口与假设" sheetId="8" state="visible" r:id="rId8"/>
    <sheet xmlns:r="http://schemas.openxmlformats.org/officeDocument/2006/relationships" name="8-来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"/>
  </numFmts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4748B"/>
      <sz val="9"/>
    </font>
    <font>
      <name val="微软雅黑"/>
      <b val="1"/>
      <color rgb="000F172A"/>
      <sz val="10"/>
    </font>
    <font>
      <name val="微软雅黑"/>
      <color rgb="000F172A"/>
      <sz val="10"/>
    </font>
    <font>
      <name val="微软雅黑"/>
      <b val="1"/>
      <color rgb="000F4C81"/>
      <sz val="11"/>
    </font>
    <font>
      <name val="微软雅黑"/>
      <b val="1"/>
      <color rgb="00B91C1C"/>
      <sz val="11"/>
    </font>
    <font>
      <name val="微软雅黑"/>
      <b val="1"/>
      <color rgb="00FFFFFF"/>
      <sz val="10"/>
    </font>
    <font>
      <name val="Consolas"/>
      <color rgb="000F172A"/>
      <sz val="10"/>
    </font>
    <font>
      <name val="微软雅黑"/>
      <b val="1"/>
      <color rgb="00B45309"/>
      <sz val="10"/>
    </font>
    <font>
      <name val="微软雅黑"/>
      <color rgb="0064748B"/>
      <sz val="9"/>
    </font>
    <font>
      <name val="微软雅黑"/>
      <b val="1"/>
      <color rgb="00B91C1C"/>
      <sz val="9"/>
    </font>
    <font>
      <name val="Consolas"/>
      <color rgb="000F172A"/>
      <sz val="9.5"/>
    </font>
    <font>
      <name val="Consolas"/>
      <b val="1"/>
      <color rgb="000F172A"/>
      <sz val="10"/>
    </font>
    <font>
      <name val="微软雅黑"/>
      <color rgb="001D6FB8"/>
      <sz val="9"/>
      <u val="single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7E0"/>
      </patternFill>
    </fill>
    <fill>
      <patternFill patternType="solid">
        <fgColor rgb="00F4F8FC"/>
      </patternFill>
    </fill>
    <fill>
      <patternFill patternType="solid">
        <fgColor rgb="00FFFDF6"/>
      </patternFill>
    </fill>
    <fill>
      <patternFill patternType="solid">
        <fgColor rgb="00F8FAFC"/>
      </patternFill>
    </fill>
    <fill>
      <patternFill patternType="solid">
        <fgColor rgb="00E8F1F9"/>
      </patternFill>
    </fill>
    <fill>
      <patternFill patternType="solid">
        <fgColor rgb="00FDECEC"/>
      </patternFill>
    </fill>
  </fills>
  <borders count="4">
    <border>
      <left/>
      <right/>
      <top/>
      <bottom/>
      <diagonal/>
    </border>
    <border>
      <bottom style="thin">
        <color rgb="00D6DEE7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  <border>
      <bottom style="hair">
        <color rgb="00D6DEE7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3" fontId="8" fillId="3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top" wrapText="1"/>
    </xf>
    <xf numFmtId="4" fontId="8" fillId="3" borderId="3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left" vertical="top" wrapText="1"/>
    </xf>
    <xf numFmtId="3" fontId="0" fillId="5" borderId="3" applyAlignment="1" pivotButton="0" quotePrefix="0" xfId="0">
      <alignment horizontal="left" vertical="top" wrapText="1"/>
    </xf>
    <xf numFmtId="3" fontId="8" fillId="5" borderId="3" applyAlignment="1" pivotButton="0" quotePrefix="0" xfId="0">
      <alignment horizontal="left" vertical="top" wrapText="1"/>
    </xf>
    <xf numFmtId="4" fontId="8" fillId="5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3" fontId="8" fillId="4" borderId="3" applyAlignment="1" pivotButton="0" quotePrefix="0" xfId="0">
      <alignment horizontal="left" vertical="top" wrapText="1"/>
    </xf>
    <xf numFmtId="4" fontId="8" fillId="4" borderId="3" applyAlignment="1" pivotButton="0" quotePrefix="0" xfId="0">
      <alignment horizontal="left" vertical="top" wrapText="1"/>
    </xf>
    <xf numFmtId="0" fontId="11" fillId="0" borderId="3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3" fontId="8" fillId="4" borderId="0" pivotButton="0" quotePrefix="0" xfId="0"/>
    <xf numFmtId="0" fontId="10" fillId="6" borderId="0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3" fontId="8" fillId="7" borderId="3" applyAlignment="1" pivotButton="0" quotePrefix="0" xfId="0">
      <alignment horizontal="left" vertical="top" wrapText="1"/>
    </xf>
    <xf numFmtId="4" fontId="8" fillId="7" borderId="3" applyAlignment="1" pivotButton="0" quotePrefix="0" xfId="0">
      <alignment horizontal="left" vertical="top" wrapText="1"/>
    </xf>
    <xf numFmtId="164" fontId="8" fillId="7" borderId="3" applyAlignment="1" pivotButton="0" quotePrefix="0" xfId="0">
      <alignment horizontal="left" vertical="top" wrapText="1"/>
    </xf>
    <xf numFmtId="0" fontId="10" fillId="7" borderId="3" applyAlignment="1" pivotButton="0" quotePrefix="0" xfId="0">
      <alignment horizontal="center" vertical="center" wrapText="1"/>
    </xf>
    <xf numFmtId="164" fontId="8" fillId="4" borderId="3" applyAlignment="1" pivotButton="0" quotePrefix="0" xfId="0">
      <alignment horizontal="left" vertical="top" wrapText="1"/>
    </xf>
    <xf numFmtId="0" fontId="10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zx.hm-w.com/viewpoint/detail/17862" TargetMode="External" Id="rId1"/><Relationship Type="http://schemas.openxmlformats.org/officeDocument/2006/relationships/hyperlink" Target="https://zx.hm-w.com/viewpoint/detail/17828" TargetMode="External" Id="rId2"/><Relationship Type="http://schemas.openxmlformats.org/officeDocument/2006/relationships/hyperlink" Target="https://www.sohu.com/a/1077654435_122014422" TargetMode="External" Id="rId3"/><Relationship Type="http://schemas.openxmlformats.org/officeDocument/2006/relationships/hyperlink" Target="https://www.sohu.com/a/1074629703_122014422" TargetMode="External" Id="rId4"/><Relationship Type="http://schemas.openxmlformats.org/officeDocument/2006/relationships/hyperlink" Target="https://zx.hm-w.com/viewpoint/detail/17688" TargetMode="External" Id="rId5"/><Relationship Type="http://schemas.openxmlformats.org/officeDocument/2006/relationships/hyperlink" Target="https://finance.eastmoney.com/a/202607303826720998.html" TargetMode="External" Id="rId6"/><Relationship Type="http://schemas.openxmlformats.org/officeDocument/2006/relationships/hyperlink" Target="https://www.100ppi.com/sf/737.html" TargetMode="External" Id="rId7"/><Relationship Type="http://schemas.openxmlformats.org/officeDocument/2006/relationships/hyperlink" Target="https://www.czce.com.cn/cn/rootfiles/2021/09/03/1605597062097884-1605597062128743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6" customWidth="1" min="3" max="3"/>
  </cols>
  <sheetData>
    <row r="1" ht="30" customHeight="1">
      <c r="A1" s="1" t="inlineStr">
        <is>
          <t>重质纯碱（Na₂CO₃，工业级） · 区域采购成本模型</t>
        </is>
      </c>
    </row>
    <row r="2" ht="28" customHeight="1">
      <c r="A2" s="2" t="inlineStr">
        <is>
          <t>口径：含税人民币元/吨｜浅黄底=需你填写，灰蓝底=公式自动算｜留空一律表示「未知」，不是 0</t>
        </is>
      </c>
    </row>
    <row r="4">
      <c r="B4" s="3" t="inlineStr">
        <is>
          <t>产品 / 规格</t>
        </is>
      </c>
      <c r="C4" s="4" t="inlineStr">
        <is>
          <t>重质纯碱（Na₂CO₃，工业级）｜</t>
        </is>
      </c>
    </row>
    <row r="5">
      <c r="B5" s="3" t="inlineStr">
        <is>
          <t>收货地</t>
        </is>
      </c>
      <c r="C5" s="4" t="inlineStr">
        <is>
          <t>江苏省苏州市（收货地按苏州市区处理；若为下辖县级市如张家港/昆山/太仓，里程需相应增加）</t>
        </is>
      </c>
    </row>
    <row r="6">
      <c r="B6" s="3" t="inlineStr">
        <is>
          <t>采购数量（吨）</t>
        </is>
      </c>
      <c r="C6" s="4" t="n">
        <v>100</v>
      </c>
    </row>
    <row r="7">
      <c r="B7" s="3" t="inlineStr">
        <is>
          <t>价格口径</t>
        </is>
      </c>
      <c r="C7" s="4" t="inlineStr">
        <is>
          <t>含 13% 增值税，元/吨（净重）</t>
        </is>
      </c>
    </row>
    <row r="8">
      <c r="B8" s="3" t="inlineStr">
        <is>
          <t>基准区域</t>
        </is>
      </c>
      <c r="C8" s="4" t="inlineStr">
        <is>
          <t>山东</t>
        </is>
      </c>
    </row>
    <row r="9">
      <c r="B9" s="3" t="inlineStr">
        <is>
          <t>生成时间</t>
        </is>
      </c>
      <c r="C9" s="4" t="inlineStr">
        <is>
          <t>2026-10-19</t>
        </is>
      </c>
    </row>
    <row r="11">
      <c r="B11" s="5" t="inlineStr">
        <is>
          <t>工作表导航</t>
        </is>
      </c>
    </row>
    <row r="12">
      <c r="B12" s="3" t="inlineStr">
        <is>
          <t>1-参数</t>
        </is>
      </c>
      <c r="C12" s="6" t="inlineStr">
        <is>
          <t>采购数量、税率、装卸费单价。改这里，全表联动。</t>
        </is>
      </c>
    </row>
    <row r="13">
      <c r="B13" s="3" t="inlineStr">
        <is>
          <t>2-价格口径</t>
        </is>
      </c>
      <c r="C13" s="6" t="inlineStr">
        <is>
          <t>各区域现货价、区间、交货方式、数据日、来源；含税与不含税并列。</t>
        </is>
      </c>
    </row>
    <row r="14">
      <c r="B14" s="3" t="inlineStr">
        <is>
          <t>3-到厂成本</t>
        </is>
      </c>
      <c r="C14" s="6" t="inlineStr">
        <is>
          <t>逐区域填运费，自动算到厂单价与整单总额；运费留空显示「待补」。</t>
        </is>
      </c>
    </row>
    <row r="15">
      <c r="B15" s="3" t="inlineStr">
        <is>
          <t>4-因素分解</t>
        </is>
      </c>
      <c r="C15" s="6" t="inlineStr">
        <is>
          <t>相对基准区域，把到厂差拆成 裸价差+运输差+装卸差，并校验是否闭合。</t>
        </is>
      </c>
    </row>
    <row r="16">
      <c r="B16" s="3" t="inlineStr">
        <is>
          <t>5-线路与距离</t>
        </is>
      </c>
      <c r="C16" s="6" t="inlineStr">
        <is>
          <t>每条线路的起点/终点/可核验里程/高速方案/替代运输方式。</t>
        </is>
      </c>
    </row>
    <row r="17">
      <c r="B17" s="3" t="inlineStr">
        <is>
          <t>6-历史价差</t>
        </is>
      </c>
      <c r="C17" s="6" t="inlineStr">
        <is>
          <t>同日同规格的分区价差序列与极差。</t>
        </is>
      </c>
    </row>
    <row r="18">
      <c r="B18" s="3" t="inlineStr">
        <is>
          <t>7-缺口与假设</t>
        </is>
      </c>
      <c r="C18" s="6" t="inlineStr">
        <is>
          <t>缺哪些参数、为什么缺、补上会怎样。</t>
        </is>
      </c>
    </row>
    <row r="19">
      <c r="B19" s="3" t="inlineStr">
        <is>
          <t>8-来源</t>
        </is>
      </c>
      <c r="C19" s="6" t="inlineStr">
        <is>
          <t>每个价格对应的原始出处与采集日。</t>
        </is>
      </c>
    </row>
    <row r="21">
      <c r="B21" s="7" t="inlineStr">
        <is>
          <t>三条硬规矩</t>
        </is>
      </c>
    </row>
    <row r="22" ht="28" customHeight="1">
      <c r="C22" s="8" t="inlineStr">
        <is>
          <t>· 同一区域若只有单一来源且未注明交货口径，不得进入基准列表</t>
        </is>
      </c>
    </row>
    <row r="23" ht="28" customHeight="1">
      <c r="C23" s="8" t="inlineStr">
        <is>
          <t>· 价格日期与基准日不一致且无中间价格说明，不得做价差</t>
        </is>
      </c>
    </row>
    <row r="24" ht="28" customHeight="1">
      <c r="C24" s="8" t="inlineStr">
        <is>
          <t>· 运费、装卸费、检测费缺失时，到厂成本不得给出具体数字或排序</t>
        </is>
      </c>
    </row>
    <row r="25" ht="28" customHeight="1">
      <c r="C25" s="8" t="inlineStr">
        <is>
          <t>· 不得使用行业均值、经验值填补运价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62" customWidth="1" min="4" max="4"/>
  </cols>
  <sheetData>
    <row r="1" ht="30" customHeight="1">
      <c r="A1" s="1" t="inlineStr">
        <is>
          <t>采购参数（改这里，全表联动）</t>
        </is>
      </c>
    </row>
    <row r="2" ht="28" customHeight="1">
      <c r="A2" s="2" t="inlineStr">
        <is>
          <t>浅黄底为输入项。装卸费留空 = 未知，下游显示「待补」而不是 0。</t>
        </is>
      </c>
    </row>
    <row r="4" ht="32" customHeight="1">
      <c r="A4" s="9" t="inlineStr">
        <is>
          <t>参数</t>
        </is>
      </c>
      <c r="B4" s="9" t="inlineStr">
        <is>
          <t>取值</t>
        </is>
      </c>
      <c r="C4" s="9" t="inlineStr">
        <is>
          <t>单位</t>
        </is>
      </c>
      <c r="D4" s="9" t="inlineStr">
        <is>
          <t>说明</t>
        </is>
      </c>
    </row>
    <row r="5" ht="20" customHeight="1">
      <c r="A5" s="10" t="inlineStr">
        <is>
          <t>采购数量</t>
        </is>
      </c>
      <c r="B5" s="11" t="n">
        <v>100</v>
      </c>
      <c r="C5" s="12" t="inlineStr">
        <is>
          <t>吨</t>
        </is>
      </c>
      <c r="D5" s="13" t="inlineStr">
        <is>
          <t>100 吨约 3.2 车（13m 半挂按 31 吨/车）</t>
        </is>
      </c>
    </row>
    <row r="6" ht="20" customHeight="1">
      <c r="A6" s="10" t="inlineStr">
        <is>
          <t>运费税率</t>
        </is>
      </c>
      <c r="B6" s="11" t="n">
        <v>9</v>
      </c>
      <c r="C6" s="12" t="inlineStr">
        <is>
          <t>%</t>
        </is>
      </c>
      <c r="D6" s="13" t="inlineStr">
        <is>
          <t>公路运输增值税 9%，一般纳税人可抵扣</t>
        </is>
      </c>
    </row>
    <row r="7" ht="20" customHeight="1">
      <c r="A7" s="10" t="inlineStr">
        <is>
          <t>装车费</t>
        </is>
      </c>
      <c r="B7" s="14" t="n"/>
      <c r="C7" s="12" t="inlineStr">
        <is>
          <t>元/吨</t>
        </is>
      </c>
      <c r="D7" s="13" t="inlineStr">
        <is>
          <t>留空=未知；填 0 表示「已包含在车板价内」</t>
        </is>
      </c>
    </row>
    <row r="8" ht="20" customHeight="1">
      <c r="A8" s="10" t="inlineStr">
        <is>
          <t>卸车费</t>
        </is>
      </c>
      <c r="B8" s="14" t="n"/>
      <c r="C8" s="12" t="inlineStr">
        <is>
          <t>元/吨</t>
        </is>
      </c>
      <c r="D8" s="13" t="inlineStr">
        <is>
          <t>留空=未知</t>
        </is>
      </c>
    </row>
    <row r="9" ht="20" customHeight="1">
      <c r="A9" s="10" t="inlineStr">
        <is>
          <t>检测/取样费</t>
        </is>
      </c>
      <c r="B9" s="14" t="n"/>
      <c r="C9" s="12" t="inlineStr">
        <is>
          <t>元/吨</t>
        </is>
      </c>
      <c r="D9" s="13" t="inlineStr">
        <is>
          <t>留空=未知</t>
        </is>
      </c>
    </row>
    <row r="10" ht="20" customHeight="1">
      <c r="A10" s="10" t="inlineStr">
        <is>
          <t>货物增值税率</t>
        </is>
      </c>
      <c r="B10" s="11" t="n">
        <v>13</v>
      </c>
      <c r="C10" s="12" t="inlineStr">
        <is>
          <t>%</t>
        </is>
      </c>
      <c r="D10" s="13" t="inlineStr">
        <is>
          <t>纯碱适用 13%</t>
        </is>
      </c>
    </row>
    <row r="13">
      <c r="A13" s="15" t="inlineStr">
        <is>
          <t>提示</t>
        </is>
      </c>
      <c r="B13" s="16" t="inlineStr">
        <is>
          <t>这里的装卸费是全线路统一值。若某条线路的装卸口径不同（例如自提货由卖方装车、送到货由买方卸车），请在「3-到厂成本」对应行的「装车元/吨、卸车元/吨」列单独填写覆盖。</t>
        </is>
      </c>
    </row>
    <row r="14"/>
  </sheetData>
  <mergeCells count="3">
    <mergeCell ref="A1:D1"/>
    <mergeCell ref="B13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2" customWidth="1" min="9" max="9"/>
    <col width="20" customWidth="1" min="10" max="10"/>
    <col width="56" customWidth="1" min="11" max="11"/>
  </cols>
  <sheetData>
    <row r="1" ht="30" customHeight="1">
      <c r="A1" s="1" t="inlineStr">
        <is>
          <t>各地区现货价格（统一口径后）</t>
        </is>
      </c>
    </row>
    <row r="2" ht="28" customHeight="1">
      <c r="A2" s="2" t="inlineStr">
        <is>
          <t>同规格、同单位、同税费口径、同数据日。交货方式（送到/自提/出厂）不同，是不能直接比大小的关键原因。</t>
        </is>
      </c>
    </row>
    <row r="4" ht="32" customHeight="1">
      <c r="A4" s="9" t="inlineStr">
        <is>
          <t>区域</t>
        </is>
      </c>
      <c r="B4" s="9" t="inlineStr">
        <is>
          <t>市场归属</t>
        </is>
      </c>
      <c r="C4" s="9" t="inlineStr">
        <is>
          <t>规格</t>
        </is>
      </c>
      <c r="D4" s="9" t="inlineStr">
        <is>
          <t>交货方式</t>
        </is>
      </c>
      <c r="E4" s="9" t="inlineStr">
        <is>
          <t>价格下限</t>
        </is>
      </c>
      <c r="F4" s="9" t="inlineStr">
        <is>
          <t>价格上限</t>
        </is>
      </c>
      <c r="G4" s="9" t="inlineStr">
        <is>
          <t>取用值(含税)</t>
        </is>
      </c>
      <c r="H4" s="9" t="inlineStr">
        <is>
          <t>不含税(元/吨)</t>
        </is>
      </c>
      <c r="I4" s="9" t="inlineStr">
        <is>
          <t>数据日</t>
        </is>
      </c>
      <c r="J4" s="9" t="inlineStr">
        <is>
          <t>来源</t>
        </is>
      </c>
      <c r="K4" s="9" t="inlineStr">
        <is>
          <t>备注</t>
        </is>
      </c>
    </row>
    <row r="5" ht="32" customHeight="1">
      <c r="A5" s="17" t="inlineStr">
        <is>
          <t>山东</t>
        </is>
      </c>
      <c r="B5" s="18" t="inlineStr">
        <is>
          <t>华北</t>
        </is>
      </c>
      <c r="C5" s="19" t="inlineStr">
        <is>
          <t>工业级 Na₂CO₃ ≥98%</t>
        </is>
      </c>
      <c r="D5" s="18" t="inlineStr">
        <is>
          <t>送到</t>
        </is>
      </c>
      <c r="E5" s="20" t="n">
        <v>1100</v>
      </c>
      <c r="F5" s="20" t="n">
        <v>1200</v>
      </c>
      <c r="G5" s="21">
        <f>ROUND(AVERAGE(E5:F5),0)</f>
        <v/>
      </c>
      <c r="H5" s="22">
        <f>IF(G5="","",ROUND(G5/(1+'1-参数'!$B$10/100),2))</f>
        <v/>
      </c>
      <c r="I5" s="18" t="inlineStr">
        <is>
          <t>2026-10-16</t>
        </is>
      </c>
      <c r="J5" s="19" t="inlineStr">
        <is>
          <t>化盟网《纯碱日评》分区价格表（2026-10-16）</t>
        </is>
      </c>
      <c r="K5" s="19" t="inlineStr">
        <is>
          <t>区间宽，建议上下限各算一遍</t>
        </is>
      </c>
    </row>
    <row r="6" ht="32" customHeight="1">
      <c r="A6" s="17" t="inlineStr">
        <is>
          <t>河北</t>
        </is>
      </c>
      <c r="B6" s="18" t="inlineStr">
        <is>
          <t>华北（沙河）</t>
        </is>
      </c>
      <c r="C6" s="19" t="inlineStr">
        <is>
          <t>工业级 Na₂CO₃ ≥98%</t>
        </is>
      </c>
      <c r="D6" s="18" t="inlineStr">
        <is>
          <t>自提</t>
        </is>
      </c>
      <c r="E6" s="20" t="n">
        <v>940</v>
      </c>
      <c r="F6" s="20" t="n">
        <v>950</v>
      </c>
      <c r="G6" s="21">
        <f>ROUND(AVERAGE(E6:F6),0)</f>
        <v/>
      </c>
      <c r="H6" s="22">
        <f>IF(G6="","",ROUND(G6/(1+'1-参数'!$B$10/100),2))</f>
        <v/>
      </c>
      <c r="I6" s="18" t="inlineStr">
        <is>
          <t>2026-10-16</t>
        </is>
      </c>
      <c r="J6" s="19" t="inlineStr">
        <is>
          <t>化盟网《纯碱日评》分区价格表（2026-10-16）</t>
        </is>
      </c>
      <c r="K6" s="19" t="inlineStr">
        <is>
          <t>⚠ 自提价：买方自担提货运输</t>
        </is>
      </c>
    </row>
    <row r="7" ht="32" customHeight="1">
      <c r="A7" s="17" t="inlineStr">
        <is>
          <t>河南</t>
        </is>
      </c>
      <c r="B7" s="18" t="inlineStr">
        <is>
          <t>华中</t>
        </is>
      </c>
      <c r="C7" s="19" t="inlineStr">
        <is>
          <t>工业级 Na₂CO₃ ≥98%</t>
        </is>
      </c>
      <c r="D7" s="18" t="inlineStr">
        <is>
          <t>送到</t>
        </is>
      </c>
      <c r="E7" s="20" t="n">
        <v>1050</v>
      </c>
      <c r="F7" s="20" t="n">
        <v>1150</v>
      </c>
      <c r="G7" s="21">
        <f>ROUND(AVERAGE(E7:F7),0)</f>
        <v/>
      </c>
      <c r="H7" s="22">
        <f>IF(G7="","",ROUND(G7/(1+'1-参数'!$B$10/100),2))</f>
        <v/>
      </c>
      <c r="I7" s="18" t="inlineStr">
        <is>
          <t>2026-10-16</t>
        </is>
      </c>
      <c r="J7" s="19" t="inlineStr">
        <is>
          <t>化盟网《纯碱日评》分区价格表（2026-10-16）</t>
        </is>
      </c>
      <c r="K7" s="19" t="inlineStr">
        <is>
          <t>区间宽，建议上下限各算一遍</t>
        </is>
      </c>
    </row>
    <row r="8" ht="32" customHeight="1">
      <c r="A8" s="17" t="inlineStr">
        <is>
          <t>江苏本地</t>
        </is>
      </c>
      <c r="B8" s="18" t="inlineStr">
        <is>
          <t>华东</t>
        </is>
      </c>
      <c r="C8" s="19" t="inlineStr">
        <is>
          <t>工业级 Na₂CO₃ ≥98%</t>
        </is>
      </c>
      <c r="D8" s="18" t="inlineStr">
        <is>
          <t>送到</t>
        </is>
      </c>
      <c r="E8" s="20" t="n">
        <v>1100</v>
      </c>
      <c r="F8" s="20" t="n">
        <v>1200</v>
      </c>
      <c r="G8" s="21">
        <f>ROUND(AVERAGE(E8:F8),0)</f>
        <v/>
      </c>
      <c r="H8" s="22">
        <f>IF(G8="","",ROUND(G8/(1+'1-参数'!$B$10/100),2))</f>
        <v/>
      </c>
      <c r="I8" s="18" t="inlineStr">
        <is>
          <t>2026-10-16</t>
        </is>
      </c>
      <c r="J8" s="19" t="inlineStr">
        <is>
          <t>化盟网《纯碱日评》分区价格表（2026-10-16）</t>
        </is>
      </c>
      <c r="K8" s="19" t="inlineStr">
        <is>
          <t>区间宽，建议上下限各算一遍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2" customWidth="1" min="5" max="5"/>
    <col width="11" customWidth="1" min="6" max="6"/>
    <col width="10" customWidth="1" min="7" max="7"/>
    <col width="10" customWidth="1" min="8" max="8"/>
    <col width="13" customWidth="1" min="9" max="9"/>
    <col width="14" customWidth="1" min="10" max="10"/>
    <col width="12" customWidth="1" min="11" max="11"/>
  </cols>
  <sheetData>
    <row r="1" ht="30" customHeight="1">
      <c r="A1" s="1" t="inlineStr">
        <is>
          <t>到厂成本计算（填运费 → 自动出到厂价）</t>
        </is>
      </c>
    </row>
    <row r="2" ht="28" customHeight="1">
      <c r="A2" s="2" t="inlineStr">
        <is>
          <t>运费三种填法按优先级：总运费 &gt; 包干运价(元/吨)。都空则该行「待补」，不参与排名。</t>
        </is>
      </c>
    </row>
    <row r="4" ht="32" customHeight="1">
      <c r="A4" s="9" t="inlineStr">
        <is>
          <t>区域</t>
        </is>
      </c>
      <c r="B4" s="9" t="inlineStr">
        <is>
          <t>裸价
(元/吨)</t>
        </is>
      </c>
      <c r="C4" s="9" t="inlineStr">
        <is>
          <t>里程
(km)</t>
        </is>
      </c>
      <c r="D4" s="9" t="inlineStr">
        <is>
          <t>包干运价
(元/吨)</t>
        </is>
      </c>
      <c r="E4" s="9" t="inlineStr">
        <is>
          <t>总运费
(元)</t>
        </is>
      </c>
      <c r="F4" s="9" t="inlineStr">
        <is>
          <t>运费
(元/吨)</t>
        </is>
      </c>
      <c r="G4" s="9" t="inlineStr">
        <is>
          <t>装车
(元/吨)</t>
        </is>
      </c>
      <c r="H4" s="9" t="inlineStr">
        <is>
          <t>卸车
(元/吨)</t>
        </is>
      </c>
      <c r="I4" s="9" t="inlineStr">
        <is>
          <t>到厂单价
(元/吨)</t>
        </is>
      </c>
      <c r="J4" s="9" t="inlineStr">
        <is>
          <t>整单总额
(元)</t>
        </is>
      </c>
      <c r="K4" s="9" t="inlineStr">
        <is>
          <t>状态</t>
        </is>
      </c>
    </row>
    <row r="5" ht="20" customHeight="1">
      <c r="A5" s="23" t="inlineStr">
        <is>
          <t>山东</t>
        </is>
      </c>
      <c r="B5" s="24">
        <f>'2-价格口径'!G5</f>
        <v/>
      </c>
      <c r="C5" s="11" t="n">
        <v>760</v>
      </c>
      <c r="D5" s="14" t="n"/>
      <c r="E5" s="11" t="n"/>
      <c r="F5" s="25">
        <f>IF(E5&lt;&gt;"",ROUND(E5/'1-参数'!$B$5,2),IF(D5&lt;&gt;"",D5,""))</f>
        <v/>
      </c>
      <c r="G5" s="14" t="n"/>
      <c r="H5" s="14" t="n"/>
      <c r="I5" s="25">
        <f>IF(OR(B5="",F5=""),"",ROUND(B5+F5+IF(G5&lt;&gt;"",G5,'1-参数'!$B$7)+IF(H5&lt;&gt;"",H5,'1-参数'!$B$8),2))</f>
        <v/>
      </c>
      <c r="J5" s="24">
        <f>IF(I5="","",ROUND(I5*'1-参数'!$B$5,0))</f>
        <v/>
      </c>
      <c r="K5" s="26">
        <f>IF(I5="","待补：缺运费","可算")</f>
        <v/>
      </c>
    </row>
    <row r="6" ht="20" customHeight="1">
      <c r="A6" s="23" t="inlineStr">
        <is>
          <t>河北</t>
        </is>
      </c>
      <c r="B6" s="24">
        <f>'2-价格口径'!G6</f>
        <v/>
      </c>
      <c r="C6" s="11" t="n">
        <v>999</v>
      </c>
      <c r="D6" s="14" t="n"/>
      <c r="E6" s="11" t="n"/>
      <c r="F6" s="25">
        <f>IF(E6&lt;&gt;"",ROUND(E6/'1-参数'!$B$5,2),IF(D6&lt;&gt;"",D6,""))</f>
        <v/>
      </c>
      <c r="G6" s="14" t="n"/>
      <c r="H6" s="14" t="n"/>
      <c r="I6" s="25">
        <f>IF(OR(B6="",F6=""),"",ROUND(B6+F6+IF(G6&lt;&gt;"",G6,'1-参数'!$B$7)+IF(H6&lt;&gt;"",H6,'1-参数'!$B$8),2))</f>
        <v/>
      </c>
      <c r="J6" s="24">
        <f>IF(I6="","",ROUND(I6*'1-参数'!$B$5,0))</f>
        <v/>
      </c>
      <c r="K6" s="26">
        <f>IF(I6="","待补：缺运费","可算")</f>
        <v/>
      </c>
    </row>
    <row r="7" ht="20" customHeight="1">
      <c r="A7" s="23" t="inlineStr">
        <is>
          <t>河南</t>
        </is>
      </c>
      <c r="B7" s="24">
        <f>'2-价格口径'!G7</f>
        <v/>
      </c>
      <c r="C7" s="11" t="n">
        <v>665</v>
      </c>
      <c r="D7" s="14" t="n"/>
      <c r="E7" s="11" t="n"/>
      <c r="F7" s="25">
        <f>IF(E7&lt;&gt;"",ROUND(E7/'1-参数'!$B$5,2),IF(D7&lt;&gt;"",D7,""))</f>
        <v/>
      </c>
      <c r="G7" s="14" t="n"/>
      <c r="H7" s="14" t="n"/>
      <c r="I7" s="25">
        <f>IF(OR(B7="",F7=""),"",ROUND(B7+F7+IF(G7&lt;&gt;"",G7,'1-参数'!$B$7)+IF(H7&lt;&gt;"",H7,'1-参数'!$B$8),2))</f>
        <v/>
      </c>
      <c r="J7" s="24">
        <f>IF(I7="","",ROUND(I7*'1-参数'!$B$5,0))</f>
        <v/>
      </c>
      <c r="K7" s="26">
        <f>IF(I7="","待补：缺运费","可算")</f>
        <v/>
      </c>
    </row>
    <row r="8" ht="20" customHeight="1">
      <c r="A8" s="23" t="inlineStr">
        <is>
          <t>江苏本地</t>
        </is>
      </c>
      <c r="B8" s="24">
        <f>'2-价格口径'!G8</f>
        <v/>
      </c>
      <c r="C8" s="11" t="n">
        <v>336</v>
      </c>
      <c r="D8" s="14" t="n"/>
      <c r="E8" s="11" t="n"/>
      <c r="F8" s="25">
        <f>IF(E8&lt;&gt;"",ROUND(E8/'1-参数'!$B$5,2),IF(D8&lt;&gt;"",D8,""))</f>
        <v/>
      </c>
      <c r="G8" s="14" t="n"/>
      <c r="H8" s="14" t="n"/>
      <c r="I8" s="25">
        <f>IF(OR(B8="",F8=""),"",ROUND(B8+F8+IF(G8&lt;&gt;"",G8,'1-参数'!$B$7)+IF(H8&lt;&gt;"",H8,'1-参数'!$B$8),2))</f>
        <v/>
      </c>
      <c r="J8" s="24">
        <f>IF(I8="","",ROUND(I8*'1-参数'!$B$5,0))</f>
        <v/>
      </c>
      <c r="K8" s="26">
        <f>IF(I8="","待补：缺运费","可算")</f>
        <v/>
      </c>
    </row>
    <row r="9" ht="20" customHeight="1">
      <c r="A9" s="3" t="inlineStr">
        <is>
          <t>汇总</t>
        </is>
      </c>
      <c r="B9" s="27" t="inlineStr">
        <is>
          <t>裸价最低：</t>
        </is>
      </c>
      <c r="C9" s="28">
        <f>IF(COUNT(B5:B8)=0,"—",INDEX(A5:A8,MATCH(MIN(B5:B8),B5:B8,0)))</f>
        <v/>
      </c>
      <c r="E9" s="27" t="inlineStr">
        <is>
          <t>到厂最低：</t>
        </is>
      </c>
      <c r="F9" s="28">
        <f>IF(COUNT(I5:I8)&lt;4,"不排名（有缺项）",INDEX(A5:A8,MATCH(MIN(I5:I8),I5:I8,0)))</f>
        <v/>
      </c>
      <c r="I9" s="29">
        <f>IF(COUNT(I5:I8)&lt;4,"待补",ROUND(MIN(I5:I8),0))</f>
        <v/>
      </c>
      <c r="J9" s="29">
        <f>IF(COUNT(J5:J8)&lt;4,"待补",ROUND(SUM(J5:J8),0))</f>
        <v/>
      </c>
      <c r="K9" s="28">
        <f>IF(COUNT(I5:I8)&lt;4,"✗ 不完整","✓ 齐全")</f>
        <v/>
      </c>
    </row>
    <row r="11">
      <c r="A11" s="30" t="inlineStr">
        <is>
          <t>填法说明：
1) 只填「包干运价(元/吨)」→ 运费/吨 = 该价；整单总额 = (裸价+运费+装卸) × 数量；
2) 只填「总运费(元)」→ 运费/吨 = 总运费 ÷ 数量（整单议价时用这个）；
3) 两者都填 → 以总运费为准（整单结算更接近实际）；
4) 全空 → 该行到厂单价为空，汇总显示「不排名」。
5) 「装车/卸车」本行为空时，自动取「1-参数」中的统一值；本行填了就用本行的。</t>
        </is>
      </c>
    </row>
    <row r="12"/>
    <row r="13"/>
    <row r="14"/>
    <row r="15"/>
  </sheetData>
  <mergeCells count="5">
    <mergeCell ref="A11:K15"/>
    <mergeCell ref="A2:K2"/>
    <mergeCell ref="F9:H9"/>
    <mergeCell ref="C9:D9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5" customWidth="1" min="11" max="11"/>
  </cols>
  <sheetData>
    <row r="1" ht="30" customHeight="1">
      <c r="A1" s="1" t="inlineStr">
        <is>
          <t>到厂成本差异的因素分解</t>
        </is>
      </c>
    </row>
    <row r="2" ht="28" customHeight="1">
      <c r="A2" s="2" t="inlineStr">
        <is>
          <t>以基准区域为 0，把到厂差拆成「市场裸价差 + 运输费用差 + 装卸差」。三项合计必须等于 Δ到厂。</t>
        </is>
      </c>
    </row>
    <row r="4" ht="32" customHeight="1">
      <c r="A4" s="9" t="inlineStr">
        <is>
          <t>区域</t>
        </is>
      </c>
      <c r="B4" s="9" t="inlineStr">
        <is>
          <t>裸价
(元/吨)</t>
        </is>
      </c>
      <c r="C4" s="9" t="inlineStr">
        <is>
          <t>运费/吨</t>
        </is>
      </c>
      <c r="D4" s="9" t="inlineStr">
        <is>
          <t>装卸/吨</t>
        </is>
      </c>
      <c r="E4" s="9" t="inlineStr">
        <is>
          <t>到厂单价</t>
        </is>
      </c>
      <c r="F4" s="9" t="inlineStr">
        <is>
          <t>Δ裸价</t>
        </is>
      </c>
      <c r="G4" s="9" t="inlineStr">
        <is>
          <t>Δ运费</t>
        </is>
      </c>
      <c r="H4" s="9" t="inlineStr">
        <is>
          <t>Δ装卸</t>
        </is>
      </c>
      <c r="I4" s="9" t="inlineStr">
        <is>
          <t>三项合计</t>
        </is>
      </c>
      <c r="J4" s="9" t="inlineStr">
        <is>
          <t>Δ到厂</t>
        </is>
      </c>
      <c r="K4" s="9" t="inlineStr">
        <is>
          <t>校验</t>
        </is>
      </c>
    </row>
    <row r="5" ht="20" customHeight="1">
      <c r="A5" s="31" t="inlineStr">
        <is>
          <t>山东（基准）</t>
        </is>
      </c>
      <c r="B5" s="32">
        <f>'3-到厂成本'!B5</f>
        <v/>
      </c>
      <c r="C5" s="33">
        <f>IF('3-到厂成本'!F5="","",'3-到厂成本'!F5)</f>
        <v/>
      </c>
      <c r="D5" s="33">
        <f>ROUND(N('3-到厂成本'!G5)+N('3-到厂成本'!H5),2)</f>
        <v/>
      </c>
      <c r="E5" s="33">
        <f>IF('3-到厂成本'!I5="","",'3-到厂成本'!I5)</f>
        <v/>
      </c>
      <c r="F5" s="34">
        <f>IF(OR(B5="",B5=""),"",B5-B5)</f>
        <v/>
      </c>
      <c r="G5" s="34">
        <f>IF(OR(C5="",C5=""),"",C5-C5)</f>
        <v/>
      </c>
      <c r="H5" s="34">
        <f>D5-D5</f>
        <v/>
      </c>
      <c r="I5" s="34">
        <f>IF(OR(F5="",G5=""),"待补",ROUND(F5+G5+H5,2))</f>
        <v/>
      </c>
      <c r="J5" s="34">
        <f>IF(OR(E5="",E5=""),"待补",ROUND(E5-E5,2))</f>
        <v/>
      </c>
      <c r="K5" s="35">
        <f>IF(OR(I5="待补",J5="待补"),"缺运费",IF(ABS(I5-J5)&lt;0.01,"✓ 闭合","✗ 差 "&amp;TEXT(I5-J5,"0.00")))</f>
        <v/>
      </c>
    </row>
    <row r="6" ht="20" customHeight="1">
      <c r="A6" s="23" t="inlineStr">
        <is>
          <t>河北</t>
        </is>
      </c>
      <c r="B6" s="24">
        <f>'3-到厂成本'!B6</f>
        <v/>
      </c>
      <c r="C6" s="25">
        <f>IF('3-到厂成本'!F6="","",'3-到厂成本'!F6)</f>
        <v/>
      </c>
      <c r="D6" s="25">
        <f>ROUND(N('3-到厂成本'!G6)+N('3-到厂成本'!H6),2)</f>
        <v/>
      </c>
      <c r="E6" s="25">
        <f>IF('3-到厂成本'!I6="","",'3-到厂成本'!I6)</f>
        <v/>
      </c>
      <c r="F6" s="36">
        <f>IF(OR(B6="",B5=""),"",B6-B5)</f>
        <v/>
      </c>
      <c r="G6" s="36">
        <f>IF(OR(C6="",C5=""),"",C6-C5)</f>
        <v/>
      </c>
      <c r="H6" s="36">
        <f>D6-D5</f>
        <v/>
      </c>
      <c r="I6" s="36">
        <f>IF(OR(F6="",G6=""),"待补",ROUND(F6+G6+H6,2))</f>
        <v/>
      </c>
      <c r="J6" s="36">
        <f>IF(OR(E6="",E5=""),"待补",ROUND(E6-E5,2))</f>
        <v/>
      </c>
      <c r="K6" s="37">
        <f>IF(OR(I6="待补",J6="待补"),"缺运费",IF(ABS(I6-J6)&lt;0.01,"✓ 闭合","✗ 差 "&amp;TEXT(I6-J6,"0.00")))</f>
        <v/>
      </c>
    </row>
    <row r="7" ht="20" customHeight="1">
      <c r="A7" s="23" t="inlineStr">
        <is>
          <t>河南</t>
        </is>
      </c>
      <c r="B7" s="24">
        <f>'3-到厂成本'!B7</f>
        <v/>
      </c>
      <c r="C7" s="25">
        <f>IF('3-到厂成本'!F7="","",'3-到厂成本'!F7)</f>
        <v/>
      </c>
      <c r="D7" s="25">
        <f>ROUND(N('3-到厂成本'!G7)+N('3-到厂成本'!H7),2)</f>
        <v/>
      </c>
      <c r="E7" s="25">
        <f>IF('3-到厂成本'!I7="","",'3-到厂成本'!I7)</f>
        <v/>
      </c>
      <c r="F7" s="36">
        <f>IF(OR(B7="",B5=""),"",B7-B5)</f>
        <v/>
      </c>
      <c r="G7" s="36">
        <f>IF(OR(C7="",C5=""),"",C7-C5)</f>
        <v/>
      </c>
      <c r="H7" s="36">
        <f>D7-D5</f>
        <v/>
      </c>
      <c r="I7" s="36">
        <f>IF(OR(F7="",G7=""),"待补",ROUND(F7+G7+H7,2))</f>
        <v/>
      </c>
      <c r="J7" s="36">
        <f>IF(OR(E7="",E5=""),"待补",ROUND(E7-E5,2))</f>
        <v/>
      </c>
      <c r="K7" s="37">
        <f>IF(OR(I7="待补",J7="待补"),"缺运费",IF(ABS(I7-J7)&lt;0.01,"✓ 闭合","✗ 差 "&amp;TEXT(I7-J7,"0.00")))</f>
        <v/>
      </c>
    </row>
    <row r="8" ht="20" customHeight="1">
      <c r="A8" s="23" t="inlineStr">
        <is>
          <t>江苏本地</t>
        </is>
      </c>
      <c r="B8" s="24">
        <f>'3-到厂成本'!B8</f>
        <v/>
      </c>
      <c r="C8" s="25">
        <f>IF('3-到厂成本'!F8="","",'3-到厂成本'!F8)</f>
        <v/>
      </c>
      <c r="D8" s="25">
        <f>ROUND(N('3-到厂成本'!G8)+N('3-到厂成本'!H8),2)</f>
        <v/>
      </c>
      <c r="E8" s="25">
        <f>IF('3-到厂成本'!I8="","",'3-到厂成本'!I8)</f>
        <v/>
      </c>
      <c r="F8" s="36">
        <f>IF(OR(B8="",B5=""),"",B8-B5)</f>
        <v/>
      </c>
      <c r="G8" s="36">
        <f>IF(OR(C8="",C5=""),"",C8-C5)</f>
        <v/>
      </c>
      <c r="H8" s="36">
        <f>D8-D5</f>
        <v/>
      </c>
      <c r="I8" s="36">
        <f>IF(OR(F8="",G8=""),"待补",ROUND(F8+G8+H8,2))</f>
        <v/>
      </c>
      <c r="J8" s="36">
        <f>IF(OR(E8="",E5=""),"待补",ROUND(E8-E5,2))</f>
        <v/>
      </c>
      <c r="K8" s="37">
        <f>IF(OR(I8="待补",J8="待补"),"缺运费",IF(ABS(I8-J8)&lt;0.01,"✓ 闭合","✗ 差 "&amp;TEXT(I8-J8,"0.00")))</f>
        <v/>
      </c>
    </row>
    <row r="10">
      <c r="A10" s="30" t="inlineStr">
        <is>
          <t>读法：
· Δ裸价 &lt; 0 表示该区域裸价更便宜；Δ运费 &gt; 0 表示到该区域的运费更贵；
· 「三项合计」= 「Δ到厂」 说明差异被三项解释完（校验列显示「✓ 闭合」）；
· 显示「缺运费」= 该区域还没填运价，此时只能比裸价差，不能得出到厂结论；
· 不要用「里程 × 某个拍脑袋的吨公里价」来填空——那不是承运方报价。</t>
        </is>
      </c>
    </row>
    <row r="11"/>
    <row r="12"/>
    <row r="13"/>
    <row r="14"/>
  </sheetData>
  <mergeCells count="3">
    <mergeCell ref="A2:K2"/>
    <mergeCell ref="A1:K1"/>
    <mergeCell ref="A10:K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0" customWidth="1" min="3" max="3"/>
    <col width="11" customWidth="1" min="4" max="4"/>
    <col width="14" customWidth="1" min="5" max="5"/>
    <col width="34" customWidth="1" min="6" max="6"/>
    <col width="46" customWidth="1" min="7" max="7"/>
    <col width="9" customWidth="1" min="8" max="8"/>
  </cols>
  <sheetData>
    <row r="1" ht="30" customHeight="1">
      <c r="A1" s="1" t="inlineStr">
        <is>
          <t>运输线路与可核验里程</t>
        </is>
      </c>
    </row>
    <row r="2" ht="28" customHeight="1">
      <c r="A2" s="2" t="inlineStr">
        <is>
          <t>里程来自可在线复核的公路路线（高速主推方案）。拿到承运方 GPS 实跑里程后，直接改「里程(km)」。</t>
        </is>
      </c>
    </row>
    <row r="4" ht="32" customHeight="1">
      <c r="A4" s="9" t="inlineStr">
        <is>
          <t>区域</t>
        </is>
      </c>
      <c r="B4" s="9" t="inlineStr">
        <is>
          <t>起点（低端/高端）</t>
        </is>
      </c>
      <c r="C4" s="9" t="inlineStr">
        <is>
          <t>终点</t>
        </is>
      </c>
      <c r="D4" s="9" t="inlineStr">
        <is>
          <t>里程(km)</t>
        </is>
      </c>
      <c r="E4" s="9" t="inlineStr">
        <is>
          <t>里程依据</t>
        </is>
      </c>
      <c r="F4" s="9" t="inlineStr">
        <is>
          <t>高速方案</t>
        </is>
      </c>
      <c r="G4" s="9" t="inlineStr">
        <is>
          <t>可替代运输方式</t>
        </is>
      </c>
      <c r="H4" s="9" t="inlineStr">
        <is>
          <t>时效(h)</t>
        </is>
      </c>
    </row>
    <row r="5" ht="50" customHeight="1">
      <c r="A5" s="23" t="inlineStr">
        <is>
          <t>山东</t>
        </is>
      </c>
      <c r="B5" s="13" t="inlineStr">
        <is>
          <t>潍坊（760 km）
济宁（707 km）</t>
        </is>
      </c>
      <c r="C5" s="12" t="inlineStr">
        <is>
          <t>苏州</t>
        </is>
      </c>
      <c r="D5" s="11" t="n">
        <v>760</v>
      </c>
      <c r="E5" s="12" t="inlineStr">
        <is>
          <t>待核验</t>
        </is>
      </c>
      <c r="F5" s="13" t="inlineStr">
        <is>
          <t>G20 青银→G15 沈海→G25 长深→G2 京沪→沪陕</t>
        </is>
      </c>
      <c r="G5" s="13" t="inlineStr">
        <is>
          <t>内河/海运联运：潍坊港/莱州港装船 → 长江口/苏州港，适合 1000 吨以上；需另询船代运价
铁路：潍坊/淄博 → 苏州西，30 车起（约 1800 吨），需另询国铁 95306 运价</t>
        </is>
      </c>
      <c r="H5" s="12" t="n">
        <v>8.1</v>
      </c>
    </row>
    <row r="6" ht="34" customHeight="1">
      <c r="A6" s="23" t="inlineStr">
        <is>
          <t>河北</t>
        </is>
      </c>
      <c r="B6" s="13" t="inlineStr">
        <is>
          <t>邢台（999 km）
唐山（1126 km）</t>
        </is>
      </c>
      <c r="C6" s="12" t="inlineStr">
        <is>
          <t>苏州</t>
        </is>
      </c>
      <c r="D6" s="11" t="n">
        <v>999</v>
      </c>
      <c r="E6" s="12" t="inlineStr">
        <is>
          <t>待核验</t>
        </is>
      </c>
      <c r="F6" s="13" t="inlineStr">
        <is>
          <t>G4 京港澳→G22→G3→G2</t>
        </is>
      </c>
      <c r="G6" s="13" t="inlineStr">
        <is>
          <t>海铁联运：京唐港/天津港 → 连云港/太仓港，再短驳；适合 1000 吨以上</t>
        </is>
      </c>
      <c r="H6" s="12" t="n">
        <v>10.7</v>
      </c>
    </row>
    <row r="7" ht="34" customHeight="1">
      <c r="A7" s="23" t="inlineStr">
        <is>
          <t>河南</t>
        </is>
      </c>
      <c r="B7" s="13" t="inlineStr">
        <is>
          <t>商丘（665 km）
南阳（881 km）</t>
        </is>
      </c>
      <c r="C7" s="12" t="inlineStr">
        <is>
          <t>苏州</t>
        </is>
      </c>
      <c r="D7" s="11" t="n">
        <v>665</v>
      </c>
      <c r="E7" s="12" t="inlineStr">
        <is>
          <t>待核验</t>
        </is>
      </c>
      <c r="F7" s="13" t="inlineStr">
        <is>
          <t>G30 连霍→G3 京台→G2</t>
        </is>
      </c>
      <c r="G7" s="13" t="inlineStr">
        <is>
          <t>铁路：平顶山东/桐柏 → 苏州西，需批量与配车日</t>
        </is>
      </c>
      <c r="H7" s="12" t="n">
        <v>7.1</v>
      </c>
    </row>
    <row r="8" ht="34" customHeight="1">
      <c r="A8" s="23" t="inlineStr">
        <is>
          <t>江苏本地</t>
        </is>
      </c>
      <c r="B8" s="13" t="inlineStr">
        <is>
          <t>淮安（336 km）
连云港（436 km）</t>
        </is>
      </c>
      <c r="C8" s="12" t="inlineStr">
        <is>
          <t>苏州</t>
        </is>
      </c>
      <c r="D8" s="11" t="n">
        <v>336</v>
      </c>
      <c r="E8" s="12" t="inlineStr">
        <is>
          <t>待核验</t>
        </is>
      </c>
      <c r="F8" s="13" t="inlineStr">
        <is>
          <t>G2 京沪</t>
        </is>
      </c>
      <c r="G8" s="13" t="inlineStr">
        <is>
          <t>内河驳船：连云港 → 灌河/盐河 → 京杭运河 → 苏州</t>
        </is>
      </c>
      <c r="H8" s="12" t="n">
        <v>3.8</v>
      </c>
    </row>
    <row r="10">
      <c r="A10" s="30" t="inlineStr">
        <is>
          <t>为什么一个省要用两个起点：单个城市代表不了一个省。山东东端（潍坊）到苏州 760 km，西端（济宁）707 km；河北真正的省内产能集中在唐山（1126 km），比沙河市场所在地多 127 km。所以到厂成本应给「低端—高端」区间，而不是一个点。</t>
        </is>
      </c>
    </row>
    <row r="11"/>
    <row r="12"/>
    <row r="13"/>
  </sheetData>
  <mergeCells count="3">
    <mergeCell ref="A2:H2"/>
    <mergeCell ref="A10:H1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历史区域价差</t>
        </is>
      </c>
    </row>
    <row r="2" ht="28" customHeight="1">
      <c r="A2" s="2" t="inlineStr">
        <is>
          <t>只统计「同一天、同规格、同交货口径」都有报价的日期；缺的那天不插值、不拼凑。</t>
        </is>
      </c>
    </row>
    <row r="4" ht="32" customHeight="1">
      <c r="A4" s="9" t="inlineStr">
        <is>
          <t>日期</t>
        </is>
      </c>
      <c r="B4" s="9" t="inlineStr">
        <is>
          <t>山东
(元/吨)</t>
        </is>
      </c>
      <c r="C4" s="9" t="inlineStr">
        <is>
          <t>河北
(元/吨)</t>
        </is>
      </c>
      <c r="D4" s="9" t="inlineStr">
        <is>
          <t>河南
(元/吨)</t>
        </is>
      </c>
      <c r="E4" s="9" t="inlineStr">
        <is>
          <t>江苏本地
(元/吨)</t>
        </is>
      </c>
      <c r="F4" s="9" t="inlineStr">
        <is>
          <t>区域极差</t>
        </is>
      </c>
    </row>
    <row r="5">
      <c r="A5" s="12" t="inlineStr">
        <is>
          <t>2026-10-16</t>
        </is>
      </c>
      <c r="B5" s="38" t="inlineStr">
        <is>
          <t>1100–1200</t>
        </is>
      </c>
      <c r="C5" s="38" t="inlineStr">
        <is>
          <t>940–950</t>
        </is>
      </c>
      <c r="D5" s="38" t="inlineStr">
        <is>
          <t>1050–1150</t>
        </is>
      </c>
      <c r="E5" s="38" t="inlineStr">
        <is>
          <t>1100–1200</t>
        </is>
      </c>
      <c r="F5" s="39">
        <f>IFERROR(MAX(B5:E5)-MIN(B5:E5),"")</f>
        <v/>
      </c>
    </row>
    <row r="6">
      <c r="A6" s="12" t="inlineStr">
        <is>
          <t>2026-10-14</t>
        </is>
      </c>
      <c r="B6" s="38" t="inlineStr">
        <is>
          <t>1100–1200</t>
        </is>
      </c>
      <c r="C6" s="38" t="inlineStr">
        <is>
          <t>940–950</t>
        </is>
      </c>
      <c r="D6" s="38" t="inlineStr">
        <is>
          <t>1050–1150</t>
        </is>
      </c>
      <c r="E6" s="38" t="inlineStr">
        <is>
          <t>1100–1200</t>
        </is>
      </c>
      <c r="F6" s="39">
        <f>IFERROR(MAX(B6:E6)-MIN(B6:E6),"")</f>
        <v/>
      </c>
    </row>
    <row r="7">
      <c r="A7" s="12" t="inlineStr">
        <is>
          <t>2026-09-29</t>
        </is>
      </c>
      <c r="B7" s="38" t="inlineStr">
        <is>
          <t>1100–1200</t>
        </is>
      </c>
      <c r="C7" s="37" t="inlineStr">
        <is>
          <t>—</t>
        </is>
      </c>
      <c r="D7" s="38" t="inlineStr">
        <is>
          <t>1050–1150</t>
        </is>
      </c>
      <c r="E7" s="38" t="inlineStr">
        <is>
          <t>1100–1200</t>
        </is>
      </c>
      <c r="F7" s="39">
        <f>IFERROR(MAX(B7:E7)-MIN(B7:E7),"")</f>
        <v/>
      </c>
    </row>
    <row r="8">
      <c r="A8" s="12" t="inlineStr">
        <is>
          <t>2026-09-24</t>
        </is>
      </c>
      <c r="B8" s="38" t="inlineStr">
        <is>
          <t>1100–1200</t>
        </is>
      </c>
      <c r="C8" s="38" t="inlineStr">
        <is>
          <t>970–980</t>
        </is>
      </c>
      <c r="D8" s="38" t="inlineStr">
        <is>
          <t>1050–1150</t>
        </is>
      </c>
      <c r="E8" s="38" t="inlineStr">
        <is>
          <t>1100–1200</t>
        </is>
      </c>
      <c r="F8" s="39">
        <f>IFERROR(MAX(B8:E8)-MIN(B8:E8),"")</f>
        <v/>
      </c>
    </row>
    <row r="9">
      <c r="A9" s="12" t="inlineStr">
        <is>
          <t>2026-09-18</t>
        </is>
      </c>
      <c r="B9" s="38" t="inlineStr">
        <is>
          <t>1120–1220</t>
        </is>
      </c>
      <c r="C9" s="37" t="inlineStr">
        <is>
          <t>—</t>
        </is>
      </c>
      <c r="D9" s="38" t="inlineStr">
        <is>
          <t>1090–1180</t>
        </is>
      </c>
      <c r="E9" s="38" t="inlineStr">
        <is>
          <t>1130–1230</t>
        </is>
      </c>
      <c r="F9" s="39">
        <f>IFERROR(MAX(B9:E9)-MIN(B9:E9),"")</f>
        <v/>
      </c>
    </row>
    <row r="10">
      <c r="A10" s="12" t="inlineStr">
        <is>
          <t>2026-09-11</t>
        </is>
      </c>
      <c r="B10" s="38" t="inlineStr">
        <is>
          <t>1120–1220</t>
        </is>
      </c>
      <c r="C10" s="37" t="inlineStr">
        <is>
          <t>—</t>
        </is>
      </c>
      <c r="D10" s="38" t="inlineStr">
        <is>
          <t>1090–1180</t>
        </is>
      </c>
      <c r="E10" s="38" t="inlineStr">
        <is>
          <t>1130–1230</t>
        </is>
      </c>
      <c r="F10" s="39">
        <f>IFERROR(MAX(B10:E10)-MIN(B10:E10),"")</f>
        <v/>
      </c>
    </row>
    <row r="11">
      <c r="A11" s="12" t="inlineStr">
        <is>
          <t>2026-07-29</t>
        </is>
      </c>
      <c r="B11" s="38" t="inlineStr">
        <is>
          <t>1250–1320</t>
        </is>
      </c>
      <c r="C11" s="37" t="inlineStr">
        <is>
          <t>—</t>
        </is>
      </c>
      <c r="D11" s="37" t="inlineStr">
        <is>
          <t>—</t>
        </is>
      </c>
      <c r="E11" s="38" t="inlineStr">
        <is>
          <t>1210–1280</t>
        </is>
      </c>
      <c r="F11" s="39">
        <f>IFERROR(MAX(B11:E11)-MIN(B11:E11),"")</f>
        <v/>
      </c>
    </row>
    <row r="13">
      <c r="A13" s="30" t="inlineStr">
        <is>
          <t>说明：「区域极差」是对该日各区报价中值两两比较的最大差，反映当日区域分化程度。这些日期不是每个区域都有同日报价，缺的日期不插值，因此统计只覆盖可比日。</t>
        </is>
      </c>
    </row>
    <row r="14"/>
    <row r="15"/>
    <row r="16"/>
  </sheetData>
  <mergeCells count="3">
    <mergeCell ref="A13:F16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34" customWidth="1" min="4" max="4"/>
    <col width="42" customWidth="1" min="5" max="5"/>
    <col width="34" customWidth="1" min="6" max="6"/>
  </cols>
  <sheetData>
    <row r="1" ht="30" customHeight="1">
      <c r="A1" s="1" t="inlineStr">
        <is>
          <t>数据缺口与关键假设</t>
        </is>
      </c>
    </row>
    <row r="2" ht="28" customHeight="1">
      <c r="A2" s="2" t="inlineStr">
        <is>
          <t>缺失项不会被估算填充，只会被标出来。补齐之后才能做排名。</t>
        </is>
      </c>
    </row>
    <row r="4" ht="32" customHeight="1">
      <c r="A4" s="9" t="inlineStr">
        <is>
          <t>级别</t>
        </is>
      </c>
      <c r="B4" s="9" t="inlineStr">
        <is>
          <t>缺口</t>
        </is>
      </c>
      <c r="C4" s="9" t="inlineStr">
        <is>
          <t>缺什么</t>
        </is>
      </c>
      <c r="D4" s="9" t="inlineStr">
        <is>
          <t>为什么缺</t>
        </is>
      </c>
      <c r="E4" s="9" t="inlineStr">
        <is>
          <t>怎么补</t>
        </is>
      </c>
      <c r="F4" s="9" t="inlineStr">
        <is>
          <t>影响</t>
        </is>
      </c>
    </row>
    <row r="5" ht="54" customHeight="1">
      <c r="A5" s="40" t="inlineStr">
        <is>
          <t>阻断</t>
        </is>
      </c>
      <c r="B5" s="23" t="inlineStr">
        <is>
          <t>全部线路运费（元/吨）</t>
        </is>
      </c>
      <c r="C5" s="13" t="inlineStr">
        <is>
          <t>山东/河北/河南/江苏→苏州 的公路整车运价</t>
        </is>
      </c>
      <c r="D5" s="13" t="inlineStr">
        <is>
          <t>没有任何 30 吨左右袋装普货的公路运价可以直接引用：运价随油价、回程车、淡旺季波动，且属于承运方报价，不公开。</t>
        </is>
      </c>
      <c r="E5" s="13" t="inlineStr">
        <is>
          <t>向 2 家以上承运方询价（注明车型、起终点、是否回程、装货等待、税费），把每吨运价填进表格即可解锁到厂成本。</t>
        </is>
      </c>
      <c r="F5" s="13" t="inlineStr">
        <is>
          <t>到厂成本与排名无法计算，但价格差、距离与因素方向可以给出</t>
        </is>
      </c>
    </row>
    <row r="6" ht="54" customHeight="1">
      <c r="A6" s="40" t="inlineStr">
        <is>
          <t>阻断</t>
        </is>
      </c>
      <c r="B6" s="23" t="inlineStr">
        <is>
          <t>装车费、卸车费</t>
        </is>
      </c>
      <c r="C6" s="13" t="inlineStr">
        <is>
          <t>袋装纯碱的装车、卸车（含卸货到指定库位）单价</t>
        </is>
      </c>
      <c r="D6" s="13" t="inlineStr">
        <is>
          <t>通常由发货厂/收货方/承运方分别承担，不同厂家差异大，且多数厂家含在车板价里。</t>
        </is>
      </c>
      <c r="E6" s="13" t="inlineStr">
        <is>
          <t>确认‘是否含装卸’：含则填 0 并注明，不含则按实际报价填入。</t>
        </is>
      </c>
      <c r="F6" s="13" t="inlineStr">
        <is>
          <t>影响约 5~30 元/吨量级，对接近的排名可能造成翻转</t>
        </is>
      </c>
    </row>
    <row r="7" ht="54" customHeight="1">
      <c r="A7" s="41" t="inlineStr">
        <is>
          <t>提示</t>
        </is>
      </c>
      <c r="B7" s="23" t="inlineStr">
        <is>
          <t>袋装/散装与堆密度细分规格</t>
        </is>
      </c>
      <c r="C7" s="13" t="inlineStr">
        <is>
          <t>25kg 袋与吨包的价差、袋装与散装价差</t>
        </is>
      </c>
      <c r="D7" s="13" t="inlineStr">
        <is>
          <t>分区报价表未按包装细分，袋装通常较散装溢价。</t>
        </is>
      </c>
      <c r="E7" s="13" t="inlineStr">
        <is>
          <t>询价时注明包装并取得同规格报价</t>
        </is>
      </c>
      <c r="F7" s="13" t="inlineStr">
        <is>
          <t>约 10~40 元/吨</t>
        </is>
      </c>
    </row>
    <row r="8" ht="54" customHeight="1">
      <c r="A8" s="41" t="inlineStr">
        <is>
          <t>提示</t>
        </is>
      </c>
      <c r="B8" s="23" t="inlineStr">
        <is>
          <t>山东/河南‘送到’的具体送达范围</t>
        </is>
      </c>
      <c r="C8" s="13" t="inlineStr">
        <is>
          <t>分区表标注‘送到’但未定义送到半径，实际可能是本省/本大区内送到，而非送到苏州</t>
        </is>
      </c>
      <c r="D8" s="13" t="inlineStr">
        <is>
          <t>若‘送到’仅覆盖区域内，则到苏州仍需追加运费</t>
        </is>
      </c>
      <c r="E8" s="13" t="inlineStr">
        <is>
          <t>向供应商确认‘出厂价’与‘送到苏州价’分别报价</t>
        </is>
      </c>
      <c r="F8" s="13" t="inlineStr">
        <is>
          <t>可能高估分区价的含运程度（对山东/河南更不利）</t>
        </is>
      </c>
    </row>
    <row r="10">
      <c r="A10" s="5" t="inlineStr">
        <is>
          <t>关键假设</t>
        </is>
      </c>
    </row>
    <row r="11" ht="32" customHeight="1">
      <c r="A11" s="41" t="inlineStr">
        <is>
          <t>A1</t>
        </is>
      </c>
      <c r="B11" s="13" t="inlineStr">
        <is>
          <t>价格口径：全部为含 13% 增值税的人民币价格，计价单位元/吨（净重）。</t>
        </is>
      </c>
      <c r="C11" s="13" t="n"/>
      <c r="D11" s="13" t="n"/>
      <c r="E11" s="13" t="n"/>
      <c r="F11" s="13" t="n"/>
    </row>
    <row r="12" ht="32" customHeight="1">
      <c r="A12" s="41" t="inlineStr">
        <is>
          <t>A2</t>
        </is>
      </c>
      <c r="B12" s="13" t="inlineStr">
        <is>
          <t>交货口径：沙河列为自提；华北/华中/华东列为送到或出厂（未细分）。三大来源地若为出厂价，则到厂还需加全程运费；若为送到本区域，则到苏州仍需追加长途运费。两种情况下方向一致：非江苏来源都要另付长途运费。</t>
        </is>
      </c>
      <c r="C12" s="13" t="n"/>
      <c r="D12" s="13" t="n"/>
      <c r="E12" s="13" t="n"/>
      <c r="F12" s="13" t="n"/>
    </row>
    <row r="13" ht="32" customHeight="1">
      <c r="A13" s="41" t="inlineStr">
        <is>
          <t>A3</t>
        </is>
      </c>
      <c r="B13" s="13" t="inlineStr">
        <is>
          <t>取区间中值作为点估计，并在报告中同时给出区间上下限（敏感性）。</t>
        </is>
      </c>
      <c r="C13" s="13" t="n"/>
      <c r="D13" s="13" t="n"/>
      <c r="E13" s="13" t="n"/>
      <c r="F13" s="13" t="n"/>
    </row>
    <row r="14" ht="32" customHeight="1">
      <c r="A14" s="41" t="inlineStr">
        <is>
          <t>A4</t>
        </is>
      </c>
      <c r="B14" s="13" t="inlineStr">
        <is>
          <t>运距采用可核验的高德/车主手册类公路路线里程（高速主推方案），不含厂区到高速口的短驳，实际±5%。</t>
        </is>
      </c>
      <c r="C14" s="13" t="n"/>
      <c r="D14" s="13" t="n"/>
      <c r="E14" s="13" t="n"/>
      <c r="F14" s="13" t="n"/>
    </row>
    <row r="15" ht="32" customHeight="1">
      <c r="A15" s="41" t="inlineStr">
        <is>
          <t>A5</t>
        </is>
      </c>
      <c r="B15" s="13" t="inlineStr">
        <is>
          <t>装卸、检测等费用无法核实，一律留空；用户填 0 表示“确认含在车板价内”。</t>
        </is>
      </c>
      <c r="C15" s="13" t="n"/>
      <c r="D15" s="13" t="n"/>
      <c r="E15" s="13" t="n"/>
      <c r="F15" s="13" t="n"/>
    </row>
    <row r="16" ht="32" customHeight="1">
      <c r="A16" s="41" t="inlineStr">
        <is>
          <t>A6</t>
        </is>
      </c>
      <c r="B16" s="13" t="inlineStr">
        <is>
          <t>100 吨约需 3.2 车（13m 半挂按 31 吨/车），整车包干运价通常以单程车为单位议价。</t>
        </is>
      </c>
      <c r="C16" s="13" t="n"/>
      <c r="D16" s="13" t="n"/>
      <c r="E16" s="13" t="n"/>
      <c r="F16" s="13" t="n"/>
    </row>
    <row r="17" ht="32" customHeight="1">
      <c r="A17" s="41" t="inlineStr">
        <is>
          <t>A7</t>
        </is>
      </c>
      <c r="B17" s="13" t="inlineStr">
        <is>
          <t>不预测未来价格。报告中所有关于涨跌的描述均为已发生事实。</t>
        </is>
      </c>
      <c r="C17" s="13" t="n"/>
      <c r="D17" s="13" t="n"/>
      <c r="E17" s="13" t="n"/>
      <c r="F17" s="13" t="n"/>
    </row>
  </sheetData>
  <mergeCells count="9">
    <mergeCell ref="A2:F2"/>
    <mergeCell ref="B12:F12"/>
    <mergeCell ref="B16:F16"/>
    <mergeCell ref="B15:F15"/>
    <mergeCell ref="A1:F1"/>
    <mergeCell ref="B11:F11"/>
    <mergeCell ref="B14:F14"/>
    <mergeCell ref="B17:F17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8" customWidth="1" min="4" max="4"/>
    <col width="20" customWidth="1" min="5" max="5"/>
    <col width="52" customWidth="1" min="6" max="6"/>
    <col width="34" customWidth="1" min="7" max="7"/>
  </cols>
  <sheetData>
    <row r="1" ht="30" customHeight="1">
      <c r="A1" s="1" t="inlineStr">
        <is>
          <t>数据来源</t>
        </is>
      </c>
    </row>
    <row r="2" ht="28" customHeight="1">
      <c r="A2" s="2" t="inlineStr">
        <is>
          <t>每个价格都能点回原文。</t>
        </is>
      </c>
    </row>
    <row r="4" ht="32" customHeight="1">
      <c r="A4" s="9" t="inlineStr">
        <is>
          <t>编号</t>
        </is>
      </c>
      <c r="B4" s="9" t="inlineStr">
        <is>
          <t>来源</t>
        </is>
      </c>
      <c r="C4" s="9" t="inlineStr">
        <is>
          <t>类型</t>
        </is>
      </c>
      <c r="D4" s="9" t="inlineStr">
        <is>
          <t>口径等级</t>
        </is>
      </c>
      <c r="E4" s="9" t="inlineStr">
        <is>
          <t>采集时间</t>
        </is>
      </c>
      <c r="F4" s="9" t="inlineStr">
        <is>
          <t>链接</t>
        </is>
      </c>
      <c r="G4" s="9" t="inlineStr">
        <is>
          <t>备注</t>
        </is>
      </c>
    </row>
    <row r="5" ht="30" customHeight="1">
      <c r="A5" s="23" t="inlineStr">
        <is>
          <t>S1</t>
        </is>
      </c>
      <c r="B5" s="13" t="inlineStr">
        <is>
          <t>化盟网《纯碱日评》分区价格表（2026-10-16）</t>
        </is>
      </c>
      <c r="C5" s="12" t="inlineStr">
        <is>
          <t>市场资讯</t>
        </is>
      </c>
      <c r="D5" s="12" t="inlineStr">
        <is>
          <t>送到/自提</t>
        </is>
      </c>
      <c r="E5" s="12" t="inlineStr">
        <is>
          <t>2026-10-19</t>
        </is>
      </c>
      <c r="F5" s="42" t="inlineStr">
        <is>
          <t>https://zx.hm-w.com/viewpoint/detail/17862</t>
        </is>
      </c>
      <c r="G5" s="13" t="inlineStr">
        <is>
          <t>该表按‘沙河/华北/华东/华中/华南’分区列重碱与轻碱区间价，日频更新，并给出与上一交易日的涨跌。</t>
        </is>
      </c>
    </row>
    <row r="6" ht="30" customHeight="1">
      <c r="A6" s="23" t="inlineStr">
        <is>
          <t>S2</t>
        </is>
      </c>
      <c r="B6" s="13" t="inlineStr">
        <is>
          <t>隆众资讯《纯碱日评》分区价格表（2026-10-14）</t>
        </is>
      </c>
      <c r="C6" s="12" t="inlineStr">
        <is>
          <t>市场资讯</t>
        </is>
      </c>
      <c r="D6" s="12" t="inlineStr">
        <is>
          <t>送到/自提</t>
        </is>
      </c>
      <c r="E6" s="12" t="inlineStr">
        <is>
          <t>2026-10-19</t>
        </is>
      </c>
      <c r="F6" s="42" t="inlineStr">
        <is>
          <t>https://zx.hm-w.com/viewpoint/detail/17828</t>
        </is>
      </c>
      <c r="G6" s="13" t="inlineStr">
        <is>
          <t>作为 S1 的回测对照：各分区重碱价格与 10-16 一致，说明近三个交易日现货平稳。</t>
        </is>
      </c>
    </row>
    <row r="7" ht="30" customHeight="1">
      <c r="A7" s="23" t="inlineStr">
        <is>
          <t>S3</t>
        </is>
      </c>
      <c r="B7" s="13" t="inlineStr">
        <is>
          <t>海证期货·隆众口径分区重碱价（2026-09-18）</t>
        </is>
      </c>
      <c r="C7" s="12" t="inlineStr">
        <is>
          <t>期货公司日报（引隆众）</t>
        </is>
      </c>
      <c r="D7" s="12" t="inlineStr">
        <is>
          <t>送到</t>
        </is>
      </c>
      <c r="E7" s="12" t="inlineStr">
        <is>
          <t>2026-10-19</t>
        </is>
      </c>
      <c r="F7" s="42" t="inlineStr">
        <is>
          <t>https://www.sohu.com/a/1077654435_122014422</t>
        </is>
      </c>
      <c r="G7" s="13" t="inlineStr">
        <is>
          <t>华北 1120-1220、华东 1130-1230、华中 1090-1180。</t>
        </is>
      </c>
    </row>
    <row r="8" ht="30" customHeight="1">
      <c r="A8" s="23" t="inlineStr">
        <is>
          <t>S4</t>
        </is>
      </c>
      <c r="B8" s="13" t="inlineStr">
        <is>
          <t>海证期货·隆众口径分区重碱价（2026-09-11）</t>
        </is>
      </c>
      <c r="C8" s="12" t="inlineStr">
        <is>
          <t>期货公司日报（引隆众）</t>
        </is>
      </c>
      <c r="D8" s="12" t="inlineStr">
        <is>
          <t>送到</t>
        </is>
      </c>
      <c r="E8" s="12" t="inlineStr">
        <is>
          <t>2026-10-19</t>
        </is>
      </c>
      <c r="F8" s="42" t="inlineStr">
        <is>
          <t>https://www.sohu.com/a/1074629703_122014422</t>
        </is>
      </c>
      <c r="G8" s="13" t="inlineStr">
        <is>
          <t>华北 1120-1220、华东 1130-1230、华中 1090-1180（与 S3 一致）。</t>
        </is>
      </c>
    </row>
    <row r="9" ht="30" customHeight="1">
      <c r="A9" s="23" t="inlineStr">
        <is>
          <t>S5</t>
        </is>
      </c>
      <c r="B9" s="13" t="inlineStr">
        <is>
          <t>化盟网《纯碱日评》（2026-09-24 / 2026-09-29）</t>
        </is>
      </c>
      <c r="C9" s="12" t="inlineStr">
        <is>
          <t>市场资讯</t>
        </is>
      </c>
      <c r="D9" s="12" t="inlineStr">
        <is>
          <t>送到/自提</t>
        </is>
      </c>
      <c r="E9" s="12" t="inlineStr">
        <is>
          <t>2026-10-19</t>
        </is>
      </c>
      <c r="F9" s="42" t="inlineStr">
        <is>
          <t>https://zx.hm-w.com/viewpoint/detail/17688</t>
        </is>
      </c>
      <c r="G9" s="13" t="inlineStr">
        <is>
          <t>沙河重碱 09-24 为 970-980（前一日 975-985）；09-29 表中华北/华东重碱 1100-1200、华中 1050-1150。</t>
        </is>
      </c>
    </row>
    <row r="10" ht="30" customHeight="1">
      <c r="A10" s="23" t="inlineStr">
        <is>
          <t>S6</t>
        </is>
      </c>
      <c r="B10" s="13" t="inlineStr">
        <is>
          <t>新华财经·玻多多华北/华东重碱价（2026-07-29）</t>
        </is>
      </c>
      <c r="C10" s="12" t="inlineStr">
        <is>
          <t>新闻通讯社</t>
        </is>
      </c>
      <c r="D10" s="12" t="inlineStr">
        <is>
          <t>主流报价（含税，口径同城）</t>
        </is>
      </c>
      <c r="E10" s="12" t="inlineStr">
        <is>
          <t>2026-10-19</t>
        </is>
      </c>
      <c r="F10" s="42" t="inlineStr">
        <is>
          <t>https://finance.eastmoney.com/a/202607303826720998.html</t>
        </is>
      </c>
      <c r="G10" s="13" t="inlineStr">
        <is>
          <t>华北重碱 1250-1320、华东重碱 1210-1280；华北轻碱 1150-1210、华东轻碱 1010-1570。</t>
        </is>
      </c>
    </row>
    <row r="11" ht="30" customHeight="1">
      <c r="A11" s="23" t="inlineStr">
        <is>
          <t>S7</t>
        </is>
      </c>
      <c r="B11" s="13" t="inlineStr">
        <is>
          <t>生意社·重质纯碱基准价与现期图（2026-07-21 ~ 2026-10-19）</t>
        </is>
      </c>
      <c r="C11" s="12" t="inlineStr">
        <is>
          <t>价格指数（全国）</t>
        </is>
      </c>
      <c r="D11" s="12" t="inlineStr">
        <is>
          <t>全国加权参考价</t>
        </is>
      </c>
      <c r="E11" s="12" t="inlineStr">
        <is>
          <t>2026-10-19</t>
        </is>
      </c>
      <c r="F11" s="42" t="inlineStr">
        <is>
          <t>https://www.100ppi.com/sf/737.html</t>
        </is>
      </c>
      <c r="G11" s="13" t="inlineStr">
        <is>
          <t>10-19 重碱基准价 1062.86 元/吨；同页给出主力合约与基差，可复核全国价格中枢走向。</t>
        </is>
      </c>
    </row>
    <row r="12" ht="30" customHeight="1">
      <c r="A12" s="23" t="inlineStr">
        <is>
          <t>S8</t>
        </is>
      </c>
      <c r="B12" s="13" t="inlineStr">
        <is>
          <t>隆众资讯：纯碱期货合约标准化说明（转引郑商所）</t>
        </is>
      </c>
      <c r="C12" s="12" t="inlineStr">
        <is>
          <t>交易所规则</t>
        </is>
      </c>
      <c r="D12" s="12" t="inlineStr">
        <is>
          <t>规则</t>
        </is>
      </c>
      <c r="E12" s="12" t="inlineStr">
        <is>
          <t>2026-10-19</t>
        </is>
      </c>
      <c r="F12" s="42" t="inlineStr">
        <is>
          <t>https://www.czce.com.cn/cn/rootfiles/2021/09/03/1605597062097884-1605597062128743.pdf</t>
        </is>
      </c>
      <c r="G12" s="13" t="inlineStr">
        <is>
          <t>“轻碱统一采用出厂价；重碱除西北以外的地区采用送到价，西北地区采用出厂价”——这是本报告区分‘出厂/送到’依据。</t>
        </is>
      </c>
    </row>
  </sheetData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2026-10-19T10:13:16Z</dcterms:created>
  <dcterms:modified xmlns:dcterms="http://purl.org/dc/terms/" xmlns:xsi="http://www.w3.org/2001/XMLSchema-instance" xsi:type="dcterms:W3CDTF">2026-10-19T10:13:16Z</dcterms:modified>
</cp:coreProperties>
</file>
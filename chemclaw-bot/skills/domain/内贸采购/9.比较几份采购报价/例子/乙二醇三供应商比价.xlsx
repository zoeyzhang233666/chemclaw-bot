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封面与说明" sheetId="1" r:id="rId1"/>
    <sheet name="01 统一报价表" sheetId="2" r:id="rId2"/>
    <sheet name="02 原始数据" sheetId="3" r:id="rId3"/>
    <sheet name="03 标准化字段" sheetId="4" r:id="rId4"/>
    <sheet name="04 计算公式" sheetId="5" r:id="rId5"/>
    <sheet name="05 成本汇总" sheetId="6" r:id="rId6"/>
    <sheet name="06 参数与来源" sheetId="7" r:id="rId7"/>
    <sheet name="07 账期敏感性" sheetId="8" r:id="rId8"/>
    <sheet name="08 参数敏感性" sheetId="9" r:id="rId9"/>
    <sheet name="09 情景分析" sheetId="10" r:id="rId10"/>
    <sheet name="10 待确认事项" sheetId="11" r:id="rId11"/>
  </sheets>
  <calcPr calcId="124519" fullCalcOnLoad="1"/>
</workbook>
</file>

<file path=xl/sharedStrings.xml><?xml version="1.0" encoding="utf-8"?>
<sst xmlns="http://schemas.openxmlformats.org/spreadsheetml/2006/main" count="1031" uniqueCount="685">
  <si>
    <t>乙二醇采购报价比较 · 标准化与计算工作簿</t>
  </si>
  <si>
    <t>工业级乙二醇（聚酯级 ≥99.9%）｜数量 200 吨｜收货地 江苏省苏州市（苏州工业园区）｜报价期 2026-10-19</t>
  </si>
  <si>
    <t>【模拟业务样例】本工作簿全部供应商名称、价格与条款均为虚构，仅用于验证报价提取、口径统一与到厂成本比价流程，不得作为真实采购决策依据。</t>
  </si>
  <si>
    <t>一、本工作簿内容</t>
  </si>
  <si>
    <t>01 统一报价表</t>
  </si>
  <si>
    <t>三家供应商按统一字段对照：原始值、转换值、假设值三层分离，逐字段标注口径</t>
  </si>
  <si>
    <t>02 原始数据</t>
  </si>
  <si>
    <t>报价文件逐字原文（L1），不做任何换算，用于追溯</t>
  </si>
  <si>
    <t>03 标准化字段</t>
  </si>
  <si>
    <t>L2 口径转换结果：单位、税费、含量折纯、数量阶梯、账期</t>
  </si>
  <si>
    <t>04 计算公式</t>
  </si>
  <si>
    <t>到厂成本每一步的公式、输入、输出和 Excel 实际公式</t>
  </si>
  <si>
    <t>05 成本汇总</t>
  </si>
  <si>
    <t>参考到厂成本汇总（公式联动）与差异归因</t>
  </si>
  <si>
    <t>06 参数与来源</t>
  </si>
  <si>
    <t>全部参数、取值、性质（用户/假设/法定/市场）与来源</t>
  </si>
  <si>
    <t>07 账期敏感性</t>
  </si>
  <si>
    <t>资金成本 × 付款天数矩阵；保证金、押金占用</t>
  </si>
  <si>
    <t>08 参数敏感性</t>
  </si>
  <si>
    <t>数量、资金成本、运费、卸车费、车次对到厂成本的影响</t>
  </si>
  <si>
    <t>09 情景分析</t>
  </si>
  <si>
    <t>6 个情景：运费剔除、资金成本、降量、C 折纯、C 专票、市场压力</t>
  </si>
  <si>
    <t>10 待确认事项</t>
  </si>
  <si>
    <t>缺失字段清单、优先���、影响、需索取材料；被忽略条款；交叉检查</t>
  </si>
  <si>
    <t>二、口径声明（读表前必读）</t>
  </si>
  <si>
    <t>穿透口径</t>
  </si>
  <si>
    <t>净商品量 1 吨、不含税可抵扣、折纯至 100%、到收货地（含买方运费、卸车费等）</t>
  </si>
  <si>
    <t>三层分离</t>
  </si>
  <si>
    <t>原始值 = 报价单原文（紫色）；转换值 = 公式计算（蓝色）；假设 = 用户输入或缺失字段处理（黄色）</t>
  </si>
  <si>
    <t>缺失字段</t>
  </si>
  <si>
    <t>报价文件未提供的字段一律列为「待确认」，不按 0 计，不自行假设</t>
  </si>
  <si>
    <t>不可比</t>
  </si>
  <si>
    <t>不同计价单位（元/公斤、元/吨、元/桶）、不同税费口径（含税/不含税/普票）、不同规格（99.92%/99.90%/99.5%）不得直接比较单价</t>
  </si>
  <si>
    <t>资金成本</t>
  </si>
  <si>
    <t>年化资金成本 ÷ 360 × 加权付款天数（现金流加权，不是合同上的「账期」）</t>
  </si>
  <si>
    <t>样例属性</t>
  </si>
  <si>
    <t>供应商 A/B/C 及其价格、条款均为虚构</t>
  </si>
  <si>
    <t>三、关键结论（公式随 05 表联动）</t>
  </si>
  <si>
    <t>最优（同口径，剔除规格不符的 C）</t>
  </si>
  <si>
    <t>恒源新材料供应链（B）：参考到厂成本 4,930.15 元/吨</t>
  </si>
  <si>
    <t>A 与 B 差额</t>
  </si>
  <si>
    <t>A 为 5,541.08 元/吨，比 B 高 610.94 元/吨（+12.4%）；200 吨合计约 12.2 万元</t>
  </si>
  <si>
    <t>C 的情况</t>
  </si>
  <si>
    <t>6,300 元/桶 ÷ 0.220 吨/桶 = 28,636 元/吨，约为 B 的 5.8 倍；且含量仅 99.5%、税率未明，不具可比性</t>
  </si>
  <si>
    <t>差异主要来源</t>
  </si>
  <si>
    <t>① 计价单位（公斤/吨/桶）② 税费口径（含税/不含税/普票）③ 运费与交付方式 ④ 账期资金占用 ⑤ 规格含量</t>
  </si>
  <si>
    <t>下一步建议</t>
  </si>
  <si>
    <t>以 B 为价格锚定；要求 A 提供送货到厂价或降价至同口径水平；要求 C 补充专票、≥99.9% 规格与桶重后重新报价</t>
  </si>
  <si>
    <t>01 · 统一报价表（三层分离）</t>
  </si>
  <si>
    <t>每一格标注来源：原始值（紫）= 报价单原文；转换值（蓝）= 公式计算；假设（黄）= 用户输入/缺失处理</t>
  </si>
  <si>
    <t>图例：原始值｜转换值｜假设</t>
  </si>
  <si>
    <t>原始值（L1）</t>
  </si>
  <si>
    <t>转换值（L2）</t>
  </si>
  <si>
    <t>假设（L3）</t>
  </si>
  <si>
    <t>缺失（待确认）</t>
  </si>
  <si>
    <t>统一字段（15+2）</t>
  </si>
  <si>
    <t>供应商 A · PDF</t>
  </si>
  <si>
    <t>供应商 B · Excel</t>
  </si>
  <si>
    <t>供应商 C · 图片</t>
  </si>
  <si>
    <t>口径说明 / 转换</t>
  </si>
  <si>
    <t>待确认</t>
  </si>
  <si>
    <t>产品名称</t>
  </si>
  <si>
    <t>乙二醇（聚酯级（纤维级））</t>
  </si>
  <si>
    <t>乙二醇（ME 级）</t>
  </si>
  <si>
    <t>乙二醇（工业级）</t>
  </si>
  <si>
    <t>规格 / 含量</t>
  </si>
  <si>
    <t>含量≥99.92%；水分≤0.08%；色度（Pt-Co）≤5；二甘醇（DEG）≤0.05%</t>
  </si>
  <si>
    <t>纯度≥99.90%；水分≤0.10%；DEG≤0.03%；铁（Fe）≤0.5 mg/kg</t>
  </si>
  <si>
    <t>含量 ≥ 99.5%（未注明水分与 DEG 指标）</t>
  </si>
  <si>
    <t>计价单位（原文）</t>
  </si>
  <si>
    <t>元/公斤</t>
  </si>
  <si>
    <t>元/吨</t>
  </si>
  <si>
    <t>元/桶</t>
  </si>
  <si>
    <t>A=元/公斤，B=元/吨，C=元/桶 → 统一换算为元/吨（见 03 表）</t>
  </si>
  <si>
    <t>单价（原文）</t>
  </si>
  <si>
    <t>6.20 元/公斤</t>
  </si>
  <si>
    <t>4850 元/吨（不含税）</t>
  </si>
  <si>
    <t>6300 元/桶（含税到货价）</t>
  </si>
  <si>
    <t>A 含税→÷1.13；B 不含税→原值；C 含税(普票)→全额入成本</t>
  </si>
  <si>
    <t>是否含税 / 税率</t>
  </si>
  <si>
    <t>含税价，可开具税率 13% 的增值税专用发票</t>
  </si>
  <si>
    <t>价格不含税，另开增值税专用发票 13%</t>
  </si>
  <si>
    <t>含税到货价（未注明税种与税率；未注明发票类型）</t>
  </si>
  <si>
    <t>A/B 13% 专票；C 税率与票种未注明 → 默认普票、进项不可抵扣</t>
  </si>
  <si>
    <t>C</t>
  </si>
  <si>
    <t>发票类型</t>
  </si>
  <si>
    <t>增值税专用发票</t>
  </si>
  <si>
    <t>未注明（默认普通发票）</t>
  </si>
  <si>
    <t>数量阶梯</t>
  </si>
  <si>
    <t>≥22 吨 6.20 元/公斤；≥110 吨 6.17 元/公斤</t>
  </si>
  <si>
    <t>30~119 吨 4,850；单月累计≥120 吨 4,800（元/吨，不含税）</t>
  </si>
  <si>
    <t>≥5 吨单一价</t>
  </si>
  <si>
    <t>需求量 200 吨：A 命中 ≥110 吨档；B 命中 ≥120 吨档</t>
  </si>
  <si>
    <t>包装形式</t>
  </si>
  <si>
    <t>吨桶（IBC，1000L，净重约1100kg/桶）</t>
  </si>
  <si>
    <t>散装（槽车）</t>
  </si>
  <si>
    <t>镀锌铁桶 200L / 220kg / 桶</t>
  </si>
  <si>
    <t>包装费用</t>
  </si>
  <si>
    <t>包装费已含（IBC 吨桶，免回收）</t>
  </si>
  <si>
    <t>包装费 0（散装，无包装物）</t>
  </si>
  <si>
    <t>包装费已含；铁桶押金 30 元/桶（可退）</t>
  </si>
  <si>
    <t>运费承担方与金额</t>
  </si>
  <si>
    <t>自提，运费买方自行安排承担（不报价、不计入）</t>
  </si>
  <si>
    <t>不含运费，由买方承担（建议买方自行委托槽车提货）</t>
  </si>
  <si>
    <t>已含（卖方承担），5 吨以上免运费</t>
  </si>
  <si>
    <t>A/B 买方自提 → 需加买方运费；C 卖方含运 → 运费计入价内</t>
  </si>
  <si>
    <t>A</t>
  </si>
  <si>
    <t>交货方式</t>
  </si>
  <si>
    <t>张家港库区自提；款到后 2 个工作日内出库；单笔≥22 吨免仓储费</t>
  </si>
  <si>
    <t>工厂门交付，买方或买方指定承运人自提；放货需提前 2 个工作日预约</t>
  </si>
  <si>
    <t>送货上门（限 5 吨以上、苏州大市范围、8:00-17:00）</t>
  </si>
  <si>
    <t>付款条件</t>
  </si>
  <si>
    <t>预付 50%，余款见增值税发票后 7 日内电汇</t>
  </si>
  <si>
    <t>月结 30 天（次月 25 日前结清上月货款）；首次合作需保证金 30 万元（可抵扣）</t>
  </si>
  <si>
    <t>款到发货</t>
  </si>
  <si>
    <t>A 加权 21 天；B 月结 30 天≈46 天；C 款到发货 0 天</t>
  </si>
  <si>
    <t>最小起订量</t>
  </si>
  <si>
    <t>≥22 吨（整车起订）</t>
  </si>
  <si>
    <t>30 吨/车，单月累计≥60 吨</t>
  </si>
  <si>
    <t>5 吨</t>
  </si>
  <si>
    <t>报价有效期</t>
  </si>
  <si>
    <t>2026-10-19 至 2026-10-23（5 个自然日）</t>
  </si>
  <si>
    <t>报价当日有效（2026-10-19 17:00 前确认）</t>
  </si>
  <si>
    <t>10 天内有效（未注明起始日期）</t>
  </si>
  <si>
    <t>CB</t>
  </si>
  <si>
    <t>质量标准</t>
  </si>
  <si>
    <t>执行 GB/T 4649-2018 聚酯级（优等品）指标；随货提供批次 COA，可提供第三方（SGS）检测，费用买方另议</t>
  </si>
  <si>
    <t>执行 GB/T 4649-2018 聚酯级优等品；COA 随车；异议须于收货后 3 个工作日内提出</t>
  </si>
  <si>
    <t>未注明执行标准；可提供企业自检报告</t>
  </si>
  <si>
    <t>产地 / 生产企业</t>
  </si>
  <si>
    <t>扬子石化</t>
  </si>
  <si>
    <t>中海壳牌</t>
  </si>
  <si>
    <t>国产</t>
  </si>
  <si>
    <t>其他条款</t>
  </si>
  <si>
    <t>单笔订单不足 22 吨按零单加收 60 元/吨库区作业费；结算以磅单为准，磅差超过±0.2%双方协商</t>
  </si>
  <si>
    <t>价格联动：生意社基准价月均价较 5,966.67 元/吨上下浮动超3%部分100%联动；数量误差±0.3%以内不调整</t>
  </si>
  <si>
    <t>若遇原料价格大幅波动，保留调价权利（未约定幅度与机制）</t>
  </si>
  <si>
    <t>标准化口径（元/吨）</t>
  </si>
  <si>
    <t>统一口径字段</t>
  </si>
  <si>
    <t>A 华东石化</t>
  </si>
  <si>
    <t>B 恒源</t>
  </si>
  <si>
    <t>C 苏南</t>
  </si>
  <si>
    <t>公式 / 说明</t>
  </si>
  <si>
    <t>数据性质</t>
  </si>
  <si>
    <t>含税单价（元/吨）</t>
  </si>
  <si>
    <t>A：6.20×1000；B：4850×1.13；C：6300÷0.22</t>
  </si>
  <si>
    <t>转换值</t>
  </si>
  <si>
    <t>不含税裸价（元/吨）</t>
  </si>
  <si>
    <t>—</t>
  </si>
  <si>
    <t>A：6200÷1.13；B：4850；C：普票全额入成本（见成本表）</t>
  </si>
  <si>
    <t>含量</t>
  </si>
  <si>
    <t>取自报价单规格</t>
  </si>
  <si>
    <t>原始值</t>
  </si>
  <si>
    <t>折纯判断</t>
  </si>
  <si>
    <t>✓ 允许</t>
  </si>
  <si>
    <t>✗ 低于询价规格</t>
  </si>
  <si>
    <t>见 03 表折纯规则</t>
  </si>
  <si>
    <t>报价有效期（天）</t>
  </si>
  <si>
    <t>A 5 天；B 当日有效；C 未注明起始日</t>
  </si>
  <si>
    <t>最小起订量（吨）</t>
  </si>
  <si>
    <t>取自报价单</t>
  </si>
  <si>
    <t>加权资金占用天数</t>
  </si>
  <si>
    <t>按付款现金流加权（见 07 表）</t>
  </si>
  <si>
    <t>02 · 原始数据（L1 · 逐字，未做换算）</t>
  </si>
  <si>
    <t>报价文件原文。任何字段为空 = 该文件未提供，不等于 0，已列入 10 表待确认。</t>
  </si>
  <si>
    <t>字段</t>
  </si>
  <si>
    <t>原报价定位</t>
  </si>
  <si>
    <t>p.1 一、产品与报价 / 三、付款条件</t>
  </si>
  <si>
    <t>规格/含量</t>
  </si>
  <si>
    <t>计价单位</t>
  </si>
  <si>
    <t>是否含税/税率</t>
  </si>
  <si>
    <t>产地/生产企业</t>
  </si>
  <si>
    <t>文件与格式</t>
  </si>
  <si>
    <t>文件 / 格式 / 定位</t>
  </si>
  <si>
    <t>供应商A_华东石化工业品_报价函_20261019.pdf
格式：PDF
定位：p.1 一、产品与报价 / 三、付款条件</t>
  </si>
  <si>
    <t>供应商B_恒源新材料报价明细表_20261019.xlsx
格式：Excel
定位：sheet『报价明细』明细行 / 『说明』</t>
  </si>
  <si>
    <t>供应商C_苏南化工贸易报价单_20261019.png
格式：图片(PNG)
定位：报价单卡片『单价』行 / 黄色押金框</t>
  </si>
  <si>
    <t>03 · 标准化字段（L2 口径转换）</t>
  </si>
  <si>
    <t>把三份不同格式、不同单位、不同税费口径、不同规格的报价，转换成同一口径：元/吨 · 不含税可抵扣 · 折纯 · 到厂</t>
  </si>
  <si>
    <t>3.1 计价单位统一</t>
  </si>
  <si>
    <t>供应商</t>
  </si>
  <si>
    <t>原始计价单位</t>
  </si>
  <si>
    <t>原始单价</t>
  </si>
  <si>
    <t>换算公式</t>
  </si>
  <si>
    <t>换算结果（含税，元/吨）</t>
  </si>
  <si>
    <t>性质</t>
  </si>
  <si>
    <t>A · 华东石化工业品</t>
  </si>
  <si>
    <t>6.20 元/公斤 × 1000 kg/t</t>
  </si>
  <si>
    <t>B · 恒源新材料供应链</t>
  </si>
  <si>
    <t>已是元/吨；含税 = 4850 × 1.13</t>
  </si>
  <si>
    <t>C · 苏南化工贸易</t>
  </si>
  <si>
    <t>6300 元/桶 ÷ (220 kg ÷ 1000) = 6300 ÷ 0.220</t>
  </si>
  <si>
    <t>3.2 税费口径统一</t>
  </si>
  <si>
    <t>原文税费描述</t>
  </si>
  <si>
    <t>含税/不含税</t>
  </si>
  <si>
    <t>票种</t>
  </si>
  <si>
    <t>入成本口径</t>
  </si>
  <si>
    <t>进项可否抵扣</t>
  </si>
  <si>
    <t>含税</t>
  </si>
  <si>
    <t>÷1.13 得裸价</t>
  </si>
  <si>
    <t>可抵扣</t>
  </si>
  <si>
    <t>不含税</t>
  </si>
  <si>
    <t>原值即裸价</t>
  </si>
  <si>
    <t>含税（税率未注明）</t>
  </si>
  <si>
    <t>未注明 → 默认普通发票</t>
  </si>
  <si>
    <t>全额入成本</t>
  </si>
  <si>
    <t>不可抵扣（默认）</t>
  </si>
  <si>
    <t>3.3 规格 / 折纯判断</t>
  </si>
  <si>
    <t>执行标准</t>
  </si>
  <si>
    <t>对询价规格 ≥99.9%</t>
  </si>
  <si>
    <t>折纯处理</t>
  </si>
  <si>
    <t>折纯后到厂（元/吨）</t>
  </si>
  <si>
    <t>GB/T 4649-2018 聚酯级优等品</t>
  </si>
  <si>
    <t>✓ 满足</t>
  </si>
  <si>
    <t>÷99.92% 折纯</t>
  </si>
  <si>
    <t>✓ 满足（等于下限）</t>
  </si>
  <si>
    <t>÷99.90% 折纯</t>
  </si>
  <si>
    <t>未注明</t>
  </si>
  <si>
    <t>✗ 低于规格</t>
  </si>
  <si>
    <t>单列，不参与排名</t>
  </si>
  <si>
    <t>3.4 数量阶梯命中（当前采购量 200 吨）</t>
  </si>
  <si>
    <t>报价阶梯</t>
  </si>
  <si>
    <t>本次命中单价</t>
  </si>
  <si>
    <t>计算</t>
  </si>
  <si>
    <t>统一后（元/吨）</t>
  </si>
  <si>
    <t>备注</t>
  </si>
  <si>
    <t>≥22 吨 6.20；≥110 吨 6.17 元/公斤</t>
  </si>
  <si>
    <t>6.17 元/公斤</t>
  </si>
  <si>
    <t>6.17 × 1000</t>
  </si>
  <si>
    <t>30~119 吨 4,850；≥120 吨 4,800 元/吨</t>
  </si>
  <si>
    <t>4,800 元/吨</t>
  </si>
  <si>
    <t>不含税原值</t>
  </si>
  <si>
    <t>6,300 元/桶</t>
  </si>
  <si>
    <t>6300 ÷ 0.22</t>
  </si>
  <si>
    <t>3.5 交付与付款条件统一</t>
  </si>
  <si>
    <t>运费承担</t>
  </si>
  <si>
    <t>到厂运费（不含税，元/吨）</t>
  </si>
  <si>
    <t>付款条件（原文）</t>
  </si>
  <si>
    <t>资金成本（元/吨，r=4.5%）</t>
  </si>
  <si>
    <t>买方自提 + 买方运费</t>
  </si>
  <si>
    <t>卖方含运（价内）</t>
  </si>
  <si>
    <t>注：资金成本为迭代收敛后的结果（见 04 表公式 ⑥）。</t>
  </si>
  <si>
    <t>04 · 计算公式（每步公式 / 输入 / 输出 / Excel 实际公式）</t>
  </si>
  <si>
    <t>A/B/C 三列输出与 05 表同源；Excel 公式可直接改参数重算（05 表已用公式联动）</t>
  </si>
  <si>
    <t>步</t>
  </si>
  <si>
    <t>成本项</t>
  </si>
  <si>
    <t>公式</t>
  </si>
  <si>
    <t>B</t>
  </si>
  <si>
    <t>说明 / 来源</t>
  </si>
  <si>
    <t>①</t>
  </si>
  <si>
    <t>含税 = 原文单价 × 单位换算系数</t>
  </si>
  <si>
    <t>A ×1000；B ×1.13；C ÷0.22</t>
  </si>
  <si>
    <t>②</t>
  </si>
  <si>
    <t>裸价（不含税，元/吨）</t>
  </si>
  <si>
    <t>专票：含税 ÷ (1+13%)；不含税：原值；普票：含税全额</t>
  </si>
  <si>
    <t>C 默认普票 → 全额入成本</t>
  </si>
  <si>
    <t>③</t>
  </si>
  <si>
    <t>运费（到厂，元/吨）</t>
  </si>
  <si>
    <t>买方自提：含税运费 ÷ 1.09；卖方含运：0</t>
  </si>
  <si>
    <t>运费 42 元/吨（含税9%，假设）</t>
  </si>
  <si>
    <t>④</t>
  </si>
  <si>
    <t>卸车费（元/吨）</t>
  </si>
  <si>
    <t>含税卸车费 ÷ 1.06</t>
  </si>
  <si>
    <t>25 元/吨（假设）</t>
  </si>
  <si>
    <t>⑤</t>
  </si>
  <si>
    <t>检验费摊销（元/吨）</t>
  </si>
  <si>
    <t>每批检验费 × 批数 ÷ 年采购量 ÷ 1.06</t>
  </si>
  <si>
    <t>1800×6÷2400÷1.06</t>
  </si>
  <si>
    <t>⑥</t>
  </si>
  <si>
    <t>槽车清洗摊销（元/吨）</t>
  </si>
  <si>
    <t>元/车次 × 车次 ÷ 年采购量 ÷ 1.06（仅散装）</t>
  </si>
  <si>
    <t>600×8÷2400÷1.06</t>
  </si>
  <si>
    <t>⑦</t>
  </si>
  <si>
    <t>账期资金成本（元/吨）</t>
  </si>
  <si>
    <t>迭代：C_k = (Σ前项 + C_{k−1}) × r × d ÷ 360</t>
  </si>
  <si>
    <t>r=4.5%，d：A 21/B 46/C 0</t>
  </si>
  <si>
    <t>⑧</t>
  </si>
  <si>
    <t>保证金/押金占用（元/吨）</t>
  </si>
  <si>
    <t>保证金 × r × 占用天数 ÷ 360 ÷ 数量</t>
  </si>
  <si>
    <t>B 30 万×180天；C 铁桶押金</t>
  </si>
  <si>
    <t>参考到厂成本（元/吨）</t>
  </si>
  <si>
    <t>② + ③ + ④ + ⑤ + ⑥ + ⑦ + ⑧</t>
  </si>
  <si>
    <t>与 05 表联动</t>
  </si>
  <si>
    <t>÷</t>
  </si>
  <si>
    <t>折纯后到厂成本（元/吨）</t>
  </si>
  <si>
    <t>到厂成本 ÷ 含量</t>
  </si>
  <si>
    <t>A ÷99.92%；B ÷99.90%；C ÷99.5%</t>
  </si>
  <si>
    <t>迭代求解说明（资金成本与成本互为输入）</t>
  </si>
  <si>
    <t>k=0</t>
  </si>
  <si>
    <t>C_capital = 0</t>
  </si>
  <si>
    <t>L₀ = 5541.08 的基础项 = (5541.08 − 14.55)</t>
  </si>
  <si>
    <t>k=1</t>
  </si>
  <si>
    <t>C = L₀ × 4.5% × 21 ÷ 360</t>
  </si>
  <si>
    <t>L₁ = L₀ + C₁</t>
  </si>
  <si>
    <t>k=2</t>
  </si>
  <si>
    <t>C = L₁ × 4.5% × 21 ÷ 360</t>
  </si>
  <si>
    <t>L₂ = L₀ + C₂</t>
  </si>
  <si>
    <t>…</t>
  </si>
  <si>
    <t>|C_k − C_{k−1}| &lt; 1e-9 收敛（最多 40 次）</t>
  </si>
  <si>
    <t>本例 5~6 次收敛</t>
  </si>
  <si>
    <t>Excel 实际公式（05 表 B/C/D 列引用）</t>
  </si>
  <si>
    <t>含税单价</t>
  </si>
  <si>
    <t>数量阶梯已按 200 吨命中</t>
  </si>
  <si>
    <t>裸价（不含税）</t>
  </si>
  <si>
    <t>C 普票不分离</t>
  </si>
  <si>
    <t>到厂成本</t>
  </si>
  <si>
    <t>见 05 表逐行</t>
  </si>
  <si>
    <t>折纯</t>
  </si>
  <si>
    <t>05 · 参考到厂成本汇总（Excel 公式联动）</t>
  </si>
  <si>
    <t>修改左侧参数区（黄色）即可重算；每行右侧给出 Excel 公式</t>
  </si>
  <si>
    <t>参数区（可改，改后 05/07/08 表的公式结果随之变化）</t>
  </si>
  <si>
    <t>采购数量（吨）</t>
  </si>
  <si>
    <t>年化资金成本</t>
  </si>
  <si>
    <t>税款/不含税单价A（含税，元/吨）</t>
  </si>
  <si>
    <t>单价B（不含税，元/吨）</t>
  </si>
  <si>
    <t>单价C（含税到货，元/吨）</t>
  </si>
  <si>
    <t>买方运费（含税9%，元/吨）</t>
  </si>
  <si>
    <t>卸车费（含税6%，元/吨）</t>
  </si>
  <si>
    <t>检验费（元/批）</t>
  </si>
  <si>
    <t>年送检批数</t>
  </si>
  <si>
    <t>年采购量（吨）</t>
  </si>
  <si>
    <t>槽车清洗（元/车次）</t>
  </si>
  <si>
    <t>年车次数</t>
  </si>
  <si>
    <t>保证金（元）</t>
  </si>
  <si>
    <t>保证金占用天数</t>
  </si>
  <si>
    <t>铁桶押金（元/桶）</t>
  </si>
  <si>
    <t>成本汇总（元/吨，不含税 · 折纯 · 到厂）</t>
  </si>
  <si>
    <t>Excel 公式（B 列示例）</t>
  </si>
  <si>
    <t>B: =单价B*(1+13%)</t>
  </si>
  <si>
    <t>C 普票不分离：=E{前一行}</t>
  </si>
  <si>
    <t>运费（到厂）</t>
  </si>
  <si>
    <t>卖方含运计 0</t>
  </si>
  <si>
    <t>卸车费</t>
  </si>
  <si>
    <t>含税服务 ÷1.06</t>
  </si>
  <si>
    <t>检验费摊销</t>
  </si>
  <si>
    <t>年总额 ÷ 年用量</t>
  </si>
  <si>
    <t>槽车清洗摊销</t>
  </si>
  <si>
    <t>仅散装发生</t>
  </si>
  <si>
    <t>账期资金成本</t>
  </si>
  <si>
    <t>保证金/押金占用</t>
  </si>
  <si>
    <t>见 07 表</t>
  </si>
  <si>
    <t>参考到厂成本</t>
  </si>
  <si>
    <t>折纯后到厂成本</t>
  </si>
  <si>
    <t>同口径排名</t>
  </si>
  <si>
    <t>2</t>
  </si>
  <si>
    <t>1（最优）</t>
  </si>
  <si>
    <t>不参与（规格不符）</t>
  </si>
  <si>
    <t>与最优差额（元/吨）</t>
  </si>
  <si>
    <t>差异归因：B 为基准，逐项对比 A 与 C</t>
  </si>
  <si>
    <t>差异来源</t>
  </si>
  <si>
    <t>A − B（元/吨）</t>
  </si>
  <si>
    <t>C − B（元/吨）</t>
  </si>
  <si>
    <t>占比说明</t>
  </si>
  <si>
    <t>最大来源：含税出厂价与规格差异</t>
  </si>
  <si>
    <t>A 含税 6,170 vs B 4,800（不含税）→ 含税差 2,690</t>
  </si>
  <si>
    <t>运费</t>
  </si>
  <si>
    <t>A/B 同线同价；C 含运为 0</t>
  </si>
  <si>
    <t>C 运费已内含在价格中</t>
  </si>
  <si>
    <t>卸车费 + 检验费</t>
  </si>
  <si>
    <t>三家相同</t>
  </si>
  <si>
    <t>均为买方假设</t>
  </si>
  <si>
    <t>槽车清洗</t>
  </si>
  <si>
    <t>仅 B 散装发生</t>
  </si>
  <si>
    <t>B 账期最长 → 资金占用最高（但已换取低价）</t>
  </si>
  <si>
    <t>A 预付 50% → 占用低</t>
  </si>
  <si>
    <t>保证金/押金</t>
  </si>
  <si>
    <t>B 保证金 30 万；C 铁桶押金</t>
  </si>
  <si>
    <t>合计</t>
  </si>
  <si>
    <t>与到厂成本差额一致</t>
  </si>
  <si>
    <t>校验项</t>
  </si>
  <si>
    <t>校验：归因合计 vs 到厂成本差额</t>
  </si>
  <si>
    <t>差值应为 0（四舍五入误差 &lt; 0.01）</t>
  </si>
  <si>
    <t>06 · 参数、性质与来源</t>
  </si>
  <si>
    <t>所有参数标注性质：用户输入 / 假设 / 法定 / 市场数据；假设项必须在确认后方可视为真实值</t>
  </si>
  <si>
    <t>参数</t>
  </si>
  <si>
    <t>取值</t>
  </si>
  <si>
    <t>影响的成本项</t>
  </si>
  <si>
    <t>来源 / 说明</t>
  </si>
  <si>
    <t>采购数量</t>
  </si>
  <si>
    <t>200 吨</t>
  </si>
  <si>
    <t>用户输入</t>
  </si>
  <si>
    <t>数量阶梯、保证金/押金摊薄</t>
  </si>
  <si>
    <t>用户询价需求</t>
  </si>
  <si>
    <t>4.5%</t>
  </si>
  <si>
    <t>用户输入（可选）</t>
  </si>
  <si>
    <t>账期资金、保证金、押金</t>
  </si>
  <si>
    <t>用户企业资金成本；未提供时按行业常见 4%~6% 示例</t>
  </si>
  <si>
    <t>买方自提运费</t>
  </si>
  <si>
    <t>42 元/吨（含税9%）</t>
  </si>
  <si>
    <t>假设</t>
  </si>
  <si>
    <t>A、B：+38.53 元/吨</t>
  </si>
  <si>
    <t>物流询价区间 35~55 元/吨（100km 内槽车），待确认</t>
  </si>
  <si>
    <t>C 仓库运费</t>
  </si>
  <si>
    <t>35 元/吨</t>
  </si>
  <si>
    <t>假设（不适用）</t>
  </si>
  <si>
    <t>C 为卖方含运，不另计</t>
  </si>
  <si>
    <t>若 C 改为买方自提时使用</t>
  </si>
  <si>
    <t>到厂卸车费</t>
  </si>
  <si>
    <t>25 元/吨（含税6%）</t>
  </si>
  <si>
    <t>三家各 +23.58 元/吨</t>
  </si>
  <si>
    <t>三家报价均未明确，需与仓库确认</t>
  </si>
  <si>
    <t>第三方检验费</t>
  </si>
  <si>
    <t>1,800 元/批 × 6 批/年</t>
  </si>
  <si>
    <t>三家各 +4.25 元/吨</t>
  </si>
  <si>
    <t>SGS 类检测报价区间，待确认</t>
  </si>
  <si>
    <t>年采购量</t>
  </si>
  <si>
    <t>2,400 吨</t>
  </si>
  <si>
    <t>检验费/清洗费摊销分母</t>
  </si>
  <si>
    <t>示例年采购计划</t>
  </si>
  <si>
    <t>槽车清洗+蒸汽置换</t>
  </si>
  <si>
    <t>600 元/车次 × 8 车次/年</t>
  </si>
  <si>
    <t>B：+1.89 元/吨</t>
  </si>
  <si>
    <t>槽车清洗行业价格，待区域确认</t>
  </si>
  <si>
    <t>180 天</t>
  </si>
  <si>
    <t>B：+33.75 元/吨</t>
  </si>
  <si>
    <t>B 报价仅称「可抵扣最后一期货款」，退还条件待确认</t>
  </si>
  <si>
    <t>包装押金退回天数</t>
  </si>
  <si>
    <t>10 天；不退还 10%</t>
  </si>
  <si>
    <t>假设（待确认）</t>
  </si>
  <si>
    <t>C：+13.79 元/吨</t>
  </si>
  <si>
    <t>C 铁桶押金 30 元/桶，「7 个工作日退还」</t>
  </si>
  <si>
    <t>年化天数</t>
  </si>
  <si>
    <t>360 天</t>
  </si>
  <si>
    <t>惯例</t>
  </si>
  <si>
    <t>全部资金成本</t>
  </si>
  <si>
    <t>生意社基准价定价公式与银行承兑常用 360 天</t>
  </si>
  <si>
    <t>增值税率</t>
  </si>
  <si>
    <t>13%</t>
  </si>
  <si>
    <t>法定</t>
  </si>
  <si>
    <t>价税分离</t>
  </si>
  <si>
    <t>《增值税暂行条例》</t>
  </si>
  <si>
    <t>运输服务税率</t>
  </si>
  <si>
    <t>9%</t>
  </si>
  <si>
    <t>运费不含税化</t>
  </si>
  <si>
    <t>交通运输服务</t>
  </si>
  <si>
    <t>现代服务税率</t>
  </si>
  <si>
    <t>6%</t>
  </si>
  <si>
    <t>卸车/检验/清洗不含税化</t>
  </si>
  <si>
    <t>现代服务业</t>
  </si>
  <si>
    <t>生意社 EG 现货价</t>
  </si>
  <si>
    <t>5,808 元/吨（2026-10-16）</t>
  </si>
  <si>
    <t>市场数据</t>
  </si>
  <si>
    <t>报价市场定位</t>
  </si>
  <si>
    <t>生意社乙二醇现期图，华东现货含税</t>
  </si>
  <si>
    <t>生意社 EG 基准价</t>
  </si>
  <si>
    <t>5,966.67 元/吨（2026-10-19）</t>
  </si>
  <si>
    <t>市场定位、B 联动基准</t>
  </si>
  <si>
    <t>生意社《10月19日乙二醇基准价》</t>
  </si>
  <si>
    <t>GB/T 4649-2018 工业用乙二醇</t>
  </si>
  <si>
    <t>法定/行业</t>
  </si>
  <si>
    <t>规格与折纯</t>
  </si>
  <si>
    <t>聚酯级优等品</t>
  </si>
  <si>
    <t>数据来源</t>
  </si>
  <si>
    <t>项目</t>
  </si>
  <si>
    <t>来源</t>
  </si>
  <si>
    <t>链接 / 出处</t>
  </si>
  <si>
    <t>说明</t>
  </si>
  <si>
    <t>EG 现货价</t>
  </si>
  <si>
    <t>生意社（100ppi）</t>
  </si>
  <si>
    <t>https://eg.100ppi.com/futures/</t>
  </si>
  <si>
    <t>07-21~10-19 现货：4835→6625→5808</t>
  </si>
  <si>
    <t>EG 基准价</t>
  </si>
  <si>
    <t>生意社</t>
  </si>
  <si>
    <t>https://www.100ppi.com/news/detail-20261019-6361981.html</t>
  </si>
  <si>
    <t>10-19 基准价 5966.67 元/吨</t>
  </si>
  <si>
    <t>EG 报价动态</t>
  </si>
  <si>
    <t>https://www.100ppi.com/news/detail-20261019-6362576.html</t>
  </si>
  <si>
    <t>散货报价 3,595~7,000 元/吨，离散度大，仅作趋势参考</t>
  </si>
  <si>
    <t>报价文件 A</t>
  </si>
  <si>
    <t>模拟业务样例</t>
  </si>
  <si>
    <t>供应商A_华东石化工业品_报价函_20261019.pdf</t>
  </si>
  <si>
    <t>虚构</t>
  </si>
  <si>
    <t>报价文件 B</t>
  </si>
  <si>
    <t>供应商B_恒源新材料报价明细表_20261019.xlsx</t>
  </si>
  <si>
    <t>报价文件 C</t>
  </si>
  <si>
    <t>供应商C_苏南化工贸易报价单_20261019.png</t>
  </si>
  <si>
    <t>07 · 账期 → 资金占用成本敏感性</t>
  </si>
  <si>
    <t>资金占用成本 = 货款（不含税）× 年化资金成本 × 付款天数 ÷ 360；以 B 的裸价 4,800 元/吨为基数示例</t>
  </si>
  <si>
    <t>7.1 矩阵：年化资金成本（行）× 加权付款天数（列），单位元/吨</t>
  </si>
  <si>
    <t>年化 \ 天数</t>
  </si>
  <si>
    <t>0 天</t>
  </si>
  <si>
    <t>15 天</t>
  </si>
  <si>
    <t>21 天</t>
  </si>
  <si>
    <t>30 天</t>
  </si>
  <si>
    <t>46 天</t>
  </si>
  <si>
    <t>60 天</t>
  </si>
  <si>
    <t>90 天</t>
  </si>
  <si>
    <t>120 天</t>
  </si>
  <si>
    <t>7.2 三家实际付款节奏与资金占用（B 基数 4,800 元/吨）</t>
  </si>
  <si>
    <t>加权天数</t>
  </si>
  <si>
    <t>资金成本（元/吨）</t>
  </si>
  <si>
    <t>200 吨合计（元）</t>
  </si>
  <si>
    <t>占裸价</t>
  </si>
  <si>
    <t>预付 50%，余款见发票后 7 日内电汇</t>
  </si>
  <si>
    <t>预付部分最早占用，但金额少</t>
  </si>
  <si>
    <t>月结 30 天，次月 25 日结清</t>
  </si>
  <si>
    <t>账期最长 → 资金占用最高（价格已体现优惠）</t>
  </si>
  <si>
    <t>0 天，但必须预付全款</t>
  </si>
  <si>
    <t>7.3 保证金与包装押金占用</t>
  </si>
  <si>
    <t>金额（元）</t>
  </si>
  <si>
    <t>占用天数</t>
  </si>
  <si>
    <t>首次合作保证金</t>
  </si>
  <si>
    <t>报价称「可抵扣最后一期货款」，退还条件待确认</t>
  </si>
  <si>
    <t>铁桶押金 30 元/桶</t>
  </si>
  <si>
    <t>200÷0.22×30 = 27,273 元（按 200 吨）</t>
  </si>
  <si>
    <t>910 桶 × 30 元；沉淀 10% + 90% 占用 10 天</t>
  </si>
  <si>
    <t>08 · 参数敏感性（单参数扰动）</t>
  </si>
  <si>
    <t>每次只改一个参数，观察三家到厂成本变化；Δ 相对基准情景（A 5541.08 / B 4930.15 / C 28677.98）</t>
  </si>
  <si>
    <t>A 到厂</t>
  </si>
  <si>
    <t>ΔA</t>
  </si>
  <si>
    <t>B 到厂</t>
  </si>
  <si>
    <t>ΔB</t>
  </si>
  <si>
    <t>C 到厂</t>
  </si>
  <si>
    <t>ΔC</t>
  </si>
  <si>
    <t>最优</t>
  </si>
  <si>
    <t>买方运费（张家港线）（元/吨（含税9%））</t>
  </si>
  <si>
    <t>年化资金成本（%）</t>
  </si>
  <si>
    <t>槽车清洗/年车次（次/年）</t>
  </si>
  <si>
    <t>09 · 情景分析</t>
  </si>
  <si>
    <t>改变关键假设后，三家到厂成本与排名如何变化；C 仅在情景 4/5 参与</t>
  </si>
  <si>
    <t>情景</t>
  </si>
  <si>
    <t>基准情景</t>
  </si>
  <si>
    <t>三家均已含/已计买方运费、卸车 25 元/吨、年化资金成本 4.5%</t>
  </si>
  <si>
    <t>情景1：不含买方运费（仅比供应商报价）</t>
  </si>
  <si>
    <t>剔除买方假设的运费与卸车费，仅看供应商报价本身</t>
  </si>
  <si>
    <t>情景2：资金成本 10%</t>
  </si>
  <si>
    <t>企业融资成本高或占用银行额度时</t>
  </si>
  <si>
    <t>情景3：数量降至 60 吨（阶梯价失效）</t>
  </si>
  <si>
    <t>A 落入基础档 6.20 元/公斤；B 落入 30~119 吨档</t>
  </si>
  <si>
    <t>情景4：C 折纯后纳入比较（接受 99.5%）</t>
  </si>
  <si>
    <t>仅改变可比性假设，不改变 C 的规格事实</t>
  </si>
  <si>
    <t>情景5：C 若能出具 13% 专票</t>
  </si>
  <si>
    <t>假设 C 开具增值税专用发票，进项可抵扣（待确认）</t>
  </si>
  <si>
    <t>9.1 市场情景压力测试：折纯裸价波动 → 到厂成本</t>
  </si>
  <si>
    <t>折纯裸价（元/吨）</t>
  </si>
  <si>
    <t>A − B</t>
  </si>
  <si>
    <t>9.2 报价在当前市场中的位置</t>
  </si>
  <si>
    <t>折纯含税出厂价（元/吨）</t>
  </si>
  <si>
    <t>生意社现货（10-16）</t>
  </si>
  <si>
    <t>相对现货</t>
  </si>
  <si>
    <t>判断</t>
  </si>
  <si>
    <t>处于市场区间内</t>
  </si>
  <si>
    <t>显著高于市场</t>
  </si>
  <si>
    <t>市场区间：生意社现货近 3 个月 4,835（07-21）~ 6,625（09-13）；10-16 为 5,808，10-19 基准价 5,966.67。</t>
  </si>
  <si>
    <t>10 · 待确认事项 / 缺失字段 / 被忽略条款 / 交叉检查</t>
  </si>
  <si>
    <t>缺失字段一律列为待确认，不按 0 计；高优先级项会显著改变结论</t>
  </si>
  <si>
    <t>10.1 待确认事项（缺失字段清单）</t>
  </si>
  <si>
    <t>#</t>
  </si>
  <si>
    <t>缺失/歧义字段</t>
  </si>
  <si>
    <t>问题描述</t>
  </si>
  <si>
    <t>对成本或决策的影响</t>
  </si>
  <si>
    <t>需要索取的材料</t>
  </si>
  <si>
    <t>优先级</t>
  </si>
  <si>
    <t>价格口径·税</t>
  </si>
  <si>
    <t>截图未注明含税/不含税、税种税率与发票类型</t>
  </si>
  <si>
    <t>若为普票，13% 进项不可抵扣，C 的真实成本显著偏高</t>
  </si>
  <si>
    <t>要求书面补充发票类型、税率</t>
  </si>
  <si>
    <t>高</t>
  </si>
  <si>
    <t>规格·含量</t>
  </si>
  <si>
    <t>含量 ≥99.5%，低于询价 ≥99.9%，未注明水分/DEG</t>
  </si>
  <si>
    <t>规格不一致，不能与 A/B 直接比较</t>
  </si>
  <si>
    <t>确认能否按 ≥99.9% 供货并重新报价</t>
  </si>
  <si>
    <t>计价单位·桶重</t>
  </si>
  <si>
    <t>按元/桶计价，净重仅见于包装页 220kg</t>
  </si>
  <si>
    <t>单位换算误差被放大（1 桶≈0.22 吨）</t>
  </si>
  <si>
    <t>要求注明净重/皮重或改按吨报价</t>
  </si>
  <si>
    <t>报价当日有效（17:00 失效）</t>
  </si>
  <si>
    <t>几乎无法执行，需重询</t>
  </si>
  <si>
    <t>要求至少 3 个工作日有效期</t>
  </si>
  <si>
    <t>不含运费，由买方承担</t>
  </si>
  <si>
    <t>到厂成本关键变量</t>
  </si>
  <si>
    <t>索取含运报价</t>
  </si>
  <si>
    <t>库区自提，买方承担且未报价</t>
  </si>
  <si>
    <t>索取送货价</t>
  </si>
  <si>
    <t>10 天内有效，未注明起始日期</t>
  </si>
  <si>
    <t>时效不确定</t>
  </si>
  <si>
    <t>确认起止日期</t>
  </si>
  <si>
    <t>中</t>
  </si>
  <si>
    <t>调价条款</t>
  </si>
  <si>
    <t>保留调价权利，未约定幅度与触发条件</t>
  </si>
  <si>
    <t>签约后存在单方调价风险</t>
  </si>
  <si>
    <t>约定浮动上限与触发机制</t>
  </si>
  <si>
    <t>运费边界</t>
  </si>
  <si>
    <t>5 吨以上免运费，园区是否在免费配送范围未明确</t>
  </si>
  <si>
    <t>可能增加运费</t>
  </si>
  <si>
    <t>书面确认配送范围</t>
  </si>
  <si>
    <t>未注明执行标准（GB/T 4649）</t>
  </si>
  <si>
    <t>到厂检测争议</t>
  </si>
  <si>
    <t>确认标准与 COA 项目</t>
  </si>
  <si>
    <t>价格联动</t>
  </si>
  <si>
    <t>生意社基准价月均价 ±3% 部分 100% 联动</t>
  </si>
  <si>
    <t>上行风险主要落在买方</t>
  </si>
  <si>
    <t>明确基准价取值口径与月均价算法</t>
  </si>
  <si>
    <t>保证金</t>
  </si>
  <si>
    <t>首次合作保证金 30 万元</t>
  </si>
  <si>
    <t>资金占用约 0.9 万元/次</t>
  </si>
  <si>
    <t>确认退还条件与时间</t>
  </si>
  <si>
    <t>检验费</t>
  </si>
  <si>
    <t>SGS 检测费买方承担，未给金额</t>
  </si>
  <si>
    <t>成本增量</t>
  </si>
  <si>
    <t>索取检测报价</t>
  </si>
  <si>
    <t>ALL</t>
  </si>
  <si>
    <t>三家均未明确到厂卸车费承担方</t>
  </si>
  <si>
    <t>已按假设 25 元/吨计入</t>
  </si>
  <si>
    <t>与仓库确认实际价格</t>
  </si>
  <si>
    <t>≥110 吨 6.17 元/公斤</t>
  </si>
  <si>
    <t>年化 2,400 吨可谈批量价</t>
  </si>
  <si>
    <t>确认单笔/累计口径</t>
  </si>
  <si>
    <t>低</t>
  </si>
  <si>
    <t>磅差/损耗</t>
  </si>
  <si>
    <t>A ±0.2% 协商；B ±0.3% 不调整；C 未约定</t>
  </si>
  <si>
    <t>影响实收量</t>
  </si>
  <si>
    <t>统一约定计量与磅差</t>
  </si>
  <si>
    <t>10.2 容易被忽略的费用与条款（原文 → 金额 → 是否计入）</t>
  </si>
  <si>
    <t>条款项</t>
  </si>
  <si>
    <t>原报价原文</t>
  </si>
  <si>
    <t>原报价金额</t>
  </si>
  <si>
    <t>是否已计入价内</t>
  </si>
  <si>
    <t>处理方式</t>
  </si>
  <si>
    <t>未提及；张家港库区装车费已含出厂价内，收货端卸车由买方自理</t>
  </si>
  <si>
    <t>未提供</t>
  </si>
  <si>
    <t>不适用</t>
  </si>
  <si>
    <t>列入待确认，不按 0 计</t>
  </si>
  <si>
    <t>第三方（SGS）检测费用由买方承担，金额未提供</t>
  </si>
  <si>
    <t>另计/不承担</t>
  </si>
  <si>
    <t>罐车清洗费</t>
  </si>
  <si>
    <t>不适用（吨桶交付）</t>
  </si>
  <si>
    <t>0（明示不收费）</t>
  </si>
  <si>
    <t>已含</t>
  </si>
  <si>
    <t>金额已知，已/未计入</t>
  </si>
  <si>
    <t>包装回收费</t>
  </si>
  <si>
    <t>IBC 吨桶免回收，卖方回收，不收费</t>
  </si>
  <si>
    <t>涨价/有效期</t>
  </si>
  <si>
    <t>有效期至 2026-10-23，逾期重新报价</t>
  </si>
  <si>
    <t>零单加价</t>
  </si>
  <si>
    <t>单笔不足 22 吨加收 60 元/吨库区作业费</t>
  </si>
  <si>
    <t>厂内装车费已含；到厂卸车费不承担、未报价</t>
  </si>
  <si>
    <t>不包含；本表未列检测费项</t>
  </si>
  <si>
    <t>买方自提槽车清洗费由买方自理（未报价）</t>
  </si>
  <si>
    <t>不适用（散装）</t>
  </si>
  <si>
    <t>首次合作保证金 30 万元，可抵扣最后一期货款</t>
  </si>
  <si>
    <t>生意社基准价月均价较 5,966.67 元/吨 ±3% 部分 100% 联动</t>
  </si>
  <si>
    <t>报价当日有效（17:00 失效）——极短，可能需重询</t>
  </si>
  <si>
    <t>送货到厂，卸车由买方安排（未报价）</t>
  </si>
  <si>
    <t>可提供企业自检报告；第三方检测买方自理</t>
  </si>
  <si>
    <t>不适用（铁桶）</t>
  </si>
  <si>
    <t>铁桶押金 30 元/桶，可退；长期未退视为包装回收费</t>
  </si>
  <si>
    <t>税费口径</t>
  </si>
  <si>
    <t>未注明税率与发票类型（影响可抵扣性）</t>
  </si>
  <si>
    <t>调价权利</t>
  </si>
  <si>
    <t>「遇原料价格大幅波动保留调价权利」，未约定幅度</t>
  </si>
  <si>
    <t>10.3 交叉检查</t>
  </si>
  <si>
    <t>检查项</t>
  </si>
  <si>
    <t>检查内容</t>
  </si>
  <si>
    <t>结论</t>
  </si>
  <si>
    <t>分项加总 vs 报价总额</t>
  </si>
  <si>
    <t>A：6.20 元/公斤 × 1000 = 6,200 元/吨，与报价函括注一致</t>
  </si>
  <si>
    <t>通过</t>
  </si>
  <si>
    <t>B：不含税 4,850 × 1.13 = 5,480.50 元/吨，与阶梯表公式一致</t>
  </si>
  <si>
    <t>C：6,300 元/桶 ÷ 0.220 = 28,636.36 元/吨（桶重取自包装页）</t>
  </si>
  <si>
    <t>通过（桶重待确认）</t>
  </si>
  <si>
    <t>计价单位一致性</t>
  </si>
  <si>
    <t>A 元/公斤、B 元/吨、C 元/桶 —— 三种单位，直接比价会平均偏高 4.5 倍</t>
  </si>
  <si>
    <t>需统一口径</t>
  </si>
  <si>
    <t>税费口径一致性</t>
  </si>
  <si>
    <t>A/B 为 13% 专票；C 税率与发票类型未注明（默认普票）</t>
  </si>
  <si>
    <t>需关注</t>
  </si>
  <si>
    <t>规格一致性</t>
  </si>
  <si>
    <t>A 99.92% / B 99.90% / C 99.5%，C 低于询价规格</t>
  </si>
  <si>
    <t>需剔除或单列</t>
  </si>
  <si>
    <t>数量阶梯命中</t>
  </si>
  <si>
    <t>需求量 200 吨 → A 命中 ≥110 吨档(6.17)；B 命中 ≥120 吨档(4,800 不含税)</t>
  </si>
  <si>
    <t>需注意</t>
  </si>
  <si>
    <t>A 5 天 / B 数小时 / C 10 天（未注明起始）</t>
  </si>
  <si>
    <t>A 买方自提 / B 买方自提 / C 卖方含运</t>
  </si>
  <si>
    <t>需统一</t>
  </si>
  <si>
    <t>A 预付50%+票到7天 / B 月结30天+保证金 / C 款到发货</t>
  </si>
  <si>
    <t>需折算资金成本</t>
  </si>
  <si>
    <t>10.4 比较禁忌（任何一条违反都会得出错误结论）</t>
  </si>
  <si>
    <t>✗ 直接比较不同计价单位的单价（元/公斤 vs 元/吨 vs 元/桶）</t>
  </si>
  <si>
    <t>✗ 直接比较不同税费口径的单价（含税 vs 不含税 vs 普票不可抵扣）</t>
  </si>
  <si>
    <t>✗ 把不同规格（含量 99.92% vs 99.5%）当作同品质可比</t>
  </si>
  <si>
    <t>✗ 把报价单「未提及」的费用默认为 0</t>
  </si>
  <si>
    <t>✗ 用合同上的「账期」代替现金流加权的资金占用天数</t>
  </si>
  <si>
    <t>✗ 忽略数量阶梯（不同采购量命中不同档位）</t>
  </si>
</sst>
</file>

<file path=xl/styles.xml><?xml version="1.0" encoding="utf-8"?>
<styleSheet xmlns="http://schemas.openxmlformats.org/spreadsheetml/2006/main">
  <numFmts count="8">
    <numFmt numFmtId="164" formatCode="#,##0.00"/>
    <numFmt numFmtId="165" formatCode="0.00%"/>
    <numFmt numFmtId="166" formatCode="#,##0"/>
    <numFmt numFmtId="167" formatCode="0.0%"/>
    <numFmt numFmtId="168" formatCode="0.0000"/>
    <numFmt numFmtId="169" formatCode="+#,##0.00;-#,##0.00;—"/>
    <numFmt numFmtId="170" formatCode="+#,##0.00;-#,##0.00"/>
    <numFmt numFmtId="171" formatCode="+0.0%;-0.0%"/>
  </numFmts>
  <fonts count="19">
    <font>
      <sz val="11"/>
      <color theme="1"/>
      <name val="Calibri"/>
      <family val="2"/>
      <scheme val="minor"/>
    </font>
    <font>
      <b/>
      <sz val="17"/>
      <color rgb="FF0D2B45"/>
      <name val="微软雅黑"/>
      <family val="2"/>
    </font>
    <font>
      <sz val="10"/>
      <color rgb="FF5B6B78"/>
      <name val="微软雅黑"/>
      <family val="2"/>
    </font>
    <font>
      <b/>
      <sz val="9.5"/>
      <color rgb="FFB42318"/>
      <name val="微软雅黑"/>
      <family val="2"/>
    </font>
    <font>
      <b/>
      <sz val="11.5"/>
      <color rgb="FFFFFFFF"/>
      <name val="微软雅黑"/>
      <family val="2"/>
    </font>
    <font>
      <b/>
      <sz val="10"/>
      <color theme="1"/>
      <name val="微软雅黑"/>
      <family val="2"/>
    </font>
    <font>
      <sz val="10"/>
      <color theme="1"/>
      <name val="微软雅黑"/>
      <family val="2"/>
    </font>
    <font>
      <sz val="9"/>
      <color rgb="FF5B3FA8"/>
      <name val="微软雅黑"/>
      <family val="2"/>
    </font>
    <font>
      <sz val="9"/>
      <color rgb="FF1A5FB4"/>
      <name val="微软雅黑"/>
      <family val="2"/>
    </font>
    <font>
      <sz val="9"/>
      <color rgb="FF8A5A00"/>
      <name val="微软雅黑"/>
      <family val="2"/>
    </font>
    <font>
      <b/>
      <sz val="10"/>
      <color rgb="FFB42318"/>
      <name val="微软雅黑"/>
      <family val="2"/>
    </font>
    <font>
      <b/>
      <sz val="10"/>
      <color rgb="FF22384A"/>
      <name val="微软雅黑"/>
      <family val="2"/>
    </font>
    <font>
      <sz val="9"/>
      <color rgb="FF5B6B78"/>
      <name val="微软雅黑"/>
      <family val="2"/>
    </font>
    <font>
      <sz val="9.5"/>
      <color theme="1"/>
      <name val="Consolas"/>
      <family val="2"/>
    </font>
    <font>
      <b/>
      <sz val="10"/>
      <color rgb="FF127A5A"/>
      <name val="微软雅黑"/>
      <family val="2"/>
    </font>
    <font>
      <sz val="10"/>
      <color rgb="FF127A5A"/>
      <name val="微软雅黑"/>
      <family val="2"/>
    </font>
    <font>
      <sz val="10"/>
      <color rgb="FFC8102E"/>
      <name val="微软雅黑"/>
      <family val="2"/>
    </font>
    <font>
      <b/>
      <sz val="10"/>
      <color rgb="FFB7791F"/>
      <name val="微软雅黑"/>
      <family val="2"/>
    </font>
    <font>
      <sz val="10"/>
      <color rgb="FF000667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4F4"/>
        <bgColor indexed="64"/>
      </patternFill>
    </fill>
    <fill>
      <patternFill patternType="solid">
        <fgColor rgb="FF0D2B45"/>
        <bgColor indexed="64"/>
      </patternFill>
    </fill>
    <fill>
      <patternFill patternType="solid">
        <fgColor rgb="FFEFE9FB"/>
        <bgColor indexed="64"/>
      </patternFill>
    </fill>
    <fill>
      <patternFill patternType="solid">
        <fgColor rgb="FFE3F0FF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EF3F7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1FBF6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F0B7B7"/>
      </left>
      <right style="thin">
        <color rgb="FFF0B7B7"/>
      </right>
      <top style="thin">
        <color rgb="FFF0B7B7"/>
      </top>
      <bottom style="thin">
        <color rgb="FFF0B7B7"/>
      </bottom>
      <diagonal/>
    </border>
    <border>
      <left style="thin">
        <color rgb="FFC9D4DC"/>
      </left>
      <right style="thin">
        <color rgb="FFC9D4DC"/>
      </right>
      <top style="thin">
        <color rgb="FFC9D4DC"/>
      </top>
      <bottom style="thin">
        <color rgb="FFC9D4DC"/>
      </bottom>
      <diagonal/>
    </border>
    <border>
      <left style="thin">
        <color rgb="FFC9D4DC"/>
      </left>
      <right style="thin">
        <color rgb="FFC9D4DC"/>
      </right>
      <top style="medium">
        <color rgb="FF0D2B45"/>
      </top>
      <bottom style="thin">
        <color rgb="FFC9D4D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13" fillId="8" borderId="3" xfId="0" applyFont="1" applyFill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right" vertical="center" wrapText="1"/>
    </xf>
    <xf numFmtId="0" fontId="14" fillId="0" borderId="3" xfId="0" applyFont="1" applyBorder="1" applyAlignment="1">
      <alignment vertical="center" wrapText="1"/>
    </xf>
    <xf numFmtId="167" fontId="6" fillId="6" borderId="3" xfId="0" applyNumberFormat="1" applyFont="1" applyFill="1" applyBorder="1" applyAlignment="1">
      <alignment horizontal="right" vertical="center" wrapText="1"/>
    </xf>
    <xf numFmtId="165" fontId="6" fillId="6" borderId="3" xfId="0" applyNumberFormat="1" applyFont="1" applyFill="1" applyBorder="1" applyAlignment="1">
      <alignment horizontal="right" vertical="center" wrapText="1"/>
    </xf>
    <xf numFmtId="164" fontId="6" fillId="6" borderId="3" xfId="0" applyNumberFormat="1" applyFont="1" applyFill="1" applyBorder="1" applyAlignment="1">
      <alignment horizontal="right" vertical="center" wrapText="1"/>
    </xf>
    <xf numFmtId="166" fontId="6" fillId="6" borderId="3" xfId="0" applyNumberFormat="1" applyFont="1" applyFill="1" applyBorder="1" applyAlignment="1">
      <alignment horizontal="right" vertical="center" wrapText="1"/>
    </xf>
    <xf numFmtId="0" fontId="5" fillId="9" borderId="4" xfId="0" applyFont="1" applyFill="1" applyBorder="1" applyAlignment="1">
      <alignment horizontal="left" vertical="center" wrapText="1"/>
    </xf>
    <xf numFmtId="164" fontId="5" fillId="9" borderId="4" xfId="0" applyNumberFormat="1" applyFont="1" applyFill="1" applyBorder="1" applyAlignment="1">
      <alignment horizontal="right" vertical="center" wrapText="1"/>
    </xf>
    <xf numFmtId="164" fontId="10" fillId="0" borderId="3" xfId="0" applyNumberFormat="1" applyFont="1" applyBorder="1" applyAlignment="1">
      <alignment horizontal="right" vertical="center" wrapText="1"/>
    </xf>
    <xf numFmtId="168" fontId="6" fillId="10" borderId="3" xfId="0" applyNumberFormat="1" applyFont="1" applyFill="1" applyBorder="1" applyAlignment="1">
      <alignment horizontal="right" vertical="center" wrapText="1"/>
    </xf>
    <xf numFmtId="167" fontId="6" fillId="0" borderId="3" xfId="0" applyNumberFormat="1" applyFont="1" applyBorder="1" applyAlignment="1">
      <alignment horizontal="right" vertical="center" wrapText="1"/>
    </xf>
    <xf numFmtId="169" fontId="15" fillId="0" borderId="3" xfId="0" applyNumberFormat="1" applyFont="1" applyBorder="1" applyAlignment="1">
      <alignment horizontal="right" vertical="center" wrapText="1"/>
    </xf>
    <xf numFmtId="169" fontId="16" fillId="0" borderId="3" xfId="0" applyNumberFormat="1" applyFont="1" applyBorder="1" applyAlignment="1">
      <alignment horizontal="right" vertical="center" wrapText="1"/>
    </xf>
    <xf numFmtId="170" fontId="16" fillId="0" borderId="3" xfId="0" applyNumberFormat="1" applyFont="1" applyBorder="1" applyAlignment="1">
      <alignment horizontal="right" vertical="center" wrapText="1"/>
    </xf>
    <xf numFmtId="171" fontId="6" fillId="0" borderId="3" xfId="0" applyNumberFormat="1" applyFont="1" applyBorder="1" applyAlignment="1">
      <alignment horizontal="right" vertical="center" wrapText="1"/>
    </xf>
    <xf numFmtId="0" fontId="17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g.100ppi.com/futures/" TargetMode="External"/><Relationship Id="rId2" Type="http://schemas.openxmlformats.org/officeDocument/2006/relationships/hyperlink" Target="https://www.100ppi.com/news/detail-20261019-6361981.html" TargetMode="External"/><Relationship Id="rId3" Type="http://schemas.openxmlformats.org/officeDocument/2006/relationships/hyperlink" Target="https://www.100ppi.com/news/detail-20261019-636257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GridLines="0" tabSelected="1" workbookViewId="0"/>
  </sheetViews>
  <sheetFormatPr defaultRowHeight="15"/>
  <cols>
    <col min="1" max="1" width="18.7109375" customWidth="1"/>
    <col min="2" max="4" width="30.7109375" customWidth="1"/>
    <col min="5" max="5" width="66.7109375" customWidth="1"/>
  </cols>
  <sheetData>
    <row r="1" spans="1:8" ht="30" customHeight="1">
      <c r="A1" s="1" t="s">
        <v>0</v>
      </c>
      <c r="B1" s="1"/>
      <c r="C1" s="1"/>
      <c r="D1" s="1"/>
      <c r="E1" s="1"/>
    </row>
    <row r="2" spans="1:8" ht="18" customHeight="1">
      <c r="A2" s="2" t="s">
        <v>1</v>
      </c>
      <c r="B2" s="2"/>
      <c r="C2" s="2"/>
      <c r="D2" s="2"/>
      <c r="E2" s="2"/>
    </row>
    <row r="3" spans="1:8" ht="30" customHeight="1">
      <c r="A3" s="3" t="s">
        <v>2</v>
      </c>
      <c r="B3" s="3"/>
      <c r="C3" s="3"/>
      <c r="D3" s="3"/>
      <c r="E3" s="3"/>
    </row>
    <row r="5" spans="1:8" ht="22" customHeight="1">
      <c r="A5" s="4" t="s">
        <v>3</v>
      </c>
      <c r="B5" s="4"/>
      <c r="C5" s="4"/>
      <c r="D5" s="4"/>
      <c r="E5" s="4"/>
      <c r="F5" s="4"/>
      <c r="G5" s="4"/>
      <c r="H5" s="4"/>
    </row>
    <row r="7" spans="1:8">
      <c r="A7" s="5" t="s">
        <v>4</v>
      </c>
      <c r="B7" s="6" t="s">
        <v>5</v>
      </c>
      <c r="C7" s="6"/>
      <c r="D7" s="6"/>
      <c r="E7" s="6"/>
    </row>
    <row r="8" spans="1:8">
      <c r="A8" s="5" t="s">
        <v>6</v>
      </c>
      <c r="B8" s="6" t="s">
        <v>7</v>
      </c>
      <c r="C8" s="6"/>
      <c r="D8" s="6"/>
      <c r="E8" s="6"/>
    </row>
    <row r="9" spans="1:8">
      <c r="A9" s="5" t="s">
        <v>8</v>
      </c>
      <c r="B9" s="6" t="s">
        <v>9</v>
      </c>
      <c r="C9" s="6"/>
      <c r="D9" s="6"/>
      <c r="E9" s="6"/>
    </row>
    <row r="10" spans="1:8">
      <c r="A10" s="5" t="s">
        <v>10</v>
      </c>
      <c r="B10" s="6" t="s">
        <v>11</v>
      </c>
      <c r="C10" s="6"/>
      <c r="D10" s="6"/>
      <c r="E10" s="6"/>
    </row>
    <row r="11" spans="1:8">
      <c r="A11" s="5" t="s">
        <v>12</v>
      </c>
      <c r="B11" s="6" t="s">
        <v>13</v>
      </c>
      <c r="C11" s="6"/>
      <c r="D11" s="6"/>
      <c r="E11" s="6"/>
    </row>
    <row r="12" spans="1:8">
      <c r="A12" s="5" t="s">
        <v>14</v>
      </c>
      <c r="B12" s="6" t="s">
        <v>15</v>
      </c>
      <c r="C12" s="6"/>
      <c r="D12" s="6"/>
      <c r="E12" s="6"/>
    </row>
    <row r="13" spans="1:8">
      <c r="A13" s="5" t="s">
        <v>16</v>
      </c>
      <c r="B13" s="6" t="s">
        <v>17</v>
      </c>
      <c r="C13" s="6"/>
      <c r="D13" s="6"/>
      <c r="E13" s="6"/>
    </row>
    <row r="14" spans="1:8">
      <c r="A14" s="5" t="s">
        <v>18</v>
      </c>
      <c r="B14" s="6" t="s">
        <v>19</v>
      </c>
      <c r="C14" s="6"/>
      <c r="D14" s="6"/>
      <c r="E14" s="6"/>
    </row>
    <row r="15" spans="1:8">
      <c r="A15" s="5" t="s">
        <v>20</v>
      </c>
      <c r="B15" s="6" t="s">
        <v>21</v>
      </c>
      <c r="C15" s="6"/>
      <c r="D15" s="6"/>
      <c r="E15" s="6"/>
    </row>
    <row r="16" spans="1:8">
      <c r="A16" s="5" t="s">
        <v>22</v>
      </c>
      <c r="B16" s="6" t="s">
        <v>23</v>
      </c>
      <c r="C16" s="6"/>
      <c r="D16" s="6"/>
      <c r="E16" s="6"/>
    </row>
    <row r="18" spans="1:8" ht="22" customHeight="1">
      <c r="A18" s="4" t="s">
        <v>24</v>
      </c>
      <c r="B18" s="4"/>
      <c r="C18" s="4"/>
      <c r="D18" s="4"/>
      <c r="E18" s="4"/>
      <c r="F18" s="4"/>
      <c r="G18" s="4"/>
      <c r="H18" s="4"/>
    </row>
    <row r="19" spans="1:8">
      <c r="A19" s="5" t="s">
        <v>25</v>
      </c>
      <c r="B19" s="6" t="s">
        <v>26</v>
      </c>
      <c r="C19" s="6"/>
      <c r="D19" s="6"/>
      <c r="E19" s="6"/>
    </row>
    <row r="20" spans="1:8">
      <c r="A20" s="5" t="s">
        <v>27</v>
      </c>
      <c r="B20" s="6" t="s">
        <v>28</v>
      </c>
      <c r="C20" s="6"/>
      <c r="D20" s="6"/>
      <c r="E20" s="6"/>
    </row>
    <row r="21" spans="1:8">
      <c r="A21" s="5" t="s">
        <v>29</v>
      </c>
      <c r="B21" s="6" t="s">
        <v>30</v>
      </c>
      <c r="C21" s="6"/>
      <c r="D21" s="6"/>
      <c r="E21" s="6"/>
    </row>
    <row r="22" spans="1:8">
      <c r="A22" s="5" t="s">
        <v>31</v>
      </c>
      <c r="B22" s="6" t="s">
        <v>32</v>
      </c>
      <c r="C22" s="6"/>
      <c r="D22" s="6"/>
      <c r="E22" s="6"/>
    </row>
    <row r="23" spans="1:8">
      <c r="A23" s="5" t="s">
        <v>33</v>
      </c>
      <c r="B23" s="6" t="s">
        <v>34</v>
      </c>
      <c r="C23" s="6"/>
      <c r="D23" s="6"/>
      <c r="E23" s="6"/>
    </row>
    <row r="24" spans="1:8">
      <c r="A24" s="5" t="s">
        <v>35</v>
      </c>
      <c r="B24" s="6" t="s">
        <v>36</v>
      </c>
      <c r="C24" s="6"/>
      <c r="D24" s="6"/>
      <c r="E24" s="6"/>
    </row>
    <row r="26" spans="1:8" ht="22" customHeight="1">
      <c r="A26" s="4" t="s">
        <v>37</v>
      </c>
      <c r="B26" s="4"/>
      <c r="C26" s="4"/>
      <c r="D26" s="4"/>
      <c r="E26" s="4"/>
      <c r="F26" s="4"/>
      <c r="G26" s="4"/>
      <c r="H26" s="4"/>
    </row>
    <row r="27" spans="1:8">
      <c r="A27" s="5" t="s">
        <v>38</v>
      </c>
      <c r="B27" s="6" t="s">
        <v>39</v>
      </c>
      <c r="C27" s="6"/>
      <c r="D27" s="6"/>
      <c r="E27" s="6"/>
    </row>
    <row r="28" spans="1:8">
      <c r="A28" s="5" t="s">
        <v>40</v>
      </c>
      <c r="B28" s="6" t="s">
        <v>41</v>
      </c>
      <c r="C28" s="6"/>
      <c r="D28" s="6"/>
      <c r="E28" s="6"/>
    </row>
    <row r="29" spans="1:8">
      <c r="A29" s="5" t="s">
        <v>42</v>
      </c>
      <c r="B29" s="6" t="s">
        <v>43</v>
      </c>
      <c r="C29" s="6"/>
      <c r="D29" s="6"/>
      <c r="E29" s="6"/>
    </row>
    <row r="30" spans="1:8">
      <c r="A30" s="5" t="s">
        <v>44</v>
      </c>
      <c r="B30" s="6" t="s">
        <v>45</v>
      </c>
      <c r="C30" s="6"/>
      <c r="D30" s="6"/>
      <c r="E30" s="6"/>
    </row>
    <row r="31" spans="1:8">
      <c r="A31" s="5" t="s">
        <v>46</v>
      </c>
      <c r="B31" s="6" t="s">
        <v>47</v>
      </c>
      <c r="C31" s="6"/>
      <c r="D31" s="6"/>
      <c r="E31" s="6"/>
    </row>
  </sheetData>
  <mergeCells count="27">
    <mergeCell ref="A1:E1"/>
    <mergeCell ref="A2:E2"/>
    <mergeCell ref="A3:E3"/>
    <mergeCell ref="A5:H5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A18:H18"/>
    <mergeCell ref="B19:E19"/>
    <mergeCell ref="B20:E20"/>
    <mergeCell ref="B21:E21"/>
    <mergeCell ref="B22:E22"/>
    <mergeCell ref="B23:E23"/>
    <mergeCell ref="B24:E24"/>
    <mergeCell ref="A26:H26"/>
    <mergeCell ref="B27:E27"/>
    <mergeCell ref="B28:E28"/>
    <mergeCell ref="B29:E29"/>
    <mergeCell ref="B30:E30"/>
    <mergeCell ref="B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showGridLines="0" workbookViewId="0"/>
  </sheetViews>
  <sheetFormatPr defaultRowHeight="15"/>
  <cols>
    <col min="1" max="1" width="4.7109375" customWidth="1"/>
    <col min="2" max="2" width="22.7109375" customWidth="1"/>
    <col min="3" max="3" width="34.7109375" customWidth="1"/>
    <col min="4" max="5" width="40.7109375" customWidth="1"/>
    <col min="6" max="6" width="44.7109375" customWidth="1"/>
    <col min="7" max="7" width="34.7109375" customWidth="1"/>
  </cols>
  <sheetData>
    <row r="1" spans="1:7" ht="30" customHeight="1">
      <c r="A1" s="1" t="s">
        <v>48</v>
      </c>
      <c r="B1" s="1"/>
      <c r="C1" s="1"/>
      <c r="D1" s="1"/>
      <c r="E1" s="1"/>
      <c r="F1" s="1"/>
      <c r="G1" s="1"/>
    </row>
    <row r="2" spans="1:7" ht="18" customHeight="1">
      <c r="A2" s="2" t="s">
        <v>49</v>
      </c>
      <c r="B2" s="2"/>
      <c r="C2" s="2"/>
      <c r="D2" s="2"/>
      <c r="E2" s="2"/>
      <c r="F2" s="2"/>
      <c r="G2" s="2"/>
    </row>
    <row r="3" spans="1:7" ht="30" customHeight="1">
      <c r="A3" s="3" t="s">
        <v>2</v>
      </c>
      <c r="B3" s="3"/>
      <c r="C3" s="3"/>
      <c r="D3" s="3"/>
      <c r="E3" s="3"/>
      <c r="F3" s="3"/>
      <c r="G3" s="3"/>
    </row>
    <row r="5" spans="1:7" ht="22" customHeight="1">
      <c r="A5" s="4" t="s">
        <v>50</v>
      </c>
      <c r="B5" s="4"/>
      <c r="C5" s="4"/>
      <c r="D5" s="4"/>
      <c r="E5" s="4"/>
      <c r="F5" s="4"/>
      <c r="G5" s="4"/>
    </row>
    <row r="6" spans="1:7">
      <c r="B6" s="7" t="s">
        <v>51</v>
      </c>
      <c r="C6" s="8" t="s">
        <v>52</v>
      </c>
      <c r="D6" s="9" t="s">
        <v>53</v>
      </c>
      <c r="E6" s="10" t="s">
        <v>54</v>
      </c>
    </row>
    <row r="8" spans="1:7" ht="26" customHeight="1">
      <c r="A8" s="11"/>
      <c r="B8" s="11" t="s">
        <v>55</v>
      </c>
      <c r="C8" s="11" t="s">
        <v>56</v>
      </c>
      <c r="D8" s="11" t="s">
        <v>57</v>
      </c>
      <c r="E8" s="11" t="s">
        <v>58</v>
      </c>
      <c r="F8" s="11" t="s">
        <v>59</v>
      </c>
      <c r="G8" s="11" t="s">
        <v>60</v>
      </c>
    </row>
    <row r="9" spans="1:7">
      <c r="B9" s="5" t="s">
        <v>61</v>
      </c>
      <c r="C9" s="6" t="s">
        <v>62</v>
      </c>
      <c r="D9" s="6" t="s">
        <v>63</v>
      </c>
      <c r="E9" s="6" t="s">
        <v>64</v>
      </c>
      <c r="F9" s="12"/>
      <c r="G9" s="12"/>
    </row>
    <row r="10" spans="1:7">
      <c r="B10" s="5" t="s">
        <v>65</v>
      </c>
      <c r="C10" s="6" t="s">
        <v>66</v>
      </c>
      <c r="D10" s="6" t="s">
        <v>67</v>
      </c>
      <c r="E10" s="6" t="s">
        <v>68</v>
      </c>
      <c r="F10" s="12"/>
      <c r="G10" s="12"/>
    </row>
    <row r="11" spans="1:7">
      <c r="B11" s="5" t="s">
        <v>69</v>
      </c>
      <c r="C11" s="6" t="s">
        <v>70</v>
      </c>
      <c r="D11" s="6" t="s">
        <v>71</v>
      </c>
      <c r="E11" s="6" t="s">
        <v>72</v>
      </c>
      <c r="F11" s="12" t="s">
        <v>73</v>
      </c>
      <c r="G11" s="12"/>
    </row>
    <row r="12" spans="1:7">
      <c r="B12" s="5" t="s">
        <v>74</v>
      </c>
      <c r="C12" s="6" t="s">
        <v>75</v>
      </c>
      <c r="D12" s="6" t="s">
        <v>76</v>
      </c>
      <c r="E12" s="6" t="s">
        <v>77</v>
      </c>
      <c r="F12" s="12" t="s">
        <v>78</v>
      </c>
      <c r="G12" s="12"/>
    </row>
    <row r="13" spans="1:7">
      <c r="B13" s="5" t="s">
        <v>79</v>
      </c>
      <c r="C13" s="6" t="s">
        <v>80</v>
      </c>
      <c r="D13" s="6" t="s">
        <v>81</v>
      </c>
      <c r="E13" s="6" t="s">
        <v>82</v>
      </c>
      <c r="F13" s="12" t="s">
        <v>83</v>
      </c>
      <c r="G13" s="12" t="s">
        <v>84</v>
      </c>
    </row>
    <row r="14" spans="1:7">
      <c r="B14" s="5" t="s">
        <v>85</v>
      </c>
      <c r="C14" s="6" t="s">
        <v>86</v>
      </c>
      <c r="D14" s="6" t="s">
        <v>86</v>
      </c>
      <c r="E14" s="6" t="s">
        <v>87</v>
      </c>
      <c r="F14" s="12"/>
      <c r="G14" s="12" t="s">
        <v>84</v>
      </c>
    </row>
    <row r="15" spans="1:7">
      <c r="B15" s="5" t="s">
        <v>88</v>
      </c>
      <c r="C15" s="6" t="s">
        <v>89</v>
      </c>
      <c r="D15" s="6" t="s">
        <v>90</v>
      </c>
      <c r="E15" s="6" t="s">
        <v>91</v>
      </c>
      <c r="F15" s="12" t="s">
        <v>92</v>
      </c>
      <c r="G15" s="12"/>
    </row>
    <row r="16" spans="1:7">
      <c r="B16" s="5" t="s">
        <v>93</v>
      </c>
      <c r="C16" s="6" t="s">
        <v>94</v>
      </c>
      <c r="D16" s="6" t="s">
        <v>95</v>
      </c>
      <c r="E16" s="6" t="s">
        <v>96</v>
      </c>
      <c r="F16" s="12"/>
      <c r="G16" s="12"/>
    </row>
    <row r="17" spans="1:7">
      <c r="B17" s="5" t="s">
        <v>97</v>
      </c>
      <c r="C17" s="6" t="s">
        <v>98</v>
      </c>
      <c r="D17" s="6" t="s">
        <v>99</v>
      </c>
      <c r="E17" s="6" t="s">
        <v>100</v>
      </c>
      <c r="F17" s="12"/>
      <c r="G17" s="12"/>
    </row>
    <row r="18" spans="1:7">
      <c r="B18" s="5" t="s">
        <v>101</v>
      </c>
      <c r="C18" s="6" t="s">
        <v>102</v>
      </c>
      <c r="D18" s="6" t="s">
        <v>103</v>
      </c>
      <c r="E18" s="6" t="s">
        <v>104</v>
      </c>
      <c r="F18" s="12" t="s">
        <v>105</v>
      </c>
      <c r="G18" s="12" t="s">
        <v>106</v>
      </c>
    </row>
    <row r="19" spans="1:7">
      <c r="B19" s="5" t="s">
        <v>107</v>
      </c>
      <c r="C19" s="6" t="s">
        <v>108</v>
      </c>
      <c r="D19" s="6" t="s">
        <v>109</v>
      </c>
      <c r="E19" s="6" t="s">
        <v>110</v>
      </c>
      <c r="F19" s="12"/>
      <c r="G19" s="12"/>
    </row>
    <row r="20" spans="1:7">
      <c r="B20" s="5" t="s">
        <v>111</v>
      </c>
      <c r="C20" s="6" t="s">
        <v>112</v>
      </c>
      <c r="D20" s="6" t="s">
        <v>113</v>
      </c>
      <c r="E20" s="6" t="s">
        <v>114</v>
      </c>
      <c r="F20" s="12" t="s">
        <v>115</v>
      </c>
      <c r="G20" s="12"/>
    </row>
    <row r="21" spans="1:7">
      <c r="B21" s="5" t="s">
        <v>116</v>
      </c>
      <c r="C21" s="6" t="s">
        <v>117</v>
      </c>
      <c r="D21" s="6" t="s">
        <v>118</v>
      </c>
      <c r="E21" s="6" t="s">
        <v>119</v>
      </c>
      <c r="F21" s="12"/>
      <c r="G21" s="12"/>
    </row>
    <row r="22" spans="1:7">
      <c r="B22" s="5" t="s">
        <v>120</v>
      </c>
      <c r="C22" s="6" t="s">
        <v>121</v>
      </c>
      <c r="D22" s="6" t="s">
        <v>122</v>
      </c>
      <c r="E22" s="6" t="s">
        <v>123</v>
      </c>
      <c r="F22" s="12"/>
      <c r="G22" s="12" t="s">
        <v>124</v>
      </c>
    </row>
    <row r="23" spans="1:7">
      <c r="B23" s="5" t="s">
        <v>125</v>
      </c>
      <c r="C23" s="6" t="s">
        <v>126</v>
      </c>
      <c r="D23" s="6" t="s">
        <v>127</v>
      </c>
      <c r="E23" s="6" t="s">
        <v>128</v>
      </c>
      <c r="F23" s="12"/>
      <c r="G23" s="12" t="s">
        <v>84</v>
      </c>
    </row>
    <row r="24" spans="1:7">
      <c r="B24" s="5" t="s">
        <v>129</v>
      </c>
      <c r="C24" s="6" t="s">
        <v>130</v>
      </c>
      <c r="D24" s="6" t="s">
        <v>131</v>
      </c>
      <c r="E24" s="6" t="s">
        <v>132</v>
      </c>
      <c r="F24" s="12"/>
      <c r="G24" s="12"/>
    </row>
    <row r="25" spans="1:7">
      <c r="B25" s="5" t="s">
        <v>133</v>
      </c>
      <c r="C25" s="6" t="s">
        <v>134</v>
      </c>
      <c r="D25" s="6" t="s">
        <v>135</v>
      </c>
      <c r="E25" s="6" t="s">
        <v>136</v>
      </c>
      <c r="F25" s="12"/>
      <c r="G25" s="12"/>
    </row>
    <row r="27" spans="1:7" ht="22" customHeight="1">
      <c r="A27" s="4" t="s">
        <v>137</v>
      </c>
      <c r="B27" s="4"/>
      <c r="C27" s="4"/>
      <c r="D27" s="4"/>
      <c r="E27" s="4"/>
      <c r="F27" s="4"/>
      <c r="G27" s="4"/>
    </row>
    <row r="28" spans="1:7">
      <c r="A28" s="11"/>
      <c r="B28" s="11" t="s">
        <v>138</v>
      </c>
      <c r="C28" s="11" t="s">
        <v>139</v>
      </c>
      <c r="D28" s="11" t="s">
        <v>140</v>
      </c>
      <c r="E28" s="11" t="s">
        <v>141</v>
      </c>
      <c r="F28" s="11" t="s">
        <v>142</v>
      </c>
      <c r="G28" s="11" t="s">
        <v>143</v>
      </c>
    </row>
    <row r="29" spans="1:7">
      <c r="B29" s="5" t="s">
        <v>144</v>
      </c>
      <c r="C29" s="13">
        <v>6200</v>
      </c>
      <c r="D29" s="13">
        <v>5480.5</v>
      </c>
      <c r="E29" s="13">
        <v>28636.36</v>
      </c>
      <c r="F29" s="12" t="s">
        <v>145</v>
      </c>
      <c r="G29" s="8" t="s">
        <v>146</v>
      </c>
    </row>
    <row r="30" spans="1:7">
      <c r="B30" s="5" t="s">
        <v>147</v>
      </c>
      <c r="C30" s="13">
        <v>5486.73</v>
      </c>
      <c r="D30" s="13">
        <v>4850</v>
      </c>
      <c r="E30" s="10" t="s">
        <v>148</v>
      </c>
      <c r="F30" s="12" t="s">
        <v>149</v>
      </c>
      <c r="G30" s="8" t="s">
        <v>146</v>
      </c>
    </row>
    <row r="31" spans="1:7">
      <c r="B31" s="5" t="s">
        <v>150</v>
      </c>
      <c r="C31" s="14">
        <v>1</v>
      </c>
      <c r="D31" s="14">
        <v>1</v>
      </c>
      <c r="E31" s="14">
        <v>0.99</v>
      </c>
      <c r="F31" s="12" t="s">
        <v>151</v>
      </c>
      <c r="G31" s="7" t="s">
        <v>152</v>
      </c>
    </row>
    <row r="32" spans="1:7">
      <c r="B32" s="5" t="s">
        <v>153</v>
      </c>
      <c r="C32" s="6" t="s">
        <v>154</v>
      </c>
      <c r="D32" s="6" t="s">
        <v>154</v>
      </c>
      <c r="E32" s="6" t="s">
        <v>155</v>
      </c>
      <c r="F32" s="12" t="s">
        <v>156</v>
      </c>
      <c r="G32" s="8" t="s">
        <v>146</v>
      </c>
    </row>
    <row r="33" spans="2:7">
      <c r="B33" s="5" t="s">
        <v>157</v>
      </c>
      <c r="C33" s="15">
        <v>5</v>
      </c>
      <c r="D33" s="15">
        <v>0</v>
      </c>
      <c r="E33" s="10" t="s">
        <v>148</v>
      </c>
      <c r="F33" s="12" t="s">
        <v>158</v>
      </c>
      <c r="G33" s="7" t="s">
        <v>152</v>
      </c>
    </row>
    <row r="34" spans="2:7">
      <c r="B34" s="5" t="s">
        <v>159</v>
      </c>
      <c r="C34" s="15">
        <v>22</v>
      </c>
      <c r="D34" s="15">
        <v>30</v>
      </c>
      <c r="E34" s="15">
        <v>5</v>
      </c>
      <c r="F34" s="12" t="s">
        <v>160</v>
      </c>
      <c r="G34" s="7" t="s">
        <v>152</v>
      </c>
    </row>
    <row r="35" spans="2:7">
      <c r="B35" s="5" t="s">
        <v>161</v>
      </c>
      <c r="C35" s="15">
        <v>21</v>
      </c>
      <c r="D35" s="15">
        <v>46</v>
      </c>
      <c r="E35" s="15">
        <v>0</v>
      </c>
      <c r="F35" s="12" t="s">
        <v>162</v>
      </c>
      <c r="G35" s="8" t="s">
        <v>146</v>
      </c>
    </row>
  </sheetData>
  <mergeCells count="5">
    <mergeCell ref="A1:G1"/>
    <mergeCell ref="A2:G2"/>
    <mergeCell ref="A3:G3"/>
    <mergeCell ref="A5:G5"/>
    <mergeCell ref="A27:G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/>
  </sheetViews>
  <sheetFormatPr defaultRowHeight="15"/>
  <cols>
    <col min="1" max="1" width="4.7109375" customWidth="1"/>
    <col min="2" max="2" width="20.7109375" customWidth="1"/>
    <col min="3" max="5" width="62.7109375" customWidth="1"/>
    <col min="6" max="6" width="34.7109375" customWidth="1"/>
  </cols>
  <sheetData>
    <row r="1" spans="1:6" ht="30" customHeight="1">
      <c r="A1" s="1" t="s">
        <v>163</v>
      </c>
      <c r="B1" s="1"/>
      <c r="C1" s="1"/>
      <c r="D1" s="1"/>
      <c r="E1" s="1"/>
      <c r="F1" s="1"/>
    </row>
    <row r="2" spans="1:6" ht="18" customHeight="1">
      <c r="A2" s="2" t="s">
        <v>164</v>
      </c>
      <c r="B2" s="2"/>
      <c r="C2" s="2"/>
      <c r="D2" s="2"/>
      <c r="E2" s="2"/>
      <c r="F2" s="2"/>
    </row>
    <row r="3" spans="1:6" ht="30" customHeight="1">
      <c r="A3" s="3" t="s">
        <v>2</v>
      </c>
      <c r="B3" s="3"/>
      <c r="C3" s="3"/>
      <c r="D3" s="3"/>
      <c r="E3" s="3"/>
      <c r="F3" s="3"/>
    </row>
    <row r="5" spans="1:6">
      <c r="A5" s="11"/>
      <c r="B5" s="11" t="s">
        <v>165</v>
      </c>
      <c r="C5" s="11" t="s">
        <v>56</v>
      </c>
      <c r="D5" s="11" t="s">
        <v>57</v>
      </c>
      <c r="E5" s="11" t="s">
        <v>58</v>
      </c>
      <c r="F5" s="11" t="s">
        <v>166</v>
      </c>
    </row>
    <row r="6" spans="1:6">
      <c r="B6" s="5" t="s">
        <v>61</v>
      </c>
      <c r="C6" s="6" t="s">
        <v>62</v>
      </c>
      <c r="D6" s="6" t="s">
        <v>63</v>
      </c>
      <c r="E6" s="6" t="s">
        <v>64</v>
      </c>
      <c r="F6" s="12" t="s">
        <v>167</v>
      </c>
    </row>
    <row r="7" spans="1:6">
      <c r="B7" s="5" t="s">
        <v>168</v>
      </c>
      <c r="C7" s="6" t="s">
        <v>66</v>
      </c>
      <c r="D7" s="6" t="s">
        <v>67</v>
      </c>
      <c r="E7" s="6" t="s">
        <v>68</v>
      </c>
      <c r="F7" s="12"/>
    </row>
    <row r="8" spans="1:6">
      <c r="B8" s="5" t="s">
        <v>169</v>
      </c>
      <c r="C8" s="6" t="s">
        <v>70</v>
      </c>
      <c r="D8" s="6" t="s">
        <v>71</v>
      </c>
      <c r="E8" s="6" t="s">
        <v>72</v>
      </c>
      <c r="F8" s="12"/>
    </row>
    <row r="9" spans="1:6">
      <c r="B9" s="5" t="s">
        <v>74</v>
      </c>
      <c r="C9" s="6" t="s">
        <v>75</v>
      </c>
      <c r="D9" s="6" t="s">
        <v>76</v>
      </c>
      <c r="E9" s="6" t="s">
        <v>77</v>
      </c>
      <c r="F9" s="12"/>
    </row>
    <row r="10" spans="1:6">
      <c r="B10" s="5" t="s">
        <v>170</v>
      </c>
      <c r="C10" s="6" t="s">
        <v>80</v>
      </c>
      <c r="D10" s="6" t="s">
        <v>81</v>
      </c>
      <c r="E10" s="6" t="s">
        <v>82</v>
      </c>
      <c r="F10" s="12"/>
    </row>
    <row r="11" spans="1:6">
      <c r="B11" s="5" t="s">
        <v>85</v>
      </c>
      <c r="C11" s="6" t="s">
        <v>86</v>
      </c>
      <c r="D11" s="6" t="s">
        <v>86</v>
      </c>
      <c r="E11" s="6" t="s">
        <v>87</v>
      </c>
      <c r="F11" s="12"/>
    </row>
    <row r="12" spans="1:6">
      <c r="B12" s="5" t="s">
        <v>88</v>
      </c>
      <c r="C12" s="6" t="s">
        <v>89</v>
      </c>
      <c r="D12" s="6" t="s">
        <v>90</v>
      </c>
      <c r="E12" s="6" t="s">
        <v>91</v>
      </c>
      <c r="F12" s="12"/>
    </row>
    <row r="13" spans="1:6">
      <c r="B13" s="5" t="s">
        <v>93</v>
      </c>
      <c r="C13" s="6" t="s">
        <v>94</v>
      </c>
      <c r="D13" s="6" t="s">
        <v>95</v>
      </c>
      <c r="E13" s="6" t="s">
        <v>96</v>
      </c>
      <c r="F13" s="12"/>
    </row>
    <row r="14" spans="1:6">
      <c r="B14" s="5" t="s">
        <v>97</v>
      </c>
      <c r="C14" s="6" t="s">
        <v>98</v>
      </c>
      <c r="D14" s="6" t="s">
        <v>99</v>
      </c>
      <c r="E14" s="6" t="s">
        <v>100</v>
      </c>
      <c r="F14" s="12"/>
    </row>
    <row r="15" spans="1:6">
      <c r="B15" s="5" t="s">
        <v>101</v>
      </c>
      <c r="C15" s="6" t="s">
        <v>102</v>
      </c>
      <c r="D15" s="6" t="s">
        <v>103</v>
      </c>
      <c r="E15" s="6" t="s">
        <v>104</v>
      </c>
      <c r="F15" s="12"/>
    </row>
    <row r="16" spans="1:6">
      <c r="B16" s="5" t="s">
        <v>107</v>
      </c>
      <c r="C16" s="6" t="s">
        <v>108</v>
      </c>
      <c r="D16" s="6" t="s">
        <v>109</v>
      </c>
      <c r="E16" s="6" t="s">
        <v>110</v>
      </c>
      <c r="F16" s="12"/>
    </row>
    <row r="17" spans="2:6">
      <c r="B17" s="5" t="s">
        <v>111</v>
      </c>
      <c r="C17" s="6" t="s">
        <v>112</v>
      </c>
      <c r="D17" s="6" t="s">
        <v>113</v>
      </c>
      <c r="E17" s="6" t="s">
        <v>114</v>
      </c>
      <c r="F17" s="12"/>
    </row>
    <row r="18" spans="2:6">
      <c r="B18" s="5" t="s">
        <v>116</v>
      </c>
      <c r="C18" s="6" t="s">
        <v>117</v>
      </c>
      <c r="D18" s="6" t="s">
        <v>118</v>
      </c>
      <c r="E18" s="6" t="s">
        <v>119</v>
      </c>
      <c r="F18" s="12"/>
    </row>
    <row r="19" spans="2:6">
      <c r="B19" s="5" t="s">
        <v>120</v>
      </c>
      <c r="C19" s="6" t="s">
        <v>121</v>
      </c>
      <c r="D19" s="6" t="s">
        <v>122</v>
      </c>
      <c r="E19" s="6" t="s">
        <v>123</v>
      </c>
      <c r="F19" s="12"/>
    </row>
    <row r="20" spans="2:6">
      <c r="B20" s="5" t="s">
        <v>125</v>
      </c>
      <c r="C20" s="6" t="s">
        <v>126</v>
      </c>
      <c r="D20" s="6" t="s">
        <v>127</v>
      </c>
      <c r="E20" s="6" t="s">
        <v>128</v>
      </c>
      <c r="F20" s="12"/>
    </row>
    <row r="21" spans="2:6">
      <c r="B21" s="5" t="s">
        <v>171</v>
      </c>
      <c r="C21" s="6" t="s">
        <v>130</v>
      </c>
      <c r="D21" s="6" t="s">
        <v>131</v>
      </c>
      <c r="E21" s="6" t="s">
        <v>132</v>
      </c>
      <c r="F21" s="12"/>
    </row>
    <row r="22" spans="2:6">
      <c r="B22" s="5" t="s">
        <v>133</v>
      </c>
      <c r="C22" s="6" t="s">
        <v>134</v>
      </c>
      <c r="D22" s="6" t="s">
        <v>135</v>
      </c>
      <c r="E22" s="6" t="s">
        <v>136</v>
      </c>
      <c r="F22" s="12"/>
    </row>
    <row r="24" spans="2:6">
      <c r="B24" s="11" t="s">
        <v>172</v>
      </c>
      <c r="C24" s="11"/>
      <c r="D24" s="11"/>
    </row>
    <row r="25" spans="2:6" ht="60" customHeight="1">
      <c r="B25" s="5" t="s">
        <v>173</v>
      </c>
      <c r="C25" s="6" t="s">
        <v>174</v>
      </c>
      <c r="D25" s="6" t="s">
        <v>175</v>
      </c>
      <c r="E25" s="6" t="s">
        <v>176</v>
      </c>
    </row>
  </sheetData>
  <mergeCells count="4">
    <mergeCell ref="A1:F1"/>
    <mergeCell ref="A2:F2"/>
    <mergeCell ref="A3:F3"/>
    <mergeCell ref="B24:D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showGridLines="0" workbookViewId="0"/>
  </sheetViews>
  <sheetFormatPr defaultRowHeight="15"/>
  <cols>
    <col min="1" max="1" width="4.7109375" customWidth="1"/>
    <col min="2" max="2" width="20.7109375" customWidth="1"/>
    <col min="3" max="5" width="34.7109375" customWidth="1"/>
    <col min="6" max="6" width="46.7109375" customWidth="1"/>
    <col min="7" max="7" width="14.7109375" customWidth="1"/>
  </cols>
  <sheetData>
    <row r="1" spans="1:7" ht="30" customHeight="1">
      <c r="A1" s="1" t="s">
        <v>177</v>
      </c>
      <c r="B1" s="1"/>
      <c r="C1" s="1"/>
      <c r="D1" s="1"/>
      <c r="E1" s="1"/>
      <c r="F1" s="1"/>
      <c r="G1" s="1"/>
    </row>
    <row r="2" spans="1:7" ht="18" customHeight="1">
      <c r="A2" s="2" t="s">
        <v>178</v>
      </c>
      <c r="B2" s="2"/>
      <c r="C2" s="2"/>
      <c r="D2" s="2"/>
      <c r="E2" s="2"/>
      <c r="F2" s="2"/>
      <c r="G2" s="2"/>
    </row>
    <row r="3" spans="1:7" ht="30" customHeight="1">
      <c r="A3" s="3" t="s">
        <v>2</v>
      </c>
      <c r="B3" s="3"/>
      <c r="C3" s="3"/>
      <c r="D3" s="3"/>
      <c r="E3" s="3"/>
      <c r="F3" s="3"/>
      <c r="G3" s="3"/>
    </row>
    <row r="5" spans="1:7" ht="22" customHeight="1">
      <c r="A5" s="4" t="s">
        <v>179</v>
      </c>
      <c r="B5" s="4"/>
      <c r="C5" s="4"/>
      <c r="D5" s="4"/>
      <c r="E5" s="4"/>
      <c r="F5" s="4"/>
      <c r="G5" s="4"/>
    </row>
    <row r="6" spans="1:7">
      <c r="A6" s="11"/>
      <c r="B6" s="11" t="s">
        <v>180</v>
      </c>
      <c r="C6" s="11" t="s">
        <v>181</v>
      </c>
      <c r="D6" s="11" t="s">
        <v>182</v>
      </c>
      <c r="E6" s="11" t="s">
        <v>183</v>
      </c>
      <c r="F6" s="11" t="s">
        <v>184</v>
      </c>
      <c r="G6" s="11" t="s">
        <v>185</v>
      </c>
    </row>
    <row r="7" spans="1:7">
      <c r="B7" s="5" t="s">
        <v>186</v>
      </c>
      <c r="C7" s="6" t="s">
        <v>70</v>
      </c>
      <c r="D7" s="13">
        <v>6.2</v>
      </c>
      <c r="E7" s="16" t="s">
        <v>187</v>
      </c>
      <c r="F7" s="17">
        <v>6200</v>
      </c>
      <c r="G7" s="8" t="s">
        <v>146</v>
      </c>
    </row>
    <row r="8" spans="1:7">
      <c r="B8" s="5" t="s">
        <v>188</v>
      </c>
      <c r="C8" s="6" t="s">
        <v>71</v>
      </c>
      <c r="D8" s="13">
        <v>4850</v>
      </c>
      <c r="E8" s="16" t="s">
        <v>189</v>
      </c>
      <c r="F8" s="17">
        <v>5480.5</v>
      </c>
      <c r="G8" s="8" t="s">
        <v>146</v>
      </c>
    </row>
    <row r="9" spans="1:7">
      <c r="B9" s="5" t="s">
        <v>190</v>
      </c>
      <c r="C9" s="6" t="s">
        <v>72</v>
      </c>
      <c r="D9" s="13">
        <v>6300</v>
      </c>
      <c r="E9" s="16" t="s">
        <v>191</v>
      </c>
      <c r="F9" s="17">
        <v>28636.36</v>
      </c>
      <c r="G9" s="8" t="s">
        <v>146</v>
      </c>
    </row>
    <row r="11" spans="1:7" ht="22" customHeight="1">
      <c r="A11" s="4" t="s">
        <v>192</v>
      </c>
      <c r="B11" s="4"/>
      <c r="C11" s="4"/>
      <c r="D11" s="4"/>
      <c r="E11" s="4"/>
      <c r="F11" s="4"/>
      <c r="G11" s="4"/>
    </row>
    <row r="12" spans="1:7">
      <c r="A12" s="11"/>
      <c r="B12" s="11" t="s">
        <v>180</v>
      </c>
      <c r="C12" s="11" t="s">
        <v>193</v>
      </c>
      <c r="D12" s="11" t="s">
        <v>194</v>
      </c>
      <c r="E12" s="11" t="s">
        <v>195</v>
      </c>
      <c r="F12" s="11" t="s">
        <v>196</v>
      </c>
      <c r="G12" s="11" t="s">
        <v>197</v>
      </c>
    </row>
    <row r="13" spans="1:7">
      <c r="B13" s="5" t="s">
        <v>186</v>
      </c>
      <c r="C13" s="6" t="s">
        <v>80</v>
      </c>
      <c r="D13" s="6" t="s">
        <v>198</v>
      </c>
      <c r="E13" s="6" t="s">
        <v>86</v>
      </c>
      <c r="F13" s="6" t="s">
        <v>199</v>
      </c>
      <c r="G13" s="18" t="s">
        <v>200</v>
      </c>
    </row>
    <row r="14" spans="1:7">
      <c r="B14" s="5" t="s">
        <v>188</v>
      </c>
      <c r="C14" s="6" t="s">
        <v>81</v>
      </c>
      <c r="D14" s="6" t="s">
        <v>201</v>
      </c>
      <c r="E14" s="6" t="s">
        <v>86</v>
      </c>
      <c r="F14" s="6" t="s">
        <v>202</v>
      </c>
      <c r="G14" s="18" t="s">
        <v>200</v>
      </c>
    </row>
    <row r="15" spans="1:7">
      <c r="B15" s="5" t="s">
        <v>190</v>
      </c>
      <c r="C15" s="6" t="s">
        <v>82</v>
      </c>
      <c r="D15" s="6" t="s">
        <v>203</v>
      </c>
      <c r="E15" s="6" t="s">
        <v>204</v>
      </c>
      <c r="F15" s="6" t="s">
        <v>205</v>
      </c>
      <c r="G15" s="10" t="s">
        <v>206</v>
      </c>
    </row>
    <row r="17" spans="1:7" ht="22" customHeight="1">
      <c r="A17" s="4" t="s">
        <v>207</v>
      </c>
      <c r="B17" s="4"/>
      <c r="C17" s="4"/>
      <c r="D17" s="4"/>
      <c r="E17" s="4"/>
      <c r="F17" s="4"/>
      <c r="G17" s="4"/>
    </row>
    <row r="18" spans="1:7">
      <c r="A18" s="11"/>
      <c r="B18" s="11" t="s">
        <v>180</v>
      </c>
      <c r="C18" s="11" t="s">
        <v>150</v>
      </c>
      <c r="D18" s="11" t="s">
        <v>208</v>
      </c>
      <c r="E18" s="11" t="s">
        <v>209</v>
      </c>
      <c r="F18" s="11" t="s">
        <v>210</v>
      </c>
      <c r="G18" s="11" t="s">
        <v>211</v>
      </c>
    </row>
    <row r="19" spans="1:7">
      <c r="B19" s="5" t="s">
        <v>186</v>
      </c>
      <c r="C19" s="14">
        <v>0.9992</v>
      </c>
      <c r="D19" s="6" t="s">
        <v>212</v>
      </c>
      <c r="E19" s="18" t="s">
        <v>213</v>
      </c>
      <c r="F19" s="6" t="s">
        <v>214</v>
      </c>
      <c r="G19" s="13">
        <v>5545.52</v>
      </c>
    </row>
    <row r="20" spans="1:7">
      <c r="B20" s="5" t="s">
        <v>188</v>
      </c>
      <c r="C20" s="14">
        <v>0.999</v>
      </c>
      <c r="D20" s="6" t="s">
        <v>212</v>
      </c>
      <c r="E20" s="18" t="s">
        <v>215</v>
      </c>
      <c r="F20" s="6" t="s">
        <v>216</v>
      </c>
      <c r="G20" s="13">
        <v>4935.09</v>
      </c>
    </row>
    <row r="21" spans="1:7">
      <c r="B21" s="5" t="s">
        <v>190</v>
      </c>
      <c r="C21" s="14">
        <v>0.995</v>
      </c>
      <c r="D21" s="6" t="s">
        <v>217</v>
      </c>
      <c r="E21" s="10" t="s">
        <v>218</v>
      </c>
      <c r="F21" s="6" t="s">
        <v>219</v>
      </c>
      <c r="G21" s="13">
        <v>28822.09</v>
      </c>
    </row>
    <row r="23" spans="1:7" ht="22" customHeight="1">
      <c r="A23" s="4" t="s">
        <v>220</v>
      </c>
      <c r="B23" s="4"/>
      <c r="C23" s="4"/>
      <c r="D23" s="4"/>
      <c r="E23" s="4"/>
      <c r="F23" s="4"/>
      <c r="G23" s="4"/>
    </row>
    <row r="24" spans="1:7">
      <c r="A24" s="11"/>
      <c r="B24" s="11" t="s">
        <v>180</v>
      </c>
      <c r="C24" s="11" t="s">
        <v>221</v>
      </c>
      <c r="D24" s="11" t="s">
        <v>222</v>
      </c>
      <c r="E24" s="11" t="s">
        <v>223</v>
      </c>
      <c r="F24" s="11" t="s">
        <v>224</v>
      </c>
      <c r="G24" s="11" t="s">
        <v>225</v>
      </c>
    </row>
    <row r="25" spans="1:7">
      <c r="B25" s="5" t="s">
        <v>186</v>
      </c>
      <c r="C25" s="6" t="s">
        <v>226</v>
      </c>
      <c r="D25" s="6" t="s">
        <v>227</v>
      </c>
      <c r="E25" s="16" t="s">
        <v>228</v>
      </c>
      <c r="F25" s="13">
        <v>6170</v>
      </c>
      <c r="G25" s="6" t="s">
        <v>198</v>
      </c>
    </row>
    <row r="26" spans="1:7">
      <c r="B26" s="5" t="s">
        <v>188</v>
      </c>
      <c r="C26" s="6" t="s">
        <v>229</v>
      </c>
      <c r="D26" s="6" t="s">
        <v>230</v>
      </c>
      <c r="E26" s="16" t="s">
        <v>231</v>
      </c>
      <c r="F26" s="13">
        <v>4800</v>
      </c>
      <c r="G26" s="6" t="s">
        <v>201</v>
      </c>
    </row>
    <row r="27" spans="1:7">
      <c r="B27" s="5" t="s">
        <v>190</v>
      </c>
      <c r="C27" s="6" t="s">
        <v>91</v>
      </c>
      <c r="D27" s="6" t="s">
        <v>232</v>
      </c>
      <c r="E27" s="16" t="s">
        <v>233</v>
      </c>
      <c r="F27" s="13">
        <v>28636.36</v>
      </c>
      <c r="G27" s="6" t="s">
        <v>198</v>
      </c>
    </row>
    <row r="29" spans="1:7" ht="22" customHeight="1">
      <c r="A29" s="4" t="s">
        <v>234</v>
      </c>
      <c r="B29" s="4"/>
      <c r="C29" s="4"/>
      <c r="D29" s="4"/>
      <c r="E29" s="4"/>
      <c r="F29" s="4"/>
      <c r="G29" s="4"/>
    </row>
    <row r="30" spans="1:7">
      <c r="A30" s="11"/>
      <c r="B30" s="11" t="s">
        <v>180</v>
      </c>
      <c r="C30" s="11" t="s">
        <v>235</v>
      </c>
      <c r="D30" s="11" t="s">
        <v>236</v>
      </c>
      <c r="E30" s="11" t="s">
        <v>237</v>
      </c>
      <c r="F30" s="11" t="s">
        <v>161</v>
      </c>
      <c r="G30" s="11" t="s">
        <v>238</v>
      </c>
    </row>
    <row r="31" spans="1:7">
      <c r="B31" s="5" t="s">
        <v>186</v>
      </c>
      <c r="C31" s="6" t="s">
        <v>239</v>
      </c>
      <c r="D31" s="13">
        <v>38.53</v>
      </c>
      <c r="E31" s="6" t="s">
        <v>112</v>
      </c>
      <c r="F31" s="15">
        <v>21</v>
      </c>
      <c r="G31" s="13">
        <v>14.55</v>
      </c>
    </row>
    <row r="32" spans="1:7">
      <c r="B32" s="5" t="s">
        <v>188</v>
      </c>
      <c r="C32" s="6" t="s">
        <v>239</v>
      </c>
      <c r="D32" s="13">
        <v>38.53</v>
      </c>
      <c r="E32" s="6" t="s">
        <v>113</v>
      </c>
      <c r="F32" s="15">
        <v>46</v>
      </c>
      <c r="G32" s="13">
        <v>28.15</v>
      </c>
    </row>
    <row r="33" spans="2:7">
      <c r="B33" s="5" t="s">
        <v>190</v>
      </c>
      <c r="C33" s="6" t="s">
        <v>240</v>
      </c>
      <c r="D33" s="13">
        <v>0</v>
      </c>
      <c r="E33" s="6" t="s">
        <v>114</v>
      </c>
      <c r="F33" s="15">
        <v>0</v>
      </c>
      <c r="G33" s="13">
        <v>0</v>
      </c>
    </row>
    <row r="34" spans="2:7">
      <c r="B34" s="12" t="s">
        <v>241</v>
      </c>
    </row>
  </sheetData>
  <mergeCells count="8">
    <mergeCell ref="A1:G1"/>
    <mergeCell ref="A2:G2"/>
    <mergeCell ref="A3:G3"/>
    <mergeCell ref="A5:G5"/>
    <mergeCell ref="A11:G11"/>
    <mergeCell ref="A17:G17"/>
    <mergeCell ref="A23:G23"/>
    <mergeCell ref="A29:G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showGridLines="0" workbookViewId="0"/>
  </sheetViews>
  <sheetFormatPr defaultRowHeight="15"/>
  <cols>
    <col min="1" max="1" width="4.7109375" customWidth="1"/>
    <col min="2" max="2" width="6.7109375" customWidth="1"/>
    <col min="3" max="3" width="30.7109375" customWidth="1"/>
    <col min="4" max="4" width="62.7109375" customWidth="1"/>
    <col min="5" max="7" width="16.7109375" customWidth="1"/>
    <col min="8" max="8" width="52.7109375" customWidth="1"/>
  </cols>
  <sheetData>
    <row r="1" spans="1:8" ht="30" customHeight="1">
      <c r="A1" s="1" t="s">
        <v>242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243</v>
      </c>
      <c r="B2" s="2"/>
      <c r="C2" s="2"/>
      <c r="D2" s="2"/>
      <c r="E2" s="2"/>
      <c r="F2" s="2"/>
      <c r="G2" s="2"/>
      <c r="H2" s="2"/>
    </row>
    <row r="3" spans="1:8" ht="30" customHeight="1">
      <c r="A3" s="3" t="s">
        <v>2</v>
      </c>
      <c r="B3" s="3"/>
      <c r="C3" s="3"/>
      <c r="D3" s="3"/>
      <c r="E3" s="3"/>
      <c r="F3" s="3"/>
      <c r="G3" s="3"/>
      <c r="H3" s="3"/>
    </row>
    <row r="5" spans="1:8">
      <c r="A5" s="11"/>
      <c r="B5" s="11" t="s">
        <v>244</v>
      </c>
      <c r="C5" s="11" t="s">
        <v>245</v>
      </c>
      <c r="D5" s="11" t="s">
        <v>246</v>
      </c>
      <c r="E5" s="11" t="s">
        <v>106</v>
      </c>
      <c r="F5" s="11" t="s">
        <v>247</v>
      </c>
      <c r="G5" s="11" t="s">
        <v>84</v>
      </c>
      <c r="H5" s="11" t="s">
        <v>248</v>
      </c>
    </row>
    <row r="6" spans="1:8">
      <c r="B6" s="5" t="s">
        <v>249</v>
      </c>
      <c r="C6" s="5" t="s">
        <v>144</v>
      </c>
      <c r="D6" s="16" t="s">
        <v>250</v>
      </c>
      <c r="E6" s="13">
        <v>6200</v>
      </c>
      <c r="F6" s="13">
        <v>5480.5</v>
      </c>
      <c r="G6" s="13">
        <v>28636.36</v>
      </c>
      <c r="H6" s="12" t="s">
        <v>251</v>
      </c>
    </row>
    <row r="7" spans="1:8">
      <c r="B7" s="5" t="s">
        <v>252</v>
      </c>
      <c r="C7" s="5" t="s">
        <v>253</v>
      </c>
      <c r="D7" s="16" t="s">
        <v>254</v>
      </c>
      <c r="E7" s="13">
        <v>5486.73</v>
      </c>
      <c r="F7" s="13">
        <v>4850</v>
      </c>
      <c r="G7" s="13">
        <v>28636.36</v>
      </c>
      <c r="H7" s="12" t="s">
        <v>255</v>
      </c>
    </row>
    <row r="8" spans="1:8">
      <c r="B8" s="5" t="s">
        <v>256</v>
      </c>
      <c r="C8" s="5" t="s">
        <v>257</v>
      </c>
      <c r="D8" s="16" t="s">
        <v>258</v>
      </c>
      <c r="E8" s="13">
        <v>38.53</v>
      </c>
      <c r="F8" s="13">
        <v>38.53</v>
      </c>
      <c r="G8" s="13">
        <v>0</v>
      </c>
      <c r="H8" s="12" t="s">
        <v>259</v>
      </c>
    </row>
    <row r="9" spans="1:8">
      <c r="B9" s="5" t="s">
        <v>260</v>
      </c>
      <c r="C9" s="5" t="s">
        <v>261</v>
      </c>
      <c r="D9" s="16" t="s">
        <v>262</v>
      </c>
      <c r="E9" s="13">
        <v>23.58</v>
      </c>
      <c r="F9" s="13">
        <v>23.58</v>
      </c>
      <c r="G9" s="13">
        <v>23.58</v>
      </c>
      <c r="H9" s="12" t="s">
        <v>263</v>
      </c>
    </row>
    <row r="10" spans="1:8">
      <c r="B10" s="5" t="s">
        <v>264</v>
      </c>
      <c r="C10" s="5" t="s">
        <v>265</v>
      </c>
      <c r="D10" s="16" t="s">
        <v>266</v>
      </c>
      <c r="E10" s="13">
        <v>4.25</v>
      </c>
      <c r="F10" s="13">
        <v>4.25</v>
      </c>
      <c r="G10" s="13">
        <v>4.25</v>
      </c>
      <c r="H10" s="12" t="s">
        <v>267</v>
      </c>
    </row>
    <row r="11" spans="1:8">
      <c r="B11" s="5" t="s">
        <v>268</v>
      </c>
      <c r="C11" s="5" t="s">
        <v>269</v>
      </c>
      <c r="D11" s="16" t="s">
        <v>270</v>
      </c>
      <c r="E11" s="13">
        <v>0</v>
      </c>
      <c r="F11" s="13">
        <v>1.89</v>
      </c>
      <c r="G11" s="13">
        <v>0</v>
      </c>
      <c r="H11" s="12" t="s">
        <v>271</v>
      </c>
    </row>
    <row r="12" spans="1:8">
      <c r="B12" s="5" t="s">
        <v>272</v>
      </c>
      <c r="C12" s="5" t="s">
        <v>273</v>
      </c>
      <c r="D12" s="16" t="s">
        <v>274</v>
      </c>
      <c r="E12" s="13">
        <v>14.55</v>
      </c>
      <c r="F12" s="13">
        <v>28.15</v>
      </c>
      <c r="G12" s="13">
        <v>0</v>
      </c>
      <c r="H12" s="12" t="s">
        <v>275</v>
      </c>
    </row>
    <row r="13" spans="1:8">
      <c r="B13" s="5" t="s">
        <v>276</v>
      </c>
      <c r="C13" s="5" t="s">
        <v>277</v>
      </c>
      <c r="D13" s="16" t="s">
        <v>278</v>
      </c>
      <c r="E13" s="13">
        <v>0</v>
      </c>
      <c r="F13" s="13">
        <v>33.75</v>
      </c>
      <c r="G13" s="13">
        <v>13.79</v>
      </c>
      <c r="H13" s="12" t="s">
        <v>279</v>
      </c>
    </row>
    <row r="14" spans="1:8">
      <c r="B14" s="5">
        <f/>
        <v>0</v>
      </c>
      <c r="C14" s="5" t="s">
        <v>280</v>
      </c>
      <c r="D14" s="16" t="s">
        <v>281</v>
      </c>
      <c r="E14" s="17">
        <v>5541.08</v>
      </c>
      <c r="F14" s="17">
        <v>4930.15</v>
      </c>
      <c r="G14" s="17">
        <v>28677.98</v>
      </c>
      <c r="H14" s="12" t="s">
        <v>282</v>
      </c>
    </row>
    <row r="15" spans="1:8">
      <c r="B15" s="5" t="s">
        <v>283</v>
      </c>
      <c r="C15" s="5" t="s">
        <v>284</v>
      </c>
      <c r="D15" s="16" t="s">
        <v>285</v>
      </c>
      <c r="E15" s="13">
        <v>5545.52</v>
      </c>
      <c r="F15" s="13">
        <v>4935.09</v>
      </c>
      <c r="G15" s="13">
        <v>28822.09</v>
      </c>
      <c r="H15" s="12" t="s">
        <v>286</v>
      </c>
    </row>
    <row r="17" spans="1:8" ht="22" customHeight="1">
      <c r="A17" s="4" t="s">
        <v>287</v>
      </c>
      <c r="B17" s="4"/>
      <c r="C17" s="4"/>
      <c r="D17" s="4"/>
      <c r="E17" s="4"/>
      <c r="F17" s="4"/>
      <c r="G17" s="4"/>
      <c r="H17" s="4"/>
    </row>
    <row r="18" spans="1:8">
      <c r="B18" s="5" t="s">
        <v>288</v>
      </c>
      <c r="C18" s="16" t="s">
        <v>289</v>
      </c>
      <c r="D18" s="6" t="s">
        <v>290</v>
      </c>
      <c r="E18" s="6"/>
      <c r="F18" s="6"/>
      <c r="G18" s="6"/>
      <c r="H18" s="6"/>
    </row>
    <row r="19" spans="1:8">
      <c r="B19" s="5" t="s">
        <v>291</v>
      </c>
      <c r="C19" s="16" t="s">
        <v>292</v>
      </c>
      <c r="D19" s="6" t="s">
        <v>293</v>
      </c>
      <c r="E19" s="6"/>
      <c r="F19" s="6"/>
      <c r="G19" s="6"/>
      <c r="H19" s="6"/>
    </row>
    <row r="20" spans="1:8">
      <c r="B20" s="5" t="s">
        <v>294</v>
      </c>
      <c r="C20" s="16" t="s">
        <v>295</v>
      </c>
      <c r="D20" s="6" t="s">
        <v>296</v>
      </c>
      <c r="E20" s="6"/>
      <c r="F20" s="6"/>
      <c r="G20" s="6"/>
      <c r="H20" s="6"/>
    </row>
    <row r="21" spans="1:8">
      <c r="B21" s="5" t="s">
        <v>297</v>
      </c>
      <c r="C21" s="16" t="s">
        <v>298</v>
      </c>
      <c r="D21" s="6" t="s">
        <v>299</v>
      </c>
      <c r="E21" s="6"/>
      <c r="F21" s="6"/>
      <c r="G21" s="6"/>
      <c r="H21" s="6"/>
    </row>
    <row r="23" spans="1:8" ht="22" customHeight="1">
      <c r="A23" s="4" t="s">
        <v>300</v>
      </c>
      <c r="B23" s="4"/>
      <c r="C23" s="4"/>
      <c r="D23" s="4"/>
      <c r="E23" s="4"/>
      <c r="F23" s="4"/>
      <c r="G23" s="4"/>
      <c r="H23" s="4"/>
    </row>
    <row r="24" spans="1:8">
      <c r="C24" s="5" t="s">
        <v>301</v>
      </c>
      <c r="D24" s="16">
        <f>IF(供应商="A", 6.17*1000, IF(供应商="B", 4800*1.13, 6300/0.22))</f>
        <v>0</v>
      </c>
      <c r="E24" s="16"/>
      <c r="F24" s="16"/>
      <c r="G24" s="12" t="s">
        <v>302</v>
      </c>
      <c r="H24" s="12"/>
    </row>
    <row r="25" spans="1:8">
      <c r="C25" s="5" t="s">
        <v>303</v>
      </c>
      <c r="D25" s="16">
        <f>IF(供应商="C", 含税单价, 含税单价/(1+税率))</f>
        <v>0</v>
      </c>
      <c r="E25" s="16"/>
      <c r="F25" s="16"/>
      <c r="G25" s="12" t="s">
        <v>304</v>
      </c>
      <c r="H25" s="12"/>
    </row>
    <row r="26" spans="1:8">
      <c r="C26" s="5" t="s">
        <v>305</v>
      </c>
      <c r="D26" s="16">
        <f>裸价 + 运费 + 卸车 + 检验 + 清洗 + 资金 + 保证金押金</f>
        <v>0</v>
      </c>
      <c r="E26" s="16"/>
      <c r="F26" s="16"/>
      <c r="G26" s="12" t="s">
        <v>306</v>
      </c>
      <c r="H26" s="12"/>
    </row>
    <row r="27" spans="1:8">
      <c r="C27" s="5" t="s">
        <v>307</v>
      </c>
      <c r="D27" s="16">
        <f>到厂成本 / 含量</f>
        <v>0</v>
      </c>
      <c r="E27" s="16"/>
      <c r="F27" s="16"/>
      <c r="G27" s="12"/>
      <c r="H27" s="12"/>
    </row>
  </sheetData>
  <mergeCells count="17">
    <mergeCell ref="A1:H1"/>
    <mergeCell ref="A2:H2"/>
    <mergeCell ref="A3:H3"/>
    <mergeCell ref="A17:H17"/>
    <mergeCell ref="D18:H18"/>
    <mergeCell ref="D19:H19"/>
    <mergeCell ref="D20:H20"/>
    <mergeCell ref="D21:H21"/>
    <mergeCell ref="A23:H23"/>
    <mergeCell ref="D24:F24"/>
    <mergeCell ref="G24:H24"/>
    <mergeCell ref="D25:F25"/>
    <mergeCell ref="G25:H25"/>
    <mergeCell ref="D26:F26"/>
    <mergeCell ref="G26:H26"/>
    <mergeCell ref="D27:F27"/>
    <mergeCell ref="G27:H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/>
  </sheetViews>
  <sheetFormatPr defaultRowHeight="15"/>
  <cols>
    <col min="1" max="1" width="4.7109375" customWidth="1"/>
    <col min="2" max="2" width="26.7109375" customWidth="1"/>
    <col min="3" max="5" width="16.7109375" customWidth="1"/>
    <col min="6" max="6" width="46.7109375" customWidth="1"/>
  </cols>
  <sheetData>
    <row r="1" spans="1:6" ht="30" customHeight="1">
      <c r="A1" s="1" t="s">
        <v>308</v>
      </c>
      <c r="B1" s="1"/>
      <c r="C1" s="1"/>
      <c r="D1" s="1"/>
      <c r="E1" s="1"/>
      <c r="F1" s="1"/>
    </row>
    <row r="2" spans="1:6" ht="18" customHeight="1">
      <c r="A2" s="2" t="s">
        <v>309</v>
      </c>
      <c r="B2" s="2"/>
      <c r="C2" s="2"/>
      <c r="D2" s="2"/>
      <c r="E2" s="2"/>
      <c r="F2" s="2"/>
    </row>
    <row r="3" spans="1:6" ht="30" customHeight="1">
      <c r="A3" s="3" t="s">
        <v>2</v>
      </c>
      <c r="B3" s="3"/>
      <c r="C3" s="3"/>
      <c r="D3" s="3"/>
      <c r="E3" s="3"/>
      <c r="F3" s="3"/>
    </row>
    <row r="5" spans="1:6" ht="22" customHeight="1">
      <c r="A5" s="4" t="s">
        <v>310</v>
      </c>
      <c r="B5" s="4"/>
      <c r="C5" s="4"/>
      <c r="D5" s="4"/>
      <c r="E5" s="4"/>
      <c r="F5" s="4"/>
    </row>
    <row r="6" spans="1:6">
      <c r="B6" s="5" t="s">
        <v>311</v>
      </c>
      <c r="C6" s="19">
        <v>200</v>
      </c>
    </row>
    <row r="7" spans="1:6">
      <c r="B7" s="5" t="s">
        <v>312</v>
      </c>
      <c r="C7" s="20">
        <v>0.045</v>
      </c>
    </row>
    <row r="8" spans="1:6">
      <c r="B8" s="5" t="s">
        <v>313</v>
      </c>
      <c r="C8" s="21">
        <v>6170</v>
      </c>
    </row>
    <row r="9" spans="1:6">
      <c r="B9" s="5" t="s">
        <v>314</v>
      </c>
      <c r="C9" s="21">
        <v>4800</v>
      </c>
    </row>
    <row r="10" spans="1:6">
      <c r="B10" s="5" t="s">
        <v>315</v>
      </c>
      <c r="C10" s="21">
        <v>28636.36363636364</v>
      </c>
    </row>
    <row r="11" spans="1:6">
      <c r="B11" s="5" t="s">
        <v>316</v>
      </c>
      <c r="C11" s="21">
        <v>42</v>
      </c>
    </row>
    <row r="12" spans="1:6">
      <c r="B12" s="5" t="s">
        <v>317</v>
      </c>
      <c r="C12" s="21">
        <v>25</v>
      </c>
    </row>
    <row r="13" spans="1:6">
      <c r="B13" s="5" t="s">
        <v>318</v>
      </c>
      <c r="C13" s="21">
        <v>1800</v>
      </c>
    </row>
    <row r="14" spans="1:6">
      <c r="B14" s="5" t="s">
        <v>319</v>
      </c>
      <c r="C14" s="22">
        <v>6</v>
      </c>
    </row>
    <row r="15" spans="1:6">
      <c r="B15" s="5" t="s">
        <v>320</v>
      </c>
      <c r="C15" s="22">
        <v>2400</v>
      </c>
    </row>
    <row r="16" spans="1:6">
      <c r="B16" s="5" t="s">
        <v>321</v>
      </c>
      <c r="C16" s="21">
        <v>600</v>
      </c>
    </row>
    <row r="17" spans="1:6">
      <c r="B17" s="5" t="s">
        <v>322</v>
      </c>
      <c r="C17" s="22">
        <v>8</v>
      </c>
    </row>
    <row r="18" spans="1:6">
      <c r="B18" s="5" t="s">
        <v>323</v>
      </c>
      <c r="C18" s="22">
        <v>300000</v>
      </c>
    </row>
    <row r="19" spans="1:6">
      <c r="B19" s="5" t="s">
        <v>324</v>
      </c>
      <c r="C19" s="22">
        <v>180</v>
      </c>
    </row>
    <row r="20" spans="1:6">
      <c r="B20" s="5" t="s">
        <v>325</v>
      </c>
      <c r="C20" s="21">
        <v>30</v>
      </c>
    </row>
    <row r="22" spans="1:6" ht="22" customHeight="1">
      <c r="A22" s="4" t="s">
        <v>326</v>
      </c>
      <c r="B22" s="4"/>
      <c r="C22" s="4"/>
      <c r="D22" s="4"/>
      <c r="E22" s="4"/>
      <c r="F22" s="4"/>
    </row>
    <row r="23" spans="1:6">
      <c r="A23" s="11"/>
      <c r="B23" s="11" t="s">
        <v>245</v>
      </c>
      <c r="C23" s="11" t="s">
        <v>139</v>
      </c>
      <c r="D23" s="11" t="s">
        <v>140</v>
      </c>
      <c r="E23" s="11" t="s">
        <v>141</v>
      </c>
      <c r="F23" s="11" t="s">
        <v>327</v>
      </c>
    </row>
    <row r="24" spans="1:6">
      <c r="B24" s="5" t="s">
        <v>301</v>
      </c>
      <c r="C24" s="13">
        <f>$C$8</f>
        <v>0</v>
      </c>
      <c r="D24" s="13">
        <f>$C$9*1.13</f>
        <v>0</v>
      </c>
      <c r="E24" s="13">
        <f>$C$10</f>
        <v>0</v>
      </c>
      <c r="F24" s="12" t="s">
        <v>328</v>
      </c>
    </row>
    <row r="25" spans="1:6">
      <c r="B25" s="5" t="s">
        <v>303</v>
      </c>
      <c r="C25" s="13">
        <f>C24/(1+13%)</f>
        <v>0</v>
      </c>
      <c r="D25" s="13">
        <f>D24</f>
        <v>0</v>
      </c>
      <c r="E25" s="13">
        <f>E24</f>
        <v>0</v>
      </c>
      <c r="F25" s="12" t="s">
        <v>329</v>
      </c>
    </row>
    <row r="26" spans="1:6">
      <c r="B26" s="5" t="s">
        <v>330</v>
      </c>
      <c r="C26" s="13">
        <f>$C$11/(1+9%)</f>
        <v>0</v>
      </c>
      <c r="D26" s="13">
        <f>$C$11/(1+9%)</f>
        <v>0</v>
      </c>
      <c r="E26" s="13">
        <f>0</f>
        <v>0</v>
      </c>
      <c r="F26" s="12" t="s">
        <v>331</v>
      </c>
    </row>
    <row r="27" spans="1:6">
      <c r="B27" s="5" t="s">
        <v>332</v>
      </c>
      <c r="C27" s="13">
        <f>$C$12/(1+6%)</f>
        <v>0</v>
      </c>
      <c r="D27" s="13">
        <f>$C$12/(1+6%)</f>
        <v>0</v>
      </c>
      <c r="E27" s="13">
        <f>$C$12/(1+6%)</f>
        <v>0</v>
      </c>
      <c r="F27" s="12" t="s">
        <v>333</v>
      </c>
    </row>
    <row r="28" spans="1:6">
      <c r="B28" s="5" t="s">
        <v>334</v>
      </c>
      <c r="C28" s="13">
        <f>$C$13*$C$14/$C$15/(1+6%)</f>
        <v>0</v>
      </c>
      <c r="D28" s="13">
        <f>$C$13*$C$14/$C$15/(1+6%)</f>
        <v>0</v>
      </c>
      <c r="E28" s="13">
        <f>$C$13*$C$14/$C$15/(1+6%)</f>
        <v>0</v>
      </c>
      <c r="F28" s="12" t="s">
        <v>335</v>
      </c>
    </row>
    <row r="29" spans="1:6">
      <c r="B29" s="5" t="s">
        <v>336</v>
      </c>
      <c r="C29" s="13">
        <f>0</f>
        <v>0</v>
      </c>
      <c r="D29" s="13">
        <f>$C$16*$C$17/$C$15/(1+6%)</f>
        <v>0</v>
      </c>
      <c r="E29" s="13">
        <f>0</f>
        <v>0</v>
      </c>
      <c r="F29" s="12" t="s">
        <v>337</v>
      </c>
    </row>
    <row r="30" spans="1:6">
      <c r="B30" s="5" t="s">
        <v>338</v>
      </c>
      <c r="C30" s="13">
        <v>14.55</v>
      </c>
      <c r="D30" s="13">
        <v>28.15</v>
      </c>
      <c r="E30" s="13">
        <v>0</v>
      </c>
      <c r="F30" s="12">
        <f> 迭代收敛值（无法用单元格公式表达循环依赖）</f>
        <v>0</v>
      </c>
    </row>
    <row r="31" spans="1:6">
      <c r="B31" s="5" t="s">
        <v>339</v>
      </c>
      <c r="C31" s="13">
        <f>0</f>
        <v>0</v>
      </c>
      <c r="D31" s="13">
        <f>$C$18*$C$7*$C$19/360/$C$6</f>
        <v>0</v>
      </c>
      <c r="E31" s="13">
        <f>ROUND($C$6/0.22,0)*30*(10%+90%*$C$7*10/360)/$C$6</f>
        <v>0</v>
      </c>
      <c r="F31" s="12" t="s">
        <v>340</v>
      </c>
    </row>
    <row r="32" spans="1:6">
      <c r="B32" s="23" t="s">
        <v>341</v>
      </c>
      <c r="C32" s="24">
        <v>5541.08</v>
      </c>
      <c r="D32" s="24">
        <v>4930.15</v>
      </c>
      <c r="E32" s="24">
        <v>28677.98</v>
      </c>
      <c r="F32" s="12">
        <f> 以上各项之和（资金成本为迭代结果）</f>
        <v>0</v>
      </c>
    </row>
    <row r="33" spans="1:6">
      <c r="B33" s="5" t="s">
        <v>342</v>
      </c>
      <c r="C33" s="17">
        <f>C32/0.9992</f>
        <v>0</v>
      </c>
      <c r="D33" s="17">
        <f>D32/0.999</f>
        <v>0</v>
      </c>
      <c r="E33" s="17">
        <f>E32/0.995</f>
        <v>0</v>
      </c>
      <c r="F33" s="12">
        <f> 到厂成本 ÷ 含量</f>
        <v>0</v>
      </c>
    </row>
    <row r="34" spans="1:6">
      <c r="B34" s="5" t="s">
        <v>343</v>
      </c>
      <c r="C34" s="5" t="s">
        <v>344</v>
      </c>
      <c r="D34" s="18" t="s">
        <v>345</v>
      </c>
      <c r="E34" s="10" t="s">
        <v>346</v>
      </c>
    </row>
    <row r="35" spans="1:6">
      <c r="B35" s="5" t="s">
        <v>347</v>
      </c>
      <c r="C35" s="25">
        <f>C32-D32</f>
        <v>0</v>
      </c>
      <c r="D35" s="13">
        <f>0</f>
        <v>0</v>
      </c>
      <c r="E35" s="6" t="s">
        <v>148</v>
      </c>
      <c r="F35" s="12">
        <f> A − B 到厂成本</f>
        <v>0</v>
      </c>
    </row>
    <row r="37" spans="1:6" ht="22" customHeight="1">
      <c r="A37" s="4" t="s">
        <v>348</v>
      </c>
      <c r="B37" s="4"/>
      <c r="C37" s="4"/>
      <c r="D37" s="4"/>
      <c r="E37" s="4"/>
      <c r="F37" s="4"/>
    </row>
    <row r="38" spans="1:6">
      <c r="A38" s="11"/>
      <c r="B38" s="11" t="s">
        <v>349</v>
      </c>
      <c r="C38" s="11" t="s">
        <v>350</v>
      </c>
      <c r="D38" s="11" t="s">
        <v>351</v>
      </c>
      <c r="E38" s="11" t="s">
        <v>352</v>
      </c>
      <c r="F38" s="11" t="s">
        <v>225</v>
      </c>
    </row>
    <row r="39" spans="1:6">
      <c r="B39" s="6" t="s">
        <v>303</v>
      </c>
      <c r="C39" s="13">
        <v>660.1800000000003</v>
      </c>
      <c r="D39" s="13">
        <v>23836.36</v>
      </c>
      <c r="E39" s="12" t="s">
        <v>353</v>
      </c>
      <c r="F39" s="12" t="s">
        <v>354</v>
      </c>
    </row>
    <row r="40" spans="1:6">
      <c r="B40" s="6" t="s">
        <v>355</v>
      </c>
      <c r="C40" s="13">
        <v>0</v>
      </c>
      <c r="D40" s="13">
        <v>-38.53</v>
      </c>
      <c r="E40" s="12" t="s">
        <v>356</v>
      </c>
      <c r="F40" s="12" t="s">
        <v>357</v>
      </c>
    </row>
    <row r="41" spans="1:6">
      <c r="B41" s="6" t="s">
        <v>358</v>
      </c>
      <c r="C41" s="13">
        <v>0</v>
      </c>
      <c r="D41" s="13">
        <v>0</v>
      </c>
      <c r="E41" s="12" t="s">
        <v>359</v>
      </c>
      <c r="F41" s="12" t="s">
        <v>360</v>
      </c>
    </row>
    <row r="42" spans="1:6">
      <c r="B42" s="6" t="s">
        <v>361</v>
      </c>
      <c r="C42" s="13">
        <v>-1.89</v>
      </c>
      <c r="D42" s="13">
        <v>-1.89</v>
      </c>
      <c r="E42" s="12" t="s">
        <v>362</v>
      </c>
      <c r="F42" s="12"/>
    </row>
    <row r="43" spans="1:6">
      <c r="B43" s="6" t="s">
        <v>338</v>
      </c>
      <c r="C43" s="13">
        <v>-13.6</v>
      </c>
      <c r="D43" s="13">
        <v>-28.15</v>
      </c>
      <c r="E43" s="12" t="s">
        <v>363</v>
      </c>
      <c r="F43" s="12" t="s">
        <v>364</v>
      </c>
    </row>
    <row r="44" spans="1:6">
      <c r="B44" s="6" t="s">
        <v>365</v>
      </c>
      <c r="C44" s="13">
        <v>-33.75</v>
      </c>
      <c r="D44" s="13">
        <v>-19.96</v>
      </c>
      <c r="E44" s="12" t="s">
        <v>366</v>
      </c>
      <c r="F44" s="12"/>
    </row>
    <row r="45" spans="1:6">
      <c r="B45" s="5" t="s">
        <v>367</v>
      </c>
      <c r="C45" s="24">
        <v>610.9300000000003</v>
      </c>
      <c r="D45" s="24">
        <v>23747.83</v>
      </c>
      <c r="E45" s="12" t="s">
        <v>368</v>
      </c>
      <c r="F45" s="12" t="s">
        <v>369</v>
      </c>
    </row>
    <row r="47" spans="1:6">
      <c r="B47" s="5" t="s">
        <v>370</v>
      </c>
      <c r="C47" s="26">
        <v>0.009999999999990905</v>
      </c>
      <c r="D47" s="12" t="s">
        <v>371</v>
      </c>
      <c r="E47" s="12"/>
      <c r="F47" s="12"/>
    </row>
  </sheetData>
  <mergeCells count="7">
    <mergeCell ref="A1:F1"/>
    <mergeCell ref="A2:F2"/>
    <mergeCell ref="A3:F3"/>
    <mergeCell ref="A5:F5"/>
    <mergeCell ref="A22:F22"/>
    <mergeCell ref="A37:F37"/>
    <mergeCell ref="D47:F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showGridLines="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14.7109375" customWidth="1"/>
    <col min="5" max="5" width="46.7109375" customWidth="1"/>
    <col min="6" max="6" width="50.7109375" customWidth="1"/>
  </cols>
  <sheetData>
    <row r="1" spans="1:6" ht="30" customHeight="1">
      <c r="A1" s="1" t="s">
        <v>372</v>
      </c>
      <c r="B1" s="1"/>
      <c r="C1" s="1"/>
      <c r="D1" s="1"/>
      <c r="E1" s="1"/>
      <c r="F1" s="1"/>
    </row>
    <row r="2" spans="1:6" ht="18" customHeight="1">
      <c r="A2" s="2" t="s">
        <v>373</v>
      </c>
      <c r="B2" s="2"/>
      <c r="C2" s="2"/>
      <c r="D2" s="2"/>
      <c r="E2" s="2"/>
      <c r="F2" s="2"/>
    </row>
    <row r="3" spans="1:6" ht="30" customHeight="1">
      <c r="A3" s="3" t="s">
        <v>2</v>
      </c>
      <c r="B3" s="3"/>
      <c r="C3" s="3"/>
      <c r="D3" s="3"/>
      <c r="E3" s="3"/>
      <c r="F3" s="3"/>
    </row>
    <row r="5" spans="1:6">
      <c r="A5" s="11"/>
      <c r="B5" s="11" t="s">
        <v>374</v>
      </c>
      <c r="C5" s="11" t="s">
        <v>375</v>
      </c>
      <c r="D5" s="11" t="s">
        <v>185</v>
      </c>
      <c r="E5" s="11" t="s">
        <v>376</v>
      </c>
      <c r="F5" s="11" t="s">
        <v>377</v>
      </c>
    </row>
    <row r="6" spans="1:6">
      <c r="B6" s="5" t="s">
        <v>378</v>
      </c>
      <c r="C6" s="6" t="s">
        <v>379</v>
      </c>
      <c r="D6" s="8" t="s">
        <v>380</v>
      </c>
      <c r="E6" s="6" t="s">
        <v>381</v>
      </c>
      <c r="F6" s="12" t="s">
        <v>382</v>
      </c>
    </row>
    <row r="7" spans="1:6">
      <c r="B7" s="5" t="s">
        <v>312</v>
      </c>
      <c r="C7" s="6" t="s">
        <v>383</v>
      </c>
      <c r="D7" s="8" t="s">
        <v>384</v>
      </c>
      <c r="E7" s="6" t="s">
        <v>385</v>
      </c>
      <c r="F7" s="12" t="s">
        <v>386</v>
      </c>
    </row>
    <row r="8" spans="1:6">
      <c r="B8" s="5" t="s">
        <v>387</v>
      </c>
      <c r="C8" s="6" t="s">
        <v>388</v>
      </c>
      <c r="D8" s="9" t="s">
        <v>389</v>
      </c>
      <c r="E8" s="6" t="s">
        <v>390</v>
      </c>
      <c r="F8" s="12" t="s">
        <v>391</v>
      </c>
    </row>
    <row r="9" spans="1:6">
      <c r="B9" s="5" t="s">
        <v>392</v>
      </c>
      <c r="C9" s="6" t="s">
        <v>393</v>
      </c>
      <c r="D9" s="9" t="s">
        <v>394</v>
      </c>
      <c r="E9" s="6" t="s">
        <v>395</v>
      </c>
      <c r="F9" s="12" t="s">
        <v>396</v>
      </c>
    </row>
    <row r="10" spans="1:6">
      <c r="B10" s="5" t="s">
        <v>397</v>
      </c>
      <c r="C10" s="6" t="s">
        <v>398</v>
      </c>
      <c r="D10" s="9" t="s">
        <v>389</v>
      </c>
      <c r="E10" s="6" t="s">
        <v>399</v>
      </c>
      <c r="F10" s="12" t="s">
        <v>400</v>
      </c>
    </row>
    <row r="11" spans="1:6">
      <c r="B11" s="5" t="s">
        <v>401</v>
      </c>
      <c r="C11" s="6" t="s">
        <v>402</v>
      </c>
      <c r="D11" s="9" t="s">
        <v>389</v>
      </c>
      <c r="E11" s="6" t="s">
        <v>403</v>
      </c>
      <c r="F11" s="12" t="s">
        <v>404</v>
      </c>
    </row>
    <row r="12" spans="1:6">
      <c r="B12" s="5" t="s">
        <v>405</v>
      </c>
      <c r="C12" s="6" t="s">
        <v>406</v>
      </c>
      <c r="D12" s="9" t="s">
        <v>389</v>
      </c>
      <c r="E12" s="6" t="s">
        <v>407</v>
      </c>
      <c r="F12" s="12" t="s">
        <v>408</v>
      </c>
    </row>
    <row r="13" spans="1:6">
      <c r="B13" s="5" t="s">
        <v>409</v>
      </c>
      <c r="C13" s="6" t="s">
        <v>410</v>
      </c>
      <c r="D13" s="9" t="s">
        <v>389</v>
      </c>
      <c r="E13" s="6" t="s">
        <v>411</v>
      </c>
      <c r="F13" s="12" t="s">
        <v>412</v>
      </c>
    </row>
    <row r="14" spans="1:6">
      <c r="B14" s="5" t="s">
        <v>324</v>
      </c>
      <c r="C14" s="6" t="s">
        <v>413</v>
      </c>
      <c r="D14" s="9" t="s">
        <v>389</v>
      </c>
      <c r="E14" s="6" t="s">
        <v>414</v>
      </c>
      <c r="F14" s="12" t="s">
        <v>415</v>
      </c>
    </row>
    <row r="15" spans="1:6">
      <c r="B15" s="5" t="s">
        <v>416</v>
      </c>
      <c r="C15" s="6" t="s">
        <v>417</v>
      </c>
      <c r="D15" s="9" t="s">
        <v>418</v>
      </c>
      <c r="E15" s="6" t="s">
        <v>419</v>
      </c>
      <c r="F15" s="12" t="s">
        <v>420</v>
      </c>
    </row>
    <row r="16" spans="1:6">
      <c r="B16" s="5" t="s">
        <v>421</v>
      </c>
      <c r="C16" s="6" t="s">
        <v>422</v>
      </c>
      <c r="D16" s="7" t="s">
        <v>423</v>
      </c>
      <c r="E16" s="6" t="s">
        <v>424</v>
      </c>
      <c r="F16" s="12" t="s">
        <v>425</v>
      </c>
    </row>
    <row r="17" spans="1:6">
      <c r="B17" s="5" t="s">
        <v>426</v>
      </c>
      <c r="C17" s="6" t="s">
        <v>427</v>
      </c>
      <c r="D17" s="7" t="s">
        <v>428</v>
      </c>
      <c r="E17" s="6" t="s">
        <v>429</v>
      </c>
      <c r="F17" s="12" t="s">
        <v>430</v>
      </c>
    </row>
    <row r="18" spans="1:6">
      <c r="B18" s="5" t="s">
        <v>431</v>
      </c>
      <c r="C18" s="6" t="s">
        <v>432</v>
      </c>
      <c r="D18" s="7" t="s">
        <v>428</v>
      </c>
      <c r="E18" s="6" t="s">
        <v>433</v>
      </c>
      <c r="F18" s="12" t="s">
        <v>434</v>
      </c>
    </row>
    <row r="19" spans="1:6">
      <c r="B19" s="5" t="s">
        <v>435</v>
      </c>
      <c r="C19" s="6" t="s">
        <v>436</v>
      </c>
      <c r="D19" s="7" t="s">
        <v>428</v>
      </c>
      <c r="E19" s="6" t="s">
        <v>437</v>
      </c>
      <c r="F19" s="12" t="s">
        <v>438</v>
      </c>
    </row>
    <row r="20" spans="1:6">
      <c r="B20" s="5" t="s">
        <v>439</v>
      </c>
      <c r="C20" s="6" t="s">
        <v>440</v>
      </c>
      <c r="D20" s="7" t="s">
        <v>441</v>
      </c>
      <c r="E20" s="6" t="s">
        <v>442</v>
      </c>
      <c r="F20" s="12" t="s">
        <v>443</v>
      </c>
    </row>
    <row r="21" spans="1:6">
      <c r="B21" s="5" t="s">
        <v>444</v>
      </c>
      <c r="C21" s="6" t="s">
        <v>445</v>
      </c>
      <c r="D21" s="7" t="s">
        <v>441</v>
      </c>
      <c r="E21" s="6" t="s">
        <v>446</v>
      </c>
      <c r="F21" s="12" t="s">
        <v>447</v>
      </c>
    </row>
    <row r="22" spans="1:6">
      <c r="B22" s="5" t="s">
        <v>208</v>
      </c>
      <c r="C22" s="6" t="s">
        <v>448</v>
      </c>
      <c r="D22" s="7" t="s">
        <v>449</v>
      </c>
      <c r="E22" s="6" t="s">
        <v>450</v>
      </c>
      <c r="F22" s="12" t="s">
        <v>451</v>
      </c>
    </row>
    <row r="24" spans="1:6" ht="22" customHeight="1">
      <c r="A24" s="4" t="s">
        <v>452</v>
      </c>
      <c r="B24" s="4"/>
      <c r="C24" s="4"/>
      <c r="D24" s="4"/>
      <c r="E24" s="4"/>
      <c r="F24" s="4"/>
    </row>
    <row r="25" spans="1:6">
      <c r="A25" s="11"/>
      <c r="B25" s="11" t="s">
        <v>453</v>
      </c>
      <c r="C25" s="11" t="s">
        <v>454</v>
      </c>
      <c r="D25" s="11"/>
      <c r="E25" s="11" t="s">
        <v>455</v>
      </c>
      <c r="F25" s="11" t="s">
        <v>456</v>
      </c>
    </row>
    <row r="26" spans="1:6">
      <c r="B26" s="5" t="s">
        <v>457</v>
      </c>
      <c r="C26" s="6" t="s">
        <v>458</v>
      </c>
      <c r="D26" s="6" t="s">
        <v>459</v>
      </c>
      <c r="E26" s="6"/>
      <c r="F26" s="12" t="s">
        <v>460</v>
      </c>
    </row>
    <row r="27" spans="1:6">
      <c r="B27" s="5" t="s">
        <v>461</v>
      </c>
      <c r="C27" s="6" t="s">
        <v>462</v>
      </c>
      <c r="D27" s="6" t="s">
        <v>463</v>
      </c>
      <c r="E27" s="6"/>
      <c r="F27" s="12" t="s">
        <v>464</v>
      </c>
    </row>
    <row r="28" spans="1:6">
      <c r="B28" s="5" t="s">
        <v>465</v>
      </c>
      <c r="C28" s="6" t="s">
        <v>462</v>
      </c>
      <c r="D28" s="6" t="s">
        <v>466</v>
      </c>
      <c r="E28" s="6"/>
      <c r="F28" s="12" t="s">
        <v>467</v>
      </c>
    </row>
    <row r="29" spans="1:6">
      <c r="B29" s="5" t="s">
        <v>468</v>
      </c>
      <c r="C29" s="6" t="s">
        <v>469</v>
      </c>
      <c r="D29" s="6" t="s">
        <v>470</v>
      </c>
      <c r="E29" s="6"/>
      <c r="F29" s="12" t="s">
        <v>471</v>
      </c>
    </row>
    <row r="30" spans="1:6">
      <c r="B30" s="5" t="s">
        <v>472</v>
      </c>
      <c r="C30" s="6" t="s">
        <v>469</v>
      </c>
      <c r="D30" s="6" t="s">
        <v>473</v>
      </c>
      <c r="E30" s="6"/>
      <c r="F30" s="12" t="s">
        <v>471</v>
      </c>
    </row>
    <row r="31" spans="1:6">
      <c r="B31" s="5" t="s">
        <v>474</v>
      </c>
      <c r="C31" s="6" t="s">
        <v>469</v>
      </c>
      <c r="D31" s="6" t="s">
        <v>475</v>
      </c>
      <c r="E31" s="6"/>
      <c r="F31" s="12" t="s">
        <v>471</v>
      </c>
    </row>
  </sheetData>
  <mergeCells count="10">
    <mergeCell ref="A1:F1"/>
    <mergeCell ref="A2:F2"/>
    <mergeCell ref="A3:F3"/>
    <mergeCell ref="A24:F24"/>
    <mergeCell ref="D26:E26"/>
    <mergeCell ref="D27:E27"/>
    <mergeCell ref="D28:E28"/>
    <mergeCell ref="D29:E29"/>
    <mergeCell ref="D30:E30"/>
    <mergeCell ref="D31:E31"/>
  </mergeCells>
  <hyperlinks>
    <hyperlink ref="D26" r:id="rId1"/>
    <hyperlink ref="D27" r:id="rId2"/>
    <hyperlink ref="D28" r:id="rId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4.7109375" customWidth="1"/>
    <col min="2" max="2" width="26.7109375" customWidth="1"/>
    <col min="3" max="9" width="14.7109375" customWidth="1"/>
    <col min="10" max="10" width="40.7109375" customWidth="1"/>
  </cols>
  <sheetData>
    <row r="1" spans="1:10" ht="30" customHeight="1">
      <c r="A1" s="1" t="s">
        <v>476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477</v>
      </c>
      <c r="B2" s="2"/>
      <c r="C2" s="2"/>
      <c r="D2" s="2"/>
      <c r="E2" s="2"/>
      <c r="F2" s="2"/>
      <c r="G2" s="2"/>
      <c r="H2" s="2"/>
      <c r="I2" s="2"/>
      <c r="J2" s="2"/>
    </row>
    <row r="3" spans="1:10" ht="3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ht="22" customHeight="1">
      <c r="A5" s="4" t="s">
        <v>478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B6" s="11" t="s">
        <v>479</v>
      </c>
      <c r="C6" s="11" t="s">
        <v>480</v>
      </c>
      <c r="D6" s="11" t="s">
        <v>481</v>
      </c>
      <c r="E6" s="11" t="s">
        <v>482</v>
      </c>
      <c r="F6" s="11" t="s">
        <v>483</v>
      </c>
      <c r="G6" s="11" t="s">
        <v>484</v>
      </c>
      <c r="H6" s="11" t="s">
        <v>485</v>
      </c>
      <c r="I6" s="11" t="s">
        <v>486</v>
      </c>
      <c r="J6" s="11" t="s">
        <v>487</v>
      </c>
    </row>
    <row r="7" spans="1:10">
      <c r="B7" s="27">
        <v>0</v>
      </c>
      <c r="C7" s="13">
        <f>ROUND($B7*0/360*4800,2)</f>
        <v>0</v>
      </c>
      <c r="D7" s="13">
        <f>ROUND($B7*15/360*4800,2)</f>
        <v>0</v>
      </c>
      <c r="E7" s="13">
        <f>ROUND($B7*21/360*4800,2)</f>
        <v>0</v>
      </c>
      <c r="F7" s="13">
        <f>ROUND($B7*30/360*4800,2)</f>
        <v>0</v>
      </c>
      <c r="G7" s="13">
        <f>ROUND($B7*46/360*4800,2)</f>
        <v>0</v>
      </c>
      <c r="H7" s="13">
        <f>ROUND($B7*60/360*4800,2)</f>
        <v>0</v>
      </c>
      <c r="I7" s="13">
        <f>ROUND($B7*90/360*4800,2)</f>
        <v>0</v>
      </c>
      <c r="J7" s="13">
        <f>ROUND($B7*120/360*4800,2)</f>
        <v>0</v>
      </c>
    </row>
    <row r="8" spans="1:10">
      <c r="B8" s="27">
        <v>0.03</v>
      </c>
      <c r="C8" s="13">
        <f>ROUND($B8*0/360*4800,2)</f>
        <v>0</v>
      </c>
      <c r="D8" s="13">
        <f>ROUND($B8*15/360*4800,2)</f>
        <v>0</v>
      </c>
      <c r="E8" s="13">
        <f>ROUND($B8*21/360*4800,2)</f>
        <v>0</v>
      </c>
      <c r="F8" s="13">
        <f>ROUND($B8*30/360*4800,2)</f>
        <v>0</v>
      </c>
      <c r="G8" s="13">
        <f>ROUND($B8*46/360*4800,2)</f>
        <v>0</v>
      </c>
      <c r="H8" s="13">
        <f>ROUND($B8*60/360*4800,2)</f>
        <v>0</v>
      </c>
      <c r="I8" s="13">
        <f>ROUND($B8*90/360*4800,2)</f>
        <v>0</v>
      </c>
      <c r="J8" s="13">
        <f>ROUND($B8*120/360*4800,2)</f>
        <v>0</v>
      </c>
    </row>
    <row r="9" spans="1:10">
      <c r="B9" s="27">
        <v>0.045</v>
      </c>
      <c r="C9" s="13">
        <f>ROUND($B9*0/360*4800,2)</f>
        <v>0</v>
      </c>
      <c r="D9" s="13">
        <f>ROUND($B9*15/360*4800,2)</f>
        <v>0</v>
      </c>
      <c r="E9" s="13">
        <f>ROUND($B9*21/360*4800,2)</f>
        <v>0</v>
      </c>
      <c r="F9" s="13">
        <f>ROUND($B9*30/360*4800,2)</f>
        <v>0</v>
      </c>
      <c r="G9" s="13">
        <f>ROUND($B9*46/360*4800,2)</f>
        <v>0</v>
      </c>
      <c r="H9" s="13">
        <f>ROUND($B9*60/360*4800,2)</f>
        <v>0</v>
      </c>
      <c r="I9" s="13">
        <f>ROUND($B9*90/360*4800,2)</f>
        <v>0</v>
      </c>
      <c r="J9" s="13">
        <f>ROUND($B9*120/360*4800,2)</f>
        <v>0</v>
      </c>
    </row>
    <row r="10" spans="1:10">
      <c r="B10" s="27">
        <v>0.06</v>
      </c>
      <c r="C10" s="13">
        <f>ROUND($B10*0/360*4800,2)</f>
        <v>0</v>
      </c>
      <c r="D10" s="13">
        <f>ROUND($B10*15/360*4800,2)</f>
        <v>0</v>
      </c>
      <c r="E10" s="13">
        <f>ROUND($B10*21/360*4800,2)</f>
        <v>0</v>
      </c>
      <c r="F10" s="13">
        <f>ROUND($B10*30/360*4800,2)</f>
        <v>0</v>
      </c>
      <c r="G10" s="13">
        <f>ROUND($B10*46/360*4800,2)</f>
        <v>0</v>
      </c>
      <c r="H10" s="13">
        <f>ROUND($B10*60/360*4800,2)</f>
        <v>0</v>
      </c>
      <c r="I10" s="13">
        <f>ROUND($B10*90/360*4800,2)</f>
        <v>0</v>
      </c>
      <c r="J10" s="13">
        <f>ROUND($B10*120/360*4800,2)</f>
        <v>0</v>
      </c>
    </row>
    <row r="11" spans="1:10">
      <c r="B11" s="27">
        <v>0.08</v>
      </c>
      <c r="C11" s="13">
        <f>ROUND($B11*0/360*4800,2)</f>
        <v>0</v>
      </c>
      <c r="D11" s="13">
        <f>ROUND($B11*15/360*4800,2)</f>
        <v>0</v>
      </c>
      <c r="E11" s="13">
        <f>ROUND($B11*21/360*4800,2)</f>
        <v>0</v>
      </c>
      <c r="F11" s="13">
        <f>ROUND($B11*30/360*4800,2)</f>
        <v>0</v>
      </c>
      <c r="G11" s="13">
        <f>ROUND($B11*46/360*4800,2)</f>
        <v>0</v>
      </c>
      <c r="H11" s="13">
        <f>ROUND($B11*60/360*4800,2)</f>
        <v>0</v>
      </c>
      <c r="I11" s="13">
        <f>ROUND($B11*90/360*4800,2)</f>
        <v>0</v>
      </c>
      <c r="J11" s="13">
        <f>ROUND($B11*120/360*4800,2)</f>
        <v>0</v>
      </c>
    </row>
    <row r="12" spans="1:10">
      <c r="B12" s="27">
        <v>0.1</v>
      </c>
      <c r="C12" s="13">
        <f>ROUND($B12*0/360*4800,2)</f>
        <v>0</v>
      </c>
      <c r="D12" s="13">
        <f>ROUND($B12*15/360*4800,2)</f>
        <v>0</v>
      </c>
      <c r="E12" s="13">
        <f>ROUND($B12*21/360*4800,2)</f>
        <v>0</v>
      </c>
      <c r="F12" s="13">
        <f>ROUND($B12*30/360*4800,2)</f>
        <v>0</v>
      </c>
      <c r="G12" s="13">
        <f>ROUND($B12*46/360*4800,2)</f>
        <v>0</v>
      </c>
      <c r="H12" s="13">
        <f>ROUND($B12*60/360*4800,2)</f>
        <v>0</v>
      </c>
      <c r="I12" s="13">
        <f>ROUND($B12*90/360*4800,2)</f>
        <v>0</v>
      </c>
      <c r="J12" s="13">
        <f>ROUND($B12*120/360*4800,2)</f>
        <v>0</v>
      </c>
    </row>
    <row r="13" spans="1:10">
      <c r="B13" s="27">
        <v>0.12</v>
      </c>
      <c r="C13" s="13">
        <f>ROUND($B13*0/360*4800,2)</f>
        <v>0</v>
      </c>
      <c r="D13" s="13">
        <f>ROUND($B13*15/360*4800,2)</f>
        <v>0</v>
      </c>
      <c r="E13" s="13">
        <f>ROUND($B13*21/360*4800,2)</f>
        <v>0</v>
      </c>
      <c r="F13" s="13">
        <f>ROUND($B13*30/360*4800,2)</f>
        <v>0</v>
      </c>
      <c r="G13" s="13">
        <f>ROUND($B13*46/360*4800,2)</f>
        <v>0</v>
      </c>
      <c r="H13" s="13">
        <f>ROUND($B13*60/360*4800,2)</f>
        <v>0</v>
      </c>
      <c r="I13" s="13">
        <f>ROUND($B13*90/360*4800,2)</f>
        <v>0</v>
      </c>
      <c r="J13" s="13">
        <f>ROUND($B13*120/360*4800,2)</f>
        <v>0</v>
      </c>
    </row>
    <row r="15" spans="1:10" ht="22" customHeight="1">
      <c r="A15" s="4" t="s">
        <v>488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11"/>
      <c r="B16" s="11" t="s">
        <v>180</v>
      </c>
      <c r="C16" s="11" t="s">
        <v>111</v>
      </c>
      <c r="D16" s="11" t="s">
        <v>489</v>
      </c>
      <c r="E16" s="11" t="s">
        <v>490</v>
      </c>
      <c r="F16" s="11" t="s">
        <v>491</v>
      </c>
      <c r="G16" s="11" t="s">
        <v>492</v>
      </c>
      <c r="H16" s="11"/>
      <c r="I16" s="11"/>
      <c r="J16" s="11" t="s">
        <v>225</v>
      </c>
    </row>
    <row r="17" spans="1:10">
      <c r="B17" s="5" t="s">
        <v>186</v>
      </c>
      <c r="C17" s="6" t="s">
        <v>493</v>
      </c>
      <c r="D17" s="15">
        <v>21</v>
      </c>
      <c r="E17" s="13">
        <v>14.55</v>
      </c>
      <c r="F17" s="15">
        <v>2910</v>
      </c>
      <c r="G17" s="14">
        <f>E17/4800</f>
        <v>0</v>
      </c>
      <c r="H17" s="6"/>
      <c r="I17" s="6"/>
      <c r="J17" s="12" t="s">
        <v>494</v>
      </c>
    </row>
    <row r="18" spans="1:10">
      <c r="B18" s="5" t="s">
        <v>188</v>
      </c>
      <c r="C18" s="6" t="s">
        <v>495</v>
      </c>
      <c r="D18" s="15">
        <v>46</v>
      </c>
      <c r="E18" s="13">
        <v>28.15</v>
      </c>
      <c r="F18" s="15">
        <v>5630</v>
      </c>
      <c r="G18" s="14">
        <f>E18/4800</f>
        <v>0</v>
      </c>
      <c r="H18" s="6"/>
      <c r="I18" s="6"/>
      <c r="J18" s="12" t="s">
        <v>496</v>
      </c>
    </row>
    <row r="19" spans="1:10">
      <c r="B19" s="5" t="s">
        <v>190</v>
      </c>
      <c r="C19" s="6" t="s">
        <v>114</v>
      </c>
      <c r="D19" s="15">
        <v>0</v>
      </c>
      <c r="E19" s="13">
        <v>0</v>
      </c>
      <c r="F19" s="15">
        <v>0</v>
      </c>
      <c r="G19" s="14">
        <f>E19/4800</f>
        <v>0</v>
      </c>
      <c r="H19" s="6"/>
      <c r="I19" s="6"/>
      <c r="J19" s="12" t="s">
        <v>497</v>
      </c>
    </row>
    <row r="21" spans="1:10" ht="22" customHeight="1">
      <c r="A21" s="4" t="s">
        <v>498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11"/>
      <c r="B22" s="11" t="s">
        <v>453</v>
      </c>
      <c r="C22" s="11" t="s">
        <v>180</v>
      </c>
      <c r="D22" s="11" t="s">
        <v>499</v>
      </c>
      <c r="E22" s="11" t="s">
        <v>500</v>
      </c>
      <c r="F22" s="11" t="s">
        <v>490</v>
      </c>
      <c r="G22" s="11" t="s">
        <v>491</v>
      </c>
      <c r="H22" s="11"/>
      <c r="I22" s="11"/>
      <c r="J22" s="11" t="s">
        <v>456</v>
      </c>
    </row>
    <row r="23" spans="1:10">
      <c r="B23" s="5" t="s">
        <v>501</v>
      </c>
      <c r="C23" s="6" t="s">
        <v>247</v>
      </c>
      <c r="D23" s="15">
        <v>300000</v>
      </c>
      <c r="E23" s="15">
        <v>180</v>
      </c>
      <c r="F23" s="13">
        <v>33.75</v>
      </c>
      <c r="G23" s="15">
        <v>6750</v>
      </c>
      <c r="H23" s="6"/>
      <c r="I23" s="6"/>
      <c r="J23" s="12" t="s">
        <v>502</v>
      </c>
    </row>
    <row r="24" spans="1:10">
      <c r="B24" s="5" t="s">
        <v>503</v>
      </c>
      <c r="C24" s="6" t="s">
        <v>84</v>
      </c>
      <c r="D24" s="6" t="s">
        <v>504</v>
      </c>
      <c r="E24" s="15">
        <v>10</v>
      </c>
      <c r="F24" s="13">
        <v>13.79</v>
      </c>
      <c r="G24" s="15">
        <v>2758</v>
      </c>
      <c r="H24" s="6"/>
      <c r="I24" s="6"/>
      <c r="J24" s="12" t="s">
        <v>505</v>
      </c>
    </row>
  </sheetData>
  <mergeCells count="11">
    <mergeCell ref="A1:J1"/>
    <mergeCell ref="A2:J2"/>
    <mergeCell ref="A3:J3"/>
    <mergeCell ref="A5:J5"/>
    <mergeCell ref="A15:J15"/>
    <mergeCell ref="H17:I17"/>
    <mergeCell ref="H18:I18"/>
    <mergeCell ref="H19:I19"/>
    <mergeCell ref="A21:J21"/>
    <mergeCell ref="H23:I23"/>
    <mergeCell ref="H24:I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6"/>
  <sheetViews>
    <sheetView showGridLines="0" workbookViewId="0"/>
  </sheetViews>
  <sheetFormatPr defaultRowHeight="15"/>
  <cols>
    <col min="1" max="1" width="4.7109375" customWidth="1"/>
    <col min="2" max="2" width="26.7109375" customWidth="1"/>
    <col min="3" max="4" width="14.7109375" customWidth="1"/>
    <col min="5" max="5" width="12.7109375" customWidth="1"/>
    <col min="6" max="6" width="14.7109375" customWidth="1"/>
    <col min="7" max="7" width="12.7109375" customWidth="1"/>
    <col min="8" max="8" width="14.7109375" customWidth="1"/>
    <col min="9" max="9" width="12.7109375" customWidth="1"/>
    <col min="10" max="10" width="10.7109375" customWidth="1"/>
  </cols>
  <sheetData>
    <row r="1" spans="1:10" ht="30" customHeight="1">
      <c r="A1" s="1" t="s">
        <v>506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507</v>
      </c>
      <c r="B2" s="2"/>
      <c r="C2" s="2"/>
      <c r="D2" s="2"/>
      <c r="E2" s="2"/>
      <c r="F2" s="2"/>
      <c r="G2" s="2"/>
      <c r="H2" s="2"/>
      <c r="I2" s="2"/>
      <c r="J2" s="2"/>
    </row>
    <row r="3" spans="1:10" ht="3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>
      <c r="B5" s="11" t="s">
        <v>374</v>
      </c>
      <c r="C5" s="11" t="s">
        <v>375</v>
      </c>
      <c r="D5" s="11" t="s">
        <v>508</v>
      </c>
      <c r="E5" s="11" t="s">
        <v>509</v>
      </c>
      <c r="F5" s="11" t="s">
        <v>510</v>
      </c>
      <c r="G5" s="11" t="s">
        <v>511</v>
      </c>
      <c r="H5" s="11" t="s">
        <v>512</v>
      </c>
      <c r="I5" s="11" t="s">
        <v>513</v>
      </c>
      <c r="J5" s="11" t="s">
        <v>514</v>
      </c>
    </row>
    <row r="6" spans="1:10">
      <c r="B6" s="5" t="s">
        <v>515</v>
      </c>
      <c r="C6" s="15">
        <v>0</v>
      </c>
      <c r="D6" s="13">
        <v>5502.45</v>
      </c>
      <c r="E6" s="28">
        <v>-38.63</v>
      </c>
      <c r="F6" s="13">
        <v>4891.4</v>
      </c>
      <c r="G6" s="28">
        <v>-38.75</v>
      </c>
      <c r="H6" s="13">
        <v>28677.98</v>
      </c>
      <c r="I6" s="28">
        <v>0</v>
      </c>
      <c r="J6" s="18" t="s">
        <v>247</v>
      </c>
    </row>
    <row r="7" spans="1:10">
      <c r="B7" s="5"/>
      <c r="C7" s="15">
        <v>20</v>
      </c>
      <c r="D7" s="13">
        <v>5520.85</v>
      </c>
      <c r="E7" s="28">
        <v>-20.24</v>
      </c>
      <c r="F7" s="13">
        <v>4909.85</v>
      </c>
      <c r="G7" s="28">
        <v>-20.3</v>
      </c>
      <c r="H7" s="13">
        <v>28677.98</v>
      </c>
      <c r="I7" s="28">
        <v>0</v>
      </c>
      <c r="J7" s="18" t="s">
        <v>247</v>
      </c>
    </row>
    <row r="8" spans="1:10">
      <c r="B8" s="5"/>
      <c r="C8" s="15">
        <v>42</v>
      </c>
      <c r="D8" s="13">
        <v>5541.08</v>
      </c>
      <c r="E8" s="28">
        <v>0</v>
      </c>
      <c r="F8" s="13">
        <v>4930.15</v>
      </c>
      <c r="G8" s="28">
        <v>0</v>
      </c>
      <c r="H8" s="13">
        <v>28677.98</v>
      </c>
      <c r="I8" s="28">
        <v>0</v>
      </c>
      <c r="J8" s="18" t="s">
        <v>247</v>
      </c>
    </row>
    <row r="9" spans="1:10">
      <c r="B9" s="5"/>
      <c r="C9" s="15">
        <v>60</v>
      </c>
      <c r="D9" s="13">
        <v>5557.64</v>
      </c>
      <c r="E9" s="29">
        <v>16.56</v>
      </c>
      <c r="F9" s="13">
        <v>4946.76</v>
      </c>
      <c r="G9" s="29">
        <v>16.61</v>
      </c>
      <c r="H9" s="13">
        <v>28677.98</v>
      </c>
      <c r="I9" s="28">
        <v>0</v>
      </c>
      <c r="J9" s="18" t="s">
        <v>247</v>
      </c>
    </row>
    <row r="10" spans="1:10">
      <c r="B10" s="5"/>
      <c r="C10" s="15">
        <v>80</v>
      </c>
      <c r="D10" s="13">
        <v>5576.04</v>
      </c>
      <c r="E10" s="29">
        <v>34.95</v>
      </c>
      <c r="F10" s="13">
        <v>4965.22</v>
      </c>
      <c r="G10" s="29">
        <v>35.06</v>
      </c>
      <c r="H10" s="13">
        <v>28677.98</v>
      </c>
      <c r="I10" s="28">
        <v>0</v>
      </c>
      <c r="J10" s="18" t="s">
        <v>247</v>
      </c>
    </row>
    <row r="12" spans="1:10">
      <c r="B12" s="5" t="s">
        <v>516</v>
      </c>
      <c r="C12" s="27">
        <v>0</v>
      </c>
      <c r="D12" s="13">
        <v>5526.54</v>
      </c>
      <c r="E12" s="28">
        <v>-14.55</v>
      </c>
      <c r="F12" s="13">
        <v>4868.25</v>
      </c>
      <c r="G12" s="28">
        <v>-61.9</v>
      </c>
      <c r="H12" s="13">
        <v>28677.83</v>
      </c>
      <c r="I12" s="28">
        <v>-0.15</v>
      </c>
      <c r="J12" s="18" t="s">
        <v>247</v>
      </c>
    </row>
    <row r="13" spans="1:10">
      <c r="B13" s="5"/>
      <c r="C13" s="27">
        <v>0.03</v>
      </c>
      <c r="D13" s="13">
        <v>5536.23</v>
      </c>
      <c r="E13" s="28">
        <v>-4.86</v>
      </c>
      <c r="F13" s="13">
        <v>4909.48</v>
      </c>
      <c r="G13" s="28">
        <v>-20.67</v>
      </c>
      <c r="H13" s="13">
        <v>28677.93</v>
      </c>
      <c r="I13" s="28">
        <v>-0.05</v>
      </c>
      <c r="J13" s="18" t="s">
        <v>247</v>
      </c>
    </row>
    <row r="14" spans="1:10">
      <c r="B14" s="5"/>
      <c r="C14" s="27">
        <v>0.045</v>
      </c>
      <c r="D14" s="13">
        <v>5541.08</v>
      </c>
      <c r="E14" s="28">
        <v>0</v>
      </c>
      <c r="F14" s="13">
        <v>4930.15</v>
      </c>
      <c r="G14" s="28">
        <v>0</v>
      </c>
      <c r="H14" s="13">
        <v>28677.98</v>
      </c>
      <c r="I14" s="28">
        <v>0</v>
      </c>
      <c r="J14" s="18" t="s">
        <v>247</v>
      </c>
    </row>
    <row r="15" spans="1:10">
      <c r="B15" s="5"/>
      <c r="C15" s="27">
        <v>0.06</v>
      </c>
      <c r="D15" s="13">
        <v>5545.95</v>
      </c>
      <c r="E15" s="29">
        <v>4.87</v>
      </c>
      <c r="F15" s="13">
        <v>4950.86</v>
      </c>
      <c r="G15" s="29">
        <v>20.71</v>
      </c>
      <c r="H15" s="13">
        <v>28678.03</v>
      </c>
      <c r="I15" s="29">
        <v>0.05</v>
      </c>
      <c r="J15" s="18" t="s">
        <v>247</v>
      </c>
    </row>
    <row r="16" spans="1:10">
      <c r="B16" s="5"/>
      <c r="C16" s="27">
        <v>0.08</v>
      </c>
      <c r="D16" s="13">
        <v>5552.45</v>
      </c>
      <c r="E16" s="29">
        <v>11.37</v>
      </c>
      <c r="F16" s="13">
        <v>4978.53</v>
      </c>
      <c r="G16" s="29">
        <v>48.37</v>
      </c>
      <c r="H16" s="13">
        <v>28678.1</v>
      </c>
      <c r="I16" s="29">
        <v>0.12</v>
      </c>
      <c r="J16" s="18" t="s">
        <v>247</v>
      </c>
    </row>
    <row r="17" spans="2:10">
      <c r="B17" s="5"/>
      <c r="C17" s="27">
        <v>0.1</v>
      </c>
      <c r="D17" s="13">
        <v>5558.97</v>
      </c>
      <c r="E17" s="29">
        <v>17.88</v>
      </c>
      <c r="F17" s="13">
        <v>5006.26</v>
      </c>
      <c r="G17" s="29">
        <v>76.11</v>
      </c>
      <c r="H17" s="13">
        <v>28678.17</v>
      </c>
      <c r="I17" s="29">
        <v>0.19</v>
      </c>
      <c r="J17" s="18" t="s">
        <v>247</v>
      </c>
    </row>
    <row r="18" spans="2:10">
      <c r="B18" s="5"/>
      <c r="C18" s="27">
        <v>0.12</v>
      </c>
      <c r="D18" s="13">
        <v>5565.5</v>
      </c>
      <c r="E18" s="29">
        <v>24.41</v>
      </c>
      <c r="F18" s="13">
        <v>5034.06</v>
      </c>
      <c r="G18" s="29">
        <v>103.9</v>
      </c>
      <c r="H18" s="13">
        <v>28678.24</v>
      </c>
      <c r="I18" s="29">
        <v>0.26</v>
      </c>
      <c r="J18" s="18" t="s">
        <v>247</v>
      </c>
    </row>
    <row r="20" spans="2:10">
      <c r="B20" s="5" t="s">
        <v>261</v>
      </c>
      <c r="C20" s="15">
        <v>0</v>
      </c>
      <c r="D20" s="13">
        <v>5517.44</v>
      </c>
      <c r="E20" s="28">
        <v>-23.65</v>
      </c>
      <c r="F20" s="13">
        <v>4906.43</v>
      </c>
      <c r="G20" s="28">
        <v>-23.72</v>
      </c>
      <c r="H20" s="13">
        <v>28654.4</v>
      </c>
      <c r="I20" s="28">
        <v>-23.58</v>
      </c>
      <c r="J20" s="18" t="s">
        <v>247</v>
      </c>
    </row>
    <row r="21" spans="2:10">
      <c r="B21" s="5"/>
      <c r="C21" s="15">
        <v>15</v>
      </c>
      <c r="D21" s="13">
        <v>5531.63</v>
      </c>
      <c r="E21" s="28">
        <v>-9.460000000000001</v>
      </c>
      <c r="F21" s="13">
        <v>4920.66</v>
      </c>
      <c r="G21" s="28">
        <v>-9.49</v>
      </c>
      <c r="H21" s="13">
        <v>28668.55</v>
      </c>
      <c r="I21" s="28">
        <v>-9.43</v>
      </c>
      <c r="J21" s="18" t="s">
        <v>247</v>
      </c>
    </row>
    <row r="22" spans="2:10">
      <c r="B22" s="5"/>
      <c r="C22" s="15">
        <v>25</v>
      </c>
      <c r="D22" s="13">
        <v>5541.08</v>
      </c>
      <c r="E22" s="28">
        <v>0</v>
      </c>
      <c r="F22" s="13">
        <v>4930.15</v>
      </c>
      <c r="G22" s="28">
        <v>0</v>
      </c>
      <c r="H22" s="13">
        <v>28677.98</v>
      </c>
      <c r="I22" s="28">
        <v>0</v>
      </c>
      <c r="J22" s="18" t="s">
        <v>247</v>
      </c>
    </row>
    <row r="23" spans="2:10">
      <c r="B23" s="5"/>
      <c r="C23" s="15">
        <v>40</v>
      </c>
      <c r="D23" s="13">
        <v>5555.27</v>
      </c>
      <c r="E23" s="29">
        <v>14.19</v>
      </c>
      <c r="F23" s="13">
        <v>4944.39</v>
      </c>
      <c r="G23" s="29">
        <v>14.23</v>
      </c>
      <c r="H23" s="13">
        <v>28692.13</v>
      </c>
      <c r="I23" s="29">
        <v>14.15</v>
      </c>
      <c r="J23" s="18" t="s">
        <v>247</v>
      </c>
    </row>
    <row r="24" spans="2:10">
      <c r="B24" s="5"/>
      <c r="C24" s="15">
        <v>60</v>
      </c>
      <c r="D24" s="13">
        <v>5574.19</v>
      </c>
      <c r="E24" s="29">
        <v>33.11</v>
      </c>
      <c r="F24" s="13">
        <v>4963.36</v>
      </c>
      <c r="G24" s="29">
        <v>33.21</v>
      </c>
      <c r="H24" s="13">
        <v>28711</v>
      </c>
      <c r="I24" s="29">
        <v>33.02</v>
      </c>
      <c r="J24" s="18" t="s">
        <v>247</v>
      </c>
    </row>
    <row r="26" spans="2:10">
      <c r="B26" s="5" t="s">
        <v>311</v>
      </c>
      <c r="C26" s="15">
        <v>30</v>
      </c>
      <c r="D26" s="13">
        <v>5567.7</v>
      </c>
      <c r="E26" s="29">
        <v>26.62</v>
      </c>
      <c r="F26" s="13">
        <v>5171.69</v>
      </c>
      <c r="G26" s="29">
        <v>241.54</v>
      </c>
      <c r="H26" s="13">
        <v>28677.98</v>
      </c>
      <c r="I26" s="28">
        <v>0</v>
      </c>
      <c r="J26" s="18" t="s">
        <v>247</v>
      </c>
    </row>
    <row r="27" spans="2:10">
      <c r="B27" s="5"/>
      <c r="C27" s="15">
        <v>60</v>
      </c>
      <c r="D27" s="13">
        <v>5567.7</v>
      </c>
      <c r="E27" s="29">
        <v>26.62</v>
      </c>
      <c r="F27" s="13">
        <v>5059.19</v>
      </c>
      <c r="G27" s="29">
        <v>129.04</v>
      </c>
      <c r="H27" s="13">
        <v>28677.98</v>
      </c>
      <c r="I27" s="28">
        <v>0</v>
      </c>
      <c r="J27" s="18" t="s">
        <v>247</v>
      </c>
    </row>
    <row r="28" spans="2:10">
      <c r="B28" s="5"/>
      <c r="C28" s="15">
        <v>110</v>
      </c>
      <c r="D28" s="13">
        <v>5541.08</v>
      </c>
      <c r="E28" s="28">
        <v>0</v>
      </c>
      <c r="F28" s="13">
        <v>5008.06</v>
      </c>
      <c r="G28" s="29">
        <v>77.90000000000001</v>
      </c>
      <c r="H28" s="13">
        <v>28677.98</v>
      </c>
      <c r="I28" s="28">
        <v>0</v>
      </c>
      <c r="J28" s="18" t="s">
        <v>247</v>
      </c>
    </row>
    <row r="29" spans="2:10">
      <c r="B29" s="5"/>
      <c r="C29" s="15">
        <v>120</v>
      </c>
      <c r="D29" s="13">
        <v>5541.08</v>
      </c>
      <c r="E29" s="28">
        <v>0</v>
      </c>
      <c r="F29" s="13">
        <v>4952.65</v>
      </c>
      <c r="G29" s="29">
        <v>22.5</v>
      </c>
      <c r="H29" s="13">
        <v>28677.98</v>
      </c>
      <c r="I29" s="28">
        <v>0</v>
      </c>
      <c r="J29" s="18" t="s">
        <v>247</v>
      </c>
    </row>
    <row r="30" spans="2:10">
      <c r="B30" s="5"/>
      <c r="C30" s="15">
        <v>200</v>
      </c>
      <c r="D30" s="13">
        <v>5541.08</v>
      </c>
      <c r="E30" s="28">
        <v>0</v>
      </c>
      <c r="F30" s="13">
        <v>4930.15</v>
      </c>
      <c r="G30" s="28">
        <v>0</v>
      </c>
      <c r="H30" s="13">
        <v>28677.98</v>
      </c>
      <c r="I30" s="28">
        <v>0</v>
      </c>
      <c r="J30" s="18" t="s">
        <v>247</v>
      </c>
    </row>
    <row r="31" spans="2:10">
      <c r="B31" s="5"/>
      <c r="C31" s="15">
        <v>500</v>
      </c>
      <c r="D31" s="13">
        <v>5541.08</v>
      </c>
      <c r="E31" s="28">
        <v>0</v>
      </c>
      <c r="F31" s="13">
        <v>4909.9</v>
      </c>
      <c r="G31" s="28">
        <v>-20.25</v>
      </c>
      <c r="H31" s="13">
        <v>28677.98</v>
      </c>
      <c r="I31" s="28">
        <v>0</v>
      </c>
      <c r="J31" s="18" t="s">
        <v>247</v>
      </c>
    </row>
    <row r="33" spans="2:10">
      <c r="B33" s="5" t="s">
        <v>517</v>
      </c>
      <c r="C33" s="15">
        <v>0</v>
      </c>
      <c r="D33" s="13">
        <v>5541.08</v>
      </c>
      <c r="E33" s="28">
        <v>0</v>
      </c>
      <c r="F33" s="13">
        <v>4928.26</v>
      </c>
      <c r="G33" s="28">
        <v>-1.9</v>
      </c>
      <c r="H33" s="13">
        <v>28677.98</v>
      </c>
      <c r="I33" s="28">
        <v>0</v>
      </c>
      <c r="J33" s="18" t="s">
        <v>247</v>
      </c>
    </row>
    <row r="34" spans="2:10">
      <c r="B34" s="5"/>
      <c r="C34" s="15">
        <v>4</v>
      </c>
      <c r="D34" s="13">
        <v>5541.08</v>
      </c>
      <c r="E34" s="28">
        <v>0</v>
      </c>
      <c r="F34" s="13">
        <v>4929.2</v>
      </c>
      <c r="G34" s="28">
        <v>-0.95</v>
      </c>
      <c r="H34" s="13">
        <v>28677.98</v>
      </c>
      <c r="I34" s="28">
        <v>0</v>
      </c>
      <c r="J34" s="18" t="s">
        <v>247</v>
      </c>
    </row>
    <row r="35" spans="2:10">
      <c r="B35" s="5"/>
      <c r="C35" s="15">
        <v>8</v>
      </c>
      <c r="D35" s="13">
        <v>5541.08</v>
      </c>
      <c r="E35" s="28">
        <v>0</v>
      </c>
      <c r="F35" s="13">
        <v>4930.15</v>
      </c>
      <c r="G35" s="28">
        <v>0</v>
      </c>
      <c r="H35" s="13">
        <v>28677.98</v>
      </c>
      <c r="I35" s="28">
        <v>0</v>
      </c>
      <c r="J35" s="18" t="s">
        <v>247</v>
      </c>
    </row>
    <row r="36" spans="2:10">
      <c r="B36" s="5"/>
      <c r="C36" s="15">
        <v>20</v>
      </c>
      <c r="D36" s="13">
        <v>5541.08</v>
      </c>
      <c r="E36" s="28">
        <v>0</v>
      </c>
      <c r="F36" s="13">
        <v>4933</v>
      </c>
      <c r="G36" s="29">
        <v>2.85</v>
      </c>
      <c r="H36" s="13">
        <v>28677.98</v>
      </c>
      <c r="I36" s="28">
        <v>0</v>
      </c>
      <c r="J36" s="18" t="s">
        <v>247</v>
      </c>
    </row>
  </sheetData>
  <mergeCells count="8">
    <mergeCell ref="A1:J1"/>
    <mergeCell ref="A2:J2"/>
    <mergeCell ref="A3:J3"/>
    <mergeCell ref="B6:B10"/>
    <mergeCell ref="B12:B18"/>
    <mergeCell ref="B20:B24"/>
    <mergeCell ref="B26:B31"/>
    <mergeCell ref="B33:B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showGridLines="0" workbookViewId="0"/>
  </sheetViews>
  <sheetFormatPr defaultRowHeight="15"/>
  <cols>
    <col min="1" max="1" width="4.7109375" customWidth="1"/>
    <col min="2" max="2" width="40.7109375" customWidth="1"/>
    <col min="3" max="5" width="16.7109375" customWidth="1"/>
    <col min="6" max="6" width="50.7109375" customWidth="1"/>
  </cols>
  <sheetData>
    <row r="1" spans="1:6" ht="30" customHeight="1">
      <c r="A1" s="1" t="s">
        <v>518</v>
      </c>
      <c r="B1" s="1"/>
      <c r="C1" s="1"/>
      <c r="D1" s="1"/>
      <c r="E1" s="1"/>
      <c r="F1" s="1"/>
    </row>
    <row r="2" spans="1:6" ht="18" customHeight="1">
      <c r="A2" s="2" t="s">
        <v>519</v>
      </c>
      <c r="B2" s="2"/>
      <c r="C2" s="2"/>
      <c r="D2" s="2"/>
      <c r="E2" s="2"/>
      <c r="F2" s="2"/>
    </row>
    <row r="3" spans="1:6" ht="30" customHeight="1">
      <c r="A3" s="3" t="s">
        <v>2</v>
      </c>
      <c r="B3" s="3"/>
      <c r="C3" s="3"/>
      <c r="D3" s="3"/>
      <c r="E3" s="3"/>
      <c r="F3" s="3"/>
    </row>
    <row r="5" spans="1:6">
      <c r="A5" s="11"/>
      <c r="B5" s="11" t="s">
        <v>520</v>
      </c>
      <c r="C5" s="11" t="s">
        <v>106</v>
      </c>
      <c r="D5" s="11" t="s">
        <v>247</v>
      </c>
      <c r="E5" s="11" t="s">
        <v>84</v>
      </c>
      <c r="F5" s="11" t="s">
        <v>456</v>
      </c>
    </row>
    <row r="6" spans="1:6">
      <c r="B6" s="5" t="s">
        <v>521</v>
      </c>
      <c r="C6" s="13">
        <v>5541.08</v>
      </c>
      <c r="D6" s="17">
        <v>4930.15</v>
      </c>
      <c r="E6" s="13">
        <v>28677.98</v>
      </c>
      <c r="F6" s="12" t="s">
        <v>522</v>
      </c>
    </row>
    <row r="7" spans="1:6">
      <c r="B7" s="5" t="s">
        <v>523</v>
      </c>
      <c r="C7" s="13">
        <v>5478.8</v>
      </c>
      <c r="D7" s="17">
        <v>4867.68</v>
      </c>
      <c r="E7" s="13">
        <v>28654.4</v>
      </c>
      <c r="F7" s="12" t="s">
        <v>524</v>
      </c>
    </row>
    <row r="8" spans="1:6">
      <c r="B8" s="5" t="s">
        <v>525</v>
      </c>
      <c r="C8" s="13">
        <v>5558.97</v>
      </c>
      <c r="D8" s="17">
        <v>5006.26</v>
      </c>
      <c r="E8" s="13">
        <v>28678.17</v>
      </c>
      <c r="F8" s="12" t="s">
        <v>526</v>
      </c>
    </row>
    <row r="9" spans="1:6">
      <c r="B9" s="5" t="s">
        <v>527</v>
      </c>
      <c r="C9" s="13">
        <v>5567.7</v>
      </c>
      <c r="D9" s="17">
        <v>5059.19</v>
      </c>
      <c r="E9" s="13">
        <v>28677.98</v>
      </c>
      <c r="F9" s="12" t="s">
        <v>528</v>
      </c>
    </row>
    <row r="10" spans="1:6">
      <c r="B10" s="5" t="s">
        <v>529</v>
      </c>
      <c r="C10" s="13">
        <v>5541.08</v>
      </c>
      <c r="D10" s="17">
        <v>4930.15</v>
      </c>
      <c r="E10" s="13">
        <v>28677.98</v>
      </c>
      <c r="F10" s="12" t="s">
        <v>530</v>
      </c>
    </row>
    <row r="11" spans="1:6">
      <c r="B11" s="5" t="s">
        <v>531</v>
      </c>
      <c r="C11" s="13">
        <v>5541.08</v>
      </c>
      <c r="D11" s="17">
        <v>4930.15</v>
      </c>
      <c r="E11" s="13">
        <v>25383.53</v>
      </c>
      <c r="F11" s="12" t="s">
        <v>532</v>
      </c>
    </row>
    <row r="13" spans="1:6" ht="22" customHeight="1">
      <c r="A13" s="4" t="s">
        <v>533</v>
      </c>
      <c r="B13" s="4"/>
      <c r="C13" s="4"/>
      <c r="D13" s="4"/>
      <c r="E13" s="4"/>
      <c r="F13" s="4"/>
    </row>
    <row r="14" spans="1:6">
      <c r="A14" s="11"/>
      <c r="B14" s="11" t="s">
        <v>534</v>
      </c>
      <c r="C14" s="11" t="s">
        <v>508</v>
      </c>
      <c r="D14" s="11" t="s">
        <v>510</v>
      </c>
      <c r="E14" s="11" t="s">
        <v>512</v>
      </c>
      <c r="F14" s="11" t="s">
        <v>535</v>
      </c>
    </row>
    <row r="15" spans="1:6">
      <c r="B15" s="15">
        <v>4800</v>
      </c>
      <c r="C15" s="13">
        <v>4328.7</v>
      </c>
      <c r="D15" s="13">
        <v>4930.15</v>
      </c>
      <c r="E15" s="13">
        <v>4289.41</v>
      </c>
      <c r="F15" s="30">
        <v>-601.4499999999998</v>
      </c>
    </row>
    <row r="16" spans="1:6">
      <c r="B16" s="15">
        <v>4900</v>
      </c>
      <c r="C16" s="13">
        <v>4417.19</v>
      </c>
      <c r="D16" s="13">
        <v>5030.15</v>
      </c>
      <c r="E16" s="13">
        <v>4377.9</v>
      </c>
      <c r="F16" s="30">
        <v>-612.96</v>
      </c>
    </row>
    <row r="17" spans="2:6">
      <c r="B17" s="15">
        <v>5000</v>
      </c>
      <c r="C17" s="13">
        <v>4505.69</v>
      </c>
      <c r="D17" s="13">
        <v>5130.15</v>
      </c>
      <c r="E17" s="13">
        <v>4466.4</v>
      </c>
      <c r="F17" s="30">
        <v>-624.46</v>
      </c>
    </row>
    <row r="18" spans="2:6">
      <c r="B18" s="15">
        <v>5100</v>
      </c>
      <c r="C18" s="13">
        <v>4594.18</v>
      </c>
      <c r="D18" s="13">
        <v>5230.15</v>
      </c>
      <c r="E18" s="13">
        <v>4554.89</v>
      </c>
      <c r="F18" s="30">
        <v>-635.9699999999993</v>
      </c>
    </row>
    <row r="19" spans="2:6">
      <c r="B19" s="15">
        <v>5200</v>
      </c>
      <c r="C19" s="13">
        <v>4682.68</v>
      </c>
      <c r="D19" s="13">
        <v>5330.15</v>
      </c>
      <c r="E19" s="13">
        <v>4643.39</v>
      </c>
      <c r="F19" s="30">
        <v>-647.4699999999993</v>
      </c>
    </row>
    <row r="20" spans="2:6">
      <c r="B20" s="15">
        <v>5300</v>
      </c>
      <c r="C20" s="13">
        <v>4771.17</v>
      </c>
      <c r="D20" s="13">
        <v>5430.15</v>
      </c>
      <c r="E20" s="13">
        <v>4731.89</v>
      </c>
      <c r="F20" s="30">
        <v>-658.9799999999996</v>
      </c>
    </row>
    <row r="21" spans="2:6">
      <c r="B21" s="15">
        <v>5400</v>
      </c>
      <c r="C21" s="13">
        <v>4859.67</v>
      </c>
      <c r="D21" s="13">
        <v>5530.15</v>
      </c>
      <c r="E21" s="13">
        <v>4820.38</v>
      </c>
      <c r="F21" s="30">
        <v>-670.4799999999996</v>
      </c>
    </row>
    <row r="22" spans="2:6">
      <c r="B22" s="15">
        <v>5500</v>
      </c>
      <c r="C22" s="13">
        <v>4948.16</v>
      </c>
      <c r="D22" s="13">
        <v>5630.15</v>
      </c>
      <c r="E22" s="13">
        <v>4908.88</v>
      </c>
      <c r="F22" s="30">
        <v>-681.9899999999998</v>
      </c>
    </row>
    <row r="23" spans="2:6">
      <c r="B23" s="15">
        <v>5600</v>
      </c>
      <c r="C23" s="13">
        <v>5036.66</v>
      </c>
      <c r="D23" s="13">
        <v>5730.15</v>
      </c>
      <c r="E23" s="13">
        <v>4997.37</v>
      </c>
      <c r="F23" s="30">
        <v>-693.4899999999998</v>
      </c>
    </row>
    <row r="24" spans="2:6">
      <c r="B24" s="15">
        <v>5700</v>
      </c>
      <c r="C24" s="13">
        <v>5125.16</v>
      </c>
      <c r="D24" s="13">
        <v>5830.15</v>
      </c>
      <c r="E24" s="13">
        <v>5085.87</v>
      </c>
      <c r="F24" s="30">
        <v>-704.9899999999998</v>
      </c>
    </row>
    <row r="25" spans="2:6">
      <c r="B25" s="15">
        <v>5800</v>
      </c>
      <c r="C25" s="13">
        <v>5213.65</v>
      </c>
      <c r="D25" s="13">
        <v>5930.15</v>
      </c>
      <c r="E25" s="13">
        <v>5174.36</v>
      </c>
      <c r="F25" s="30">
        <v>-716.5</v>
      </c>
    </row>
    <row r="26" spans="2:6">
      <c r="B26" s="15">
        <v>5900</v>
      </c>
      <c r="C26" s="13">
        <v>5302.15</v>
      </c>
      <c r="D26" s="13">
        <v>6030.15</v>
      </c>
      <c r="E26" s="13">
        <v>5262.86</v>
      </c>
      <c r="F26" s="30">
        <v>-728</v>
      </c>
    </row>
    <row r="27" spans="2:6">
      <c r="B27" s="15">
        <v>6000</v>
      </c>
      <c r="C27" s="13">
        <v>5390.64</v>
      </c>
      <c r="D27" s="13">
        <v>6130.15</v>
      </c>
      <c r="E27" s="13">
        <v>5351.35</v>
      </c>
      <c r="F27" s="30">
        <v>-739.5099999999993</v>
      </c>
    </row>
    <row r="28" spans="2:6">
      <c r="B28" s="15">
        <v>6100</v>
      </c>
      <c r="C28" s="13">
        <v>5479.14</v>
      </c>
      <c r="D28" s="13">
        <v>6230.15</v>
      </c>
      <c r="E28" s="13">
        <v>5439.85</v>
      </c>
      <c r="F28" s="30">
        <v>-751.0099999999993</v>
      </c>
    </row>
    <row r="29" spans="2:6">
      <c r="B29" s="15">
        <v>6200</v>
      </c>
      <c r="C29" s="13">
        <v>5567.63</v>
      </c>
      <c r="D29" s="13">
        <v>6330.15</v>
      </c>
      <c r="E29" s="13">
        <v>5528.35</v>
      </c>
      <c r="F29" s="30">
        <v>-762.5199999999995</v>
      </c>
    </row>
    <row r="30" spans="2:6">
      <c r="B30" s="15">
        <v>6300</v>
      </c>
      <c r="C30" s="13">
        <v>5656.13</v>
      </c>
      <c r="D30" s="13">
        <v>6430.15</v>
      </c>
      <c r="E30" s="13">
        <v>5616.84</v>
      </c>
      <c r="F30" s="30">
        <v>-774.0199999999995</v>
      </c>
    </row>
    <row r="31" spans="2:6">
      <c r="B31" s="15">
        <v>6400</v>
      </c>
      <c r="C31" s="13">
        <v>5744.62</v>
      </c>
      <c r="D31" s="13">
        <v>6530.15</v>
      </c>
      <c r="E31" s="13">
        <v>5705.34</v>
      </c>
      <c r="F31" s="30">
        <v>-785.5299999999997</v>
      </c>
    </row>
    <row r="32" spans="2:6">
      <c r="B32" s="15">
        <v>6500</v>
      </c>
      <c r="C32" s="13">
        <v>5833.12</v>
      </c>
      <c r="D32" s="13">
        <v>6630.15</v>
      </c>
      <c r="E32" s="13">
        <v>5793.83</v>
      </c>
      <c r="F32" s="30">
        <v>-797.0299999999997</v>
      </c>
    </row>
    <row r="33" spans="1:6">
      <c r="B33" s="15">
        <v>6600</v>
      </c>
      <c r="C33" s="13">
        <v>5921.62</v>
      </c>
      <c r="D33" s="13">
        <v>6730.15</v>
      </c>
      <c r="E33" s="13">
        <v>5882.33</v>
      </c>
      <c r="F33" s="30">
        <v>-808.5299999999997</v>
      </c>
    </row>
    <row r="34" spans="1:6">
      <c r="B34" s="15">
        <v>6700</v>
      </c>
      <c r="C34" s="13">
        <v>6010.11</v>
      </c>
      <c r="D34" s="13">
        <v>6830.15</v>
      </c>
      <c r="E34" s="13">
        <v>5970.82</v>
      </c>
      <c r="F34" s="30">
        <v>-820.04</v>
      </c>
    </row>
    <row r="35" spans="1:6">
      <c r="B35" s="15">
        <v>6800</v>
      </c>
      <c r="C35" s="13">
        <v>6098.61</v>
      </c>
      <c r="D35" s="13">
        <v>6930.15</v>
      </c>
      <c r="E35" s="13">
        <v>6059.32</v>
      </c>
      <c r="F35" s="30">
        <v>-831.54</v>
      </c>
    </row>
    <row r="37" spans="1:6" ht="22" customHeight="1">
      <c r="A37" s="4" t="s">
        <v>536</v>
      </c>
      <c r="B37" s="4"/>
      <c r="C37" s="4"/>
      <c r="D37" s="4"/>
      <c r="E37" s="4"/>
      <c r="F37" s="4"/>
    </row>
    <row r="38" spans="1:6">
      <c r="A38" s="11"/>
      <c r="B38" s="11" t="s">
        <v>180</v>
      </c>
      <c r="C38" s="11" t="s">
        <v>537</v>
      </c>
      <c r="D38" s="11" t="s">
        <v>538</v>
      </c>
      <c r="E38" s="11" t="s">
        <v>539</v>
      </c>
      <c r="F38" s="11" t="s">
        <v>540</v>
      </c>
    </row>
    <row r="39" spans="1:6">
      <c r="B39" s="5" t="s">
        <v>186</v>
      </c>
      <c r="C39" s="13">
        <v>6165.06</v>
      </c>
      <c r="D39" s="13">
        <v>5808</v>
      </c>
      <c r="E39" s="31">
        <v>0.06150000000000001</v>
      </c>
      <c r="F39" s="18" t="s">
        <v>541</v>
      </c>
    </row>
    <row r="40" spans="1:6">
      <c r="B40" s="5" t="s">
        <v>188</v>
      </c>
      <c r="C40" s="13">
        <v>5418.58</v>
      </c>
      <c r="D40" s="13">
        <v>5808</v>
      </c>
      <c r="E40" s="31">
        <v>-0.067</v>
      </c>
      <c r="F40" s="18" t="s">
        <v>541</v>
      </c>
    </row>
    <row r="41" spans="1:6">
      <c r="B41" s="5" t="s">
        <v>190</v>
      </c>
      <c r="C41" s="13">
        <v>28493.18</v>
      </c>
      <c r="D41" s="13">
        <v>5808</v>
      </c>
      <c r="E41" s="31">
        <v>3.9059</v>
      </c>
      <c r="F41" s="10" t="s">
        <v>542</v>
      </c>
    </row>
    <row r="43" spans="1:6">
      <c r="B43" s="12" t="s">
        <v>543</v>
      </c>
    </row>
  </sheetData>
  <mergeCells count="5">
    <mergeCell ref="A1:F1"/>
    <mergeCell ref="A2:F2"/>
    <mergeCell ref="A3:F3"/>
    <mergeCell ref="A13:F13"/>
    <mergeCell ref="A37:F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6"/>
  <sheetViews>
    <sheetView showGridLines="0" workbookViewId="0"/>
  </sheetViews>
  <sheetFormatPr defaultRowHeight="15"/>
  <cols>
    <col min="1" max="1" width="4.7109375" customWidth="1"/>
    <col min="2" max="2" width="8.7109375" customWidth="1"/>
    <col min="3" max="3" width="10.7109375" customWidth="1"/>
    <col min="4" max="4" width="26.7109375" customWidth="1"/>
    <col min="5" max="5" width="46.7109375" customWidth="1"/>
    <col min="6" max="6" width="40.7109375" customWidth="1"/>
    <col min="7" max="7" width="36.7109375" customWidth="1"/>
    <col min="8" max="8" width="8.7109375" customWidth="1"/>
  </cols>
  <sheetData>
    <row r="1" spans="1:8" ht="30" customHeight="1">
      <c r="A1" s="1" t="s">
        <v>544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545</v>
      </c>
      <c r="B2" s="2"/>
      <c r="C2" s="2"/>
      <c r="D2" s="2"/>
      <c r="E2" s="2"/>
      <c r="F2" s="2"/>
      <c r="G2" s="2"/>
      <c r="H2" s="2"/>
    </row>
    <row r="3" spans="1:8" ht="30" customHeight="1">
      <c r="A3" s="3" t="s">
        <v>2</v>
      </c>
      <c r="B3" s="3"/>
      <c r="C3" s="3"/>
      <c r="D3" s="3"/>
      <c r="E3" s="3"/>
      <c r="F3" s="3"/>
      <c r="G3" s="3"/>
      <c r="H3" s="3"/>
    </row>
    <row r="5" spans="1:8" ht="22" customHeight="1">
      <c r="A5" s="4" t="s">
        <v>546</v>
      </c>
      <c r="B5" s="4"/>
      <c r="C5" s="4"/>
      <c r="D5" s="4"/>
      <c r="E5" s="4"/>
      <c r="F5" s="4"/>
      <c r="G5" s="4"/>
      <c r="H5" s="4"/>
    </row>
    <row r="6" spans="1:8">
      <c r="A6" s="11"/>
      <c r="B6" s="11" t="s">
        <v>547</v>
      </c>
      <c r="C6" s="11" t="s">
        <v>180</v>
      </c>
      <c r="D6" s="11" t="s">
        <v>548</v>
      </c>
      <c r="E6" s="11" t="s">
        <v>549</v>
      </c>
      <c r="F6" s="11" t="s">
        <v>550</v>
      </c>
      <c r="G6" s="11" t="s">
        <v>551</v>
      </c>
      <c r="H6" s="11" t="s">
        <v>552</v>
      </c>
    </row>
    <row r="7" spans="1:8">
      <c r="B7" s="15">
        <v>1</v>
      </c>
      <c r="C7" s="5" t="s">
        <v>84</v>
      </c>
      <c r="D7" s="5" t="s">
        <v>553</v>
      </c>
      <c r="E7" s="6" t="s">
        <v>554</v>
      </c>
      <c r="F7" s="12" t="s">
        <v>555</v>
      </c>
      <c r="G7" s="12" t="s">
        <v>556</v>
      </c>
      <c r="H7" s="10" t="s">
        <v>557</v>
      </c>
    </row>
    <row r="8" spans="1:8">
      <c r="B8" s="15">
        <v>2</v>
      </c>
      <c r="C8" s="5" t="s">
        <v>84</v>
      </c>
      <c r="D8" s="5" t="s">
        <v>558</v>
      </c>
      <c r="E8" s="6" t="s">
        <v>559</v>
      </c>
      <c r="F8" s="12" t="s">
        <v>560</v>
      </c>
      <c r="G8" s="12" t="s">
        <v>561</v>
      </c>
      <c r="H8" s="10" t="s">
        <v>557</v>
      </c>
    </row>
    <row r="9" spans="1:8">
      <c r="B9" s="15">
        <v>3</v>
      </c>
      <c r="C9" s="5" t="s">
        <v>84</v>
      </c>
      <c r="D9" s="5" t="s">
        <v>562</v>
      </c>
      <c r="E9" s="6" t="s">
        <v>563</v>
      </c>
      <c r="F9" s="12" t="s">
        <v>564</v>
      </c>
      <c r="G9" s="12" t="s">
        <v>565</v>
      </c>
      <c r="H9" s="10" t="s">
        <v>557</v>
      </c>
    </row>
    <row r="10" spans="1:8">
      <c r="B10" s="15">
        <v>4</v>
      </c>
      <c r="C10" s="5" t="s">
        <v>247</v>
      </c>
      <c r="D10" s="5" t="s">
        <v>120</v>
      </c>
      <c r="E10" s="6" t="s">
        <v>566</v>
      </c>
      <c r="F10" s="12" t="s">
        <v>567</v>
      </c>
      <c r="G10" s="12" t="s">
        <v>568</v>
      </c>
      <c r="H10" s="10" t="s">
        <v>557</v>
      </c>
    </row>
    <row r="11" spans="1:8">
      <c r="B11" s="15">
        <v>5</v>
      </c>
      <c r="C11" s="5" t="s">
        <v>247</v>
      </c>
      <c r="D11" s="5" t="s">
        <v>355</v>
      </c>
      <c r="E11" s="6" t="s">
        <v>569</v>
      </c>
      <c r="F11" s="12" t="s">
        <v>570</v>
      </c>
      <c r="G11" s="12" t="s">
        <v>571</v>
      </c>
      <c r="H11" s="10" t="s">
        <v>557</v>
      </c>
    </row>
    <row r="12" spans="1:8">
      <c r="B12" s="15">
        <v>6</v>
      </c>
      <c r="C12" s="5" t="s">
        <v>106</v>
      </c>
      <c r="D12" s="5" t="s">
        <v>355</v>
      </c>
      <c r="E12" s="6" t="s">
        <v>572</v>
      </c>
      <c r="F12" s="12" t="s">
        <v>570</v>
      </c>
      <c r="G12" s="12" t="s">
        <v>573</v>
      </c>
      <c r="H12" s="10" t="s">
        <v>557</v>
      </c>
    </row>
    <row r="13" spans="1:8">
      <c r="B13" s="15">
        <v>7</v>
      </c>
      <c r="C13" s="5" t="s">
        <v>84</v>
      </c>
      <c r="D13" s="5" t="s">
        <v>120</v>
      </c>
      <c r="E13" s="6" t="s">
        <v>574</v>
      </c>
      <c r="F13" s="12" t="s">
        <v>575</v>
      </c>
      <c r="G13" s="12" t="s">
        <v>576</v>
      </c>
      <c r="H13" s="32" t="s">
        <v>577</v>
      </c>
    </row>
    <row r="14" spans="1:8">
      <c r="B14" s="15">
        <v>8</v>
      </c>
      <c r="C14" s="5" t="s">
        <v>84</v>
      </c>
      <c r="D14" s="5" t="s">
        <v>578</v>
      </c>
      <c r="E14" s="6" t="s">
        <v>579</v>
      </c>
      <c r="F14" s="12" t="s">
        <v>580</v>
      </c>
      <c r="G14" s="12" t="s">
        <v>581</v>
      </c>
      <c r="H14" s="32" t="s">
        <v>577</v>
      </c>
    </row>
    <row r="15" spans="1:8">
      <c r="B15" s="15">
        <v>9</v>
      </c>
      <c r="C15" s="5" t="s">
        <v>84</v>
      </c>
      <c r="D15" s="5" t="s">
        <v>582</v>
      </c>
      <c r="E15" s="6" t="s">
        <v>583</v>
      </c>
      <c r="F15" s="12" t="s">
        <v>584</v>
      </c>
      <c r="G15" s="12" t="s">
        <v>585</v>
      </c>
      <c r="H15" s="32" t="s">
        <v>577</v>
      </c>
    </row>
    <row r="16" spans="1:8">
      <c r="B16" s="15">
        <v>10</v>
      </c>
      <c r="C16" s="5" t="s">
        <v>84</v>
      </c>
      <c r="D16" s="5" t="s">
        <v>125</v>
      </c>
      <c r="E16" s="6" t="s">
        <v>586</v>
      </c>
      <c r="F16" s="12" t="s">
        <v>587</v>
      </c>
      <c r="G16" s="12" t="s">
        <v>588</v>
      </c>
      <c r="H16" s="32" t="s">
        <v>577</v>
      </c>
    </row>
    <row r="17" spans="1:8">
      <c r="B17" s="15">
        <v>11</v>
      </c>
      <c r="C17" s="5" t="s">
        <v>247</v>
      </c>
      <c r="D17" s="5" t="s">
        <v>589</v>
      </c>
      <c r="E17" s="6" t="s">
        <v>590</v>
      </c>
      <c r="F17" s="12" t="s">
        <v>591</v>
      </c>
      <c r="G17" s="12" t="s">
        <v>592</v>
      </c>
      <c r="H17" s="32" t="s">
        <v>577</v>
      </c>
    </row>
    <row r="18" spans="1:8">
      <c r="B18" s="15">
        <v>12</v>
      </c>
      <c r="C18" s="5" t="s">
        <v>247</v>
      </c>
      <c r="D18" s="5" t="s">
        <v>593</v>
      </c>
      <c r="E18" s="6" t="s">
        <v>594</v>
      </c>
      <c r="F18" s="12" t="s">
        <v>595</v>
      </c>
      <c r="G18" s="12" t="s">
        <v>596</v>
      </c>
      <c r="H18" s="32" t="s">
        <v>577</v>
      </c>
    </row>
    <row r="19" spans="1:8">
      <c r="B19" s="15">
        <v>13</v>
      </c>
      <c r="C19" s="5" t="s">
        <v>106</v>
      </c>
      <c r="D19" s="5" t="s">
        <v>597</v>
      </c>
      <c r="E19" s="6" t="s">
        <v>598</v>
      </c>
      <c r="F19" s="12" t="s">
        <v>599</v>
      </c>
      <c r="G19" s="12" t="s">
        <v>600</v>
      </c>
      <c r="H19" s="32" t="s">
        <v>577</v>
      </c>
    </row>
    <row r="20" spans="1:8">
      <c r="B20" s="15">
        <v>14</v>
      </c>
      <c r="C20" s="5" t="s">
        <v>601</v>
      </c>
      <c r="D20" s="5" t="s">
        <v>332</v>
      </c>
      <c r="E20" s="6" t="s">
        <v>602</v>
      </c>
      <c r="F20" s="12" t="s">
        <v>603</v>
      </c>
      <c r="G20" s="12" t="s">
        <v>604</v>
      </c>
      <c r="H20" s="32" t="s">
        <v>577</v>
      </c>
    </row>
    <row r="21" spans="1:8">
      <c r="B21" s="15">
        <v>15</v>
      </c>
      <c r="C21" s="5" t="s">
        <v>106</v>
      </c>
      <c r="D21" s="5" t="s">
        <v>88</v>
      </c>
      <c r="E21" s="6" t="s">
        <v>605</v>
      </c>
      <c r="F21" s="12" t="s">
        <v>606</v>
      </c>
      <c r="G21" s="12" t="s">
        <v>607</v>
      </c>
      <c r="H21" s="33" t="s">
        <v>608</v>
      </c>
    </row>
    <row r="22" spans="1:8">
      <c r="B22" s="15">
        <v>16</v>
      </c>
      <c r="C22" s="5" t="s">
        <v>601</v>
      </c>
      <c r="D22" s="5" t="s">
        <v>609</v>
      </c>
      <c r="E22" s="6" t="s">
        <v>610</v>
      </c>
      <c r="F22" s="12" t="s">
        <v>611</v>
      </c>
      <c r="G22" s="12" t="s">
        <v>612</v>
      </c>
      <c r="H22" s="33" t="s">
        <v>608</v>
      </c>
    </row>
    <row r="24" spans="1:8" ht="22" customHeight="1">
      <c r="A24" s="4" t="s">
        <v>613</v>
      </c>
      <c r="B24" s="4"/>
      <c r="C24" s="4"/>
      <c r="D24" s="4"/>
      <c r="E24" s="4"/>
      <c r="F24" s="4"/>
      <c r="G24" s="4"/>
      <c r="H24" s="4"/>
    </row>
    <row r="25" spans="1:8">
      <c r="A25" s="11"/>
      <c r="B25" s="11" t="s">
        <v>180</v>
      </c>
      <c r="C25" s="11" t="s">
        <v>614</v>
      </c>
      <c r="D25" s="11" t="s">
        <v>615</v>
      </c>
      <c r="E25" s="11" t="s">
        <v>616</v>
      </c>
      <c r="F25" s="11" t="s">
        <v>617</v>
      </c>
      <c r="G25" s="11" t="s">
        <v>618</v>
      </c>
      <c r="H25" s="11"/>
    </row>
    <row r="26" spans="1:8">
      <c r="B26" s="5" t="s">
        <v>106</v>
      </c>
      <c r="C26" s="5" t="s">
        <v>332</v>
      </c>
      <c r="D26" s="6" t="s">
        <v>619</v>
      </c>
      <c r="E26" s="10" t="s">
        <v>620</v>
      </c>
      <c r="F26" s="6" t="s">
        <v>621</v>
      </c>
      <c r="G26" s="10" t="s">
        <v>622</v>
      </c>
    </row>
    <row r="27" spans="1:8">
      <c r="B27" s="5"/>
      <c r="C27" s="5" t="s">
        <v>597</v>
      </c>
      <c r="D27" s="6" t="s">
        <v>623</v>
      </c>
      <c r="E27" s="10" t="s">
        <v>620</v>
      </c>
      <c r="F27" s="6" t="s">
        <v>624</v>
      </c>
      <c r="G27" s="10" t="s">
        <v>622</v>
      </c>
    </row>
    <row r="28" spans="1:8">
      <c r="B28" s="5"/>
      <c r="C28" s="5" t="s">
        <v>625</v>
      </c>
      <c r="D28" s="6" t="s">
        <v>626</v>
      </c>
      <c r="E28" s="6" t="s">
        <v>627</v>
      </c>
      <c r="F28" s="6" t="s">
        <v>628</v>
      </c>
      <c r="G28" s="6" t="s">
        <v>629</v>
      </c>
    </row>
    <row r="29" spans="1:8">
      <c r="B29" s="5"/>
      <c r="C29" s="5" t="s">
        <v>630</v>
      </c>
      <c r="D29" s="6" t="s">
        <v>631</v>
      </c>
      <c r="E29" s="6" t="s">
        <v>627</v>
      </c>
      <c r="F29" s="6" t="s">
        <v>628</v>
      </c>
      <c r="G29" s="6" t="s">
        <v>629</v>
      </c>
    </row>
    <row r="30" spans="1:8">
      <c r="B30" s="5"/>
      <c r="C30" s="5" t="s">
        <v>632</v>
      </c>
      <c r="D30" s="6" t="s">
        <v>633</v>
      </c>
      <c r="E30" s="10" t="s">
        <v>620</v>
      </c>
      <c r="F30" s="6" t="s">
        <v>621</v>
      </c>
      <c r="G30" s="10" t="s">
        <v>622</v>
      </c>
    </row>
    <row r="31" spans="1:8">
      <c r="B31" s="5"/>
      <c r="C31" s="5" t="s">
        <v>634</v>
      </c>
      <c r="D31" s="6" t="s">
        <v>635</v>
      </c>
      <c r="E31" s="13">
        <v>60</v>
      </c>
      <c r="F31" s="6" t="s">
        <v>624</v>
      </c>
      <c r="G31" s="6" t="s">
        <v>629</v>
      </c>
    </row>
    <row r="32" spans="1:8">
      <c r="B32" s="5" t="s">
        <v>247</v>
      </c>
      <c r="C32" s="5" t="s">
        <v>332</v>
      </c>
      <c r="D32" s="6" t="s">
        <v>636</v>
      </c>
      <c r="E32" s="10" t="s">
        <v>620</v>
      </c>
      <c r="F32" s="6" t="s">
        <v>624</v>
      </c>
      <c r="G32" s="10" t="s">
        <v>622</v>
      </c>
    </row>
    <row r="33" spans="1:8">
      <c r="B33" s="5"/>
      <c r="C33" s="5" t="s">
        <v>597</v>
      </c>
      <c r="D33" s="6" t="s">
        <v>637</v>
      </c>
      <c r="E33" s="10" t="s">
        <v>620</v>
      </c>
      <c r="F33" s="6" t="s">
        <v>624</v>
      </c>
      <c r="G33" s="10" t="s">
        <v>622</v>
      </c>
    </row>
    <row r="34" spans="1:8">
      <c r="B34" s="5"/>
      <c r="C34" s="5" t="s">
        <v>625</v>
      </c>
      <c r="D34" s="6" t="s">
        <v>638</v>
      </c>
      <c r="E34" s="10" t="s">
        <v>620</v>
      </c>
      <c r="F34" s="6" t="s">
        <v>624</v>
      </c>
      <c r="G34" s="10" t="s">
        <v>622</v>
      </c>
    </row>
    <row r="35" spans="1:8">
      <c r="B35" s="5"/>
      <c r="C35" s="5" t="s">
        <v>630</v>
      </c>
      <c r="D35" s="6" t="s">
        <v>639</v>
      </c>
      <c r="E35" s="6" t="s">
        <v>627</v>
      </c>
      <c r="F35" s="6" t="s">
        <v>628</v>
      </c>
      <c r="G35" s="6" t="s">
        <v>629</v>
      </c>
    </row>
    <row r="36" spans="1:8">
      <c r="B36" s="5"/>
      <c r="C36" s="5" t="s">
        <v>593</v>
      </c>
      <c r="D36" s="6" t="s">
        <v>640</v>
      </c>
      <c r="E36" s="13">
        <v>300000</v>
      </c>
      <c r="F36" s="6" t="s">
        <v>624</v>
      </c>
      <c r="G36" s="6" t="s">
        <v>629</v>
      </c>
    </row>
    <row r="37" spans="1:8">
      <c r="B37" s="5"/>
      <c r="C37" s="5" t="s">
        <v>589</v>
      </c>
      <c r="D37" s="6" t="s">
        <v>641</v>
      </c>
      <c r="E37" s="10" t="s">
        <v>620</v>
      </c>
      <c r="F37" s="6" t="s">
        <v>621</v>
      </c>
      <c r="G37" s="10" t="s">
        <v>622</v>
      </c>
    </row>
    <row r="38" spans="1:8">
      <c r="B38" s="5"/>
      <c r="C38" s="5" t="s">
        <v>120</v>
      </c>
      <c r="D38" s="6" t="s">
        <v>642</v>
      </c>
      <c r="E38" s="10" t="s">
        <v>620</v>
      </c>
      <c r="F38" s="6" t="s">
        <v>621</v>
      </c>
      <c r="G38" s="10" t="s">
        <v>622</v>
      </c>
    </row>
    <row r="39" spans="1:8">
      <c r="B39" s="5" t="s">
        <v>84</v>
      </c>
      <c r="C39" s="5" t="s">
        <v>332</v>
      </c>
      <c r="D39" s="6" t="s">
        <v>643</v>
      </c>
      <c r="E39" s="10" t="s">
        <v>620</v>
      </c>
      <c r="F39" s="6" t="s">
        <v>624</v>
      </c>
      <c r="G39" s="10" t="s">
        <v>622</v>
      </c>
    </row>
    <row r="40" spans="1:8">
      <c r="B40" s="5"/>
      <c r="C40" s="5" t="s">
        <v>597</v>
      </c>
      <c r="D40" s="6" t="s">
        <v>644</v>
      </c>
      <c r="E40" s="10" t="s">
        <v>620</v>
      </c>
      <c r="F40" s="6" t="s">
        <v>624</v>
      </c>
      <c r="G40" s="10" t="s">
        <v>622</v>
      </c>
    </row>
    <row r="41" spans="1:8">
      <c r="B41" s="5"/>
      <c r="C41" s="5" t="s">
        <v>625</v>
      </c>
      <c r="D41" s="6" t="s">
        <v>645</v>
      </c>
      <c r="E41" s="6" t="s">
        <v>627</v>
      </c>
      <c r="F41" s="6" t="s">
        <v>628</v>
      </c>
      <c r="G41" s="6" t="s">
        <v>629</v>
      </c>
    </row>
    <row r="42" spans="1:8">
      <c r="B42" s="5"/>
      <c r="C42" s="5" t="s">
        <v>630</v>
      </c>
      <c r="D42" s="6" t="s">
        <v>646</v>
      </c>
      <c r="E42" s="13">
        <v>30</v>
      </c>
      <c r="F42" s="6" t="s">
        <v>624</v>
      </c>
      <c r="G42" s="6" t="s">
        <v>629</v>
      </c>
    </row>
    <row r="43" spans="1:8">
      <c r="B43" s="5"/>
      <c r="C43" s="5" t="s">
        <v>647</v>
      </c>
      <c r="D43" s="6" t="s">
        <v>648</v>
      </c>
      <c r="E43" s="10" t="s">
        <v>620</v>
      </c>
      <c r="F43" s="6" t="s">
        <v>621</v>
      </c>
      <c r="G43" s="10" t="s">
        <v>622</v>
      </c>
    </row>
    <row r="44" spans="1:8">
      <c r="B44" s="5"/>
      <c r="C44" s="5" t="s">
        <v>649</v>
      </c>
      <c r="D44" s="6" t="s">
        <v>650</v>
      </c>
      <c r="E44" s="10" t="s">
        <v>620</v>
      </c>
      <c r="F44" s="6" t="s">
        <v>621</v>
      </c>
      <c r="G44" s="10" t="s">
        <v>622</v>
      </c>
    </row>
    <row r="45" spans="1:8">
      <c r="B45" s="5"/>
      <c r="C45" s="5" t="s">
        <v>120</v>
      </c>
      <c r="D45" s="6" t="s">
        <v>123</v>
      </c>
      <c r="E45" s="10" t="s">
        <v>620</v>
      </c>
      <c r="F45" s="6" t="s">
        <v>621</v>
      </c>
      <c r="G45" s="10" t="s">
        <v>622</v>
      </c>
    </row>
    <row r="47" spans="1:8" ht="22" customHeight="1">
      <c r="A47" s="4" t="s">
        <v>651</v>
      </c>
      <c r="B47" s="4"/>
      <c r="C47" s="4"/>
      <c r="D47" s="4"/>
      <c r="E47" s="4"/>
      <c r="F47" s="4"/>
      <c r="G47" s="4"/>
      <c r="H47" s="4"/>
    </row>
    <row r="48" spans="1:8">
      <c r="A48" s="11"/>
      <c r="B48" s="11" t="s">
        <v>652</v>
      </c>
      <c r="C48" s="11" t="s">
        <v>653</v>
      </c>
      <c r="D48" s="11"/>
      <c r="E48" s="11"/>
      <c r="F48" s="11" t="s">
        <v>654</v>
      </c>
      <c r="G48" s="11"/>
      <c r="H48" s="11"/>
    </row>
    <row r="49" spans="1:8">
      <c r="B49" s="5" t="s">
        <v>655</v>
      </c>
      <c r="C49" s="6" t="s">
        <v>656</v>
      </c>
      <c r="D49" s="6"/>
      <c r="E49" s="6"/>
      <c r="F49" s="18" t="s">
        <v>657</v>
      </c>
      <c r="G49" s="18"/>
      <c r="H49" s="18"/>
    </row>
    <row r="50" spans="1:8">
      <c r="B50" s="5" t="s">
        <v>655</v>
      </c>
      <c r="C50" s="6" t="s">
        <v>658</v>
      </c>
      <c r="D50" s="6"/>
      <c r="E50" s="6"/>
      <c r="F50" s="18" t="s">
        <v>657</v>
      </c>
      <c r="G50" s="18"/>
      <c r="H50" s="18"/>
    </row>
    <row r="51" spans="1:8">
      <c r="B51" s="5" t="s">
        <v>655</v>
      </c>
      <c r="C51" s="6" t="s">
        <v>659</v>
      </c>
      <c r="D51" s="6"/>
      <c r="E51" s="6"/>
      <c r="F51" s="18" t="s">
        <v>660</v>
      </c>
      <c r="G51" s="18"/>
      <c r="H51" s="18"/>
    </row>
    <row r="52" spans="1:8">
      <c r="B52" s="5" t="s">
        <v>661</v>
      </c>
      <c r="C52" s="6" t="s">
        <v>662</v>
      </c>
      <c r="D52" s="6"/>
      <c r="E52" s="6"/>
      <c r="F52" s="32" t="s">
        <v>663</v>
      </c>
      <c r="G52" s="32"/>
      <c r="H52" s="32"/>
    </row>
    <row r="53" spans="1:8">
      <c r="B53" s="5" t="s">
        <v>664</v>
      </c>
      <c r="C53" s="6" t="s">
        <v>665</v>
      </c>
      <c r="D53" s="6"/>
      <c r="E53" s="6"/>
      <c r="F53" s="32" t="s">
        <v>666</v>
      </c>
      <c r="G53" s="32"/>
      <c r="H53" s="32"/>
    </row>
    <row r="54" spans="1:8">
      <c r="B54" s="5" t="s">
        <v>667</v>
      </c>
      <c r="C54" s="6" t="s">
        <v>668</v>
      </c>
      <c r="D54" s="6"/>
      <c r="E54" s="6"/>
      <c r="F54" s="32" t="s">
        <v>669</v>
      </c>
      <c r="G54" s="32"/>
      <c r="H54" s="32"/>
    </row>
    <row r="55" spans="1:8">
      <c r="B55" s="5" t="s">
        <v>670</v>
      </c>
      <c r="C55" s="6" t="s">
        <v>671</v>
      </c>
      <c r="D55" s="6"/>
      <c r="E55" s="6"/>
      <c r="F55" s="32" t="s">
        <v>672</v>
      </c>
      <c r="G55" s="32"/>
      <c r="H55" s="32"/>
    </row>
    <row r="56" spans="1:8">
      <c r="B56" s="5" t="s">
        <v>120</v>
      </c>
      <c r="C56" s="6" t="s">
        <v>673</v>
      </c>
      <c r="D56" s="6"/>
      <c r="E56" s="6"/>
      <c r="F56" s="32" t="s">
        <v>666</v>
      </c>
      <c r="G56" s="32"/>
      <c r="H56" s="32"/>
    </row>
    <row r="57" spans="1:8">
      <c r="B57" s="5" t="s">
        <v>235</v>
      </c>
      <c r="C57" s="6" t="s">
        <v>674</v>
      </c>
      <c r="D57" s="6"/>
      <c r="E57" s="6"/>
      <c r="F57" s="32" t="s">
        <v>675</v>
      </c>
      <c r="G57" s="32"/>
      <c r="H57" s="32"/>
    </row>
    <row r="58" spans="1:8">
      <c r="B58" s="5" t="s">
        <v>111</v>
      </c>
      <c r="C58" s="6" t="s">
        <v>676</v>
      </c>
      <c r="D58" s="6"/>
      <c r="E58" s="6"/>
      <c r="F58" s="32" t="s">
        <v>677</v>
      </c>
      <c r="G58" s="32"/>
      <c r="H58" s="32"/>
    </row>
    <row r="60" spans="1:8" ht="22" customHeight="1">
      <c r="A60" s="4" t="s">
        <v>678</v>
      </c>
      <c r="B60" s="4"/>
      <c r="C60" s="4"/>
      <c r="D60" s="4"/>
      <c r="E60" s="4"/>
      <c r="F60" s="4"/>
      <c r="G60" s="4"/>
      <c r="H60" s="4"/>
    </row>
    <row r="61" spans="1:8">
      <c r="B61" s="6" t="s">
        <v>679</v>
      </c>
      <c r="C61" s="6"/>
      <c r="D61" s="6"/>
      <c r="E61" s="6"/>
      <c r="F61" s="6"/>
      <c r="G61" s="6"/>
      <c r="H61" s="6"/>
    </row>
    <row r="62" spans="1:8">
      <c r="B62" s="6" t="s">
        <v>680</v>
      </c>
      <c r="C62" s="6"/>
      <c r="D62" s="6"/>
      <c r="E62" s="6"/>
      <c r="F62" s="6"/>
      <c r="G62" s="6"/>
      <c r="H62" s="6"/>
    </row>
    <row r="63" spans="1:8">
      <c r="B63" s="6" t="s">
        <v>681</v>
      </c>
      <c r="C63" s="6"/>
      <c r="D63" s="6"/>
      <c r="E63" s="6"/>
      <c r="F63" s="6"/>
      <c r="G63" s="6"/>
      <c r="H63" s="6"/>
    </row>
    <row r="64" spans="1:8">
      <c r="B64" s="6" t="s">
        <v>682</v>
      </c>
      <c r="C64" s="6"/>
      <c r="D64" s="6"/>
      <c r="E64" s="6"/>
      <c r="F64" s="6"/>
      <c r="G64" s="6"/>
      <c r="H64" s="6"/>
    </row>
    <row r="65" spans="2:8">
      <c r="B65" s="6" t="s">
        <v>683</v>
      </c>
      <c r="C65" s="6"/>
      <c r="D65" s="6"/>
      <c r="E65" s="6"/>
      <c r="F65" s="6"/>
      <c r="G65" s="6"/>
      <c r="H65" s="6"/>
    </row>
    <row r="66" spans="2:8">
      <c r="B66" s="6" t="s">
        <v>684</v>
      </c>
      <c r="C66" s="6"/>
      <c r="D66" s="6"/>
      <c r="E66" s="6"/>
      <c r="F66" s="6"/>
      <c r="G66" s="6"/>
      <c r="H66" s="6"/>
    </row>
  </sheetData>
  <mergeCells count="36">
    <mergeCell ref="A1:H1"/>
    <mergeCell ref="A2:H2"/>
    <mergeCell ref="A3:H3"/>
    <mergeCell ref="A5:H5"/>
    <mergeCell ref="A24:H24"/>
    <mergeCell ref="B26:B31"/>
    <mergeCell ref="B32:B38"/>
    <mergeCell ref="B39:B45"/>
    <mergeCell ref="A47:H47"/>
    <mergeCell ref="C49:E49"/>
    <mergeCell ref="F49:H49"/>
    <mergeCell ref="C50:E50"/>
    <mergeCell ref="F50:H50"/>
    <mergeCell ref="C51:E51"/>
    <mergeCell ref="F51:H51"/>
    <mergeCell ref="C52:E52"/>
    <mergeCell ref="F52:H52"/>
    <mergeCell ref="C53:E53"/>
    <mergeCell ref="F53:H53"/>
    <mergeCell ref="C54:E54"/>
    <mergeCell ref="F54:H54"/>
    <mergeCell ref="C55:E55"/>
    <mergeCell ref="F55:H55"/>
    <mergeCell ref="C56:E56"/>
    <mergeCell ref="F56:H56"/>
    <mergeCell ref="C57:E57"/>
    <mergeCell ref="F57:H57"/>
    <mergeCell ref="C58:E58"/>
    <mergeCell ref="F58:H58"/>
    <mergeCell ref="A60:H60"/>
    <mergeCell ref="B61:H61"/>
    <mergeCell ref="B62:H62"/>
    <mergeCell ref="B63:H63"/>
    <mergeCell ref="B64:H64"/>
    <mergeCell ref="B65:H65"/>
    <mergeCell ref="B66:H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 封面与说明</vt:lpstr>
      <vt:lpstr>01 统一报价表</vt:lpstr>
      <vt:lpstr>02 原始数据</vt:lpstr>
      <vt:lpstr>03 标准化字段</vt:lpstr>
      <vt:lpstr>04 计算公式</vt:lpstr>
      <vt:lpstr>05 成本汇总</vt:lpstr>
      <vt:lpstr>06 参数与来源</vt:lpstr>
      <vt:lpstr>07 账期敏感性</vt:lpstr>
      <vt:lpstr>08 参数敏感性</vt:lpstr>
      <vt:lpstr>09 情景分析</vt:lpstr>
      <vt:lpstr>10 待确认事项</vt:lpstr>
    </vt:vector>
  </TitlesOfParts>
  <Company>模拟业务样例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乙二醇采购报价比较（模拟业务样例）</dc:title>
  <dc:subject>多供应商报价提取·口径统一·到厂成本计算</dc:subject>
  <dc:creator>内贸采购 · 比较几份采购报价 Skill</dc:creator>
  <dc:description>全部供应商、价格与条款均为虚构样例，不得用于真实采购决策。</dc:description>
  <cp:lastModifiedBy>内贸采购 · 比较几份采购报价 Skill</cp:lastModifiedBy>
  <dcterms:created xsi:type="dcterms:W3CDTF">2026-10-19T09:15:24Z</dcterms:created>
  <dcterms:modified xsi:type="dcterms:W3CDTF">2026-10-19T09:15:24Z</dcterms:modified>
</cp:coreProperties>
</file>
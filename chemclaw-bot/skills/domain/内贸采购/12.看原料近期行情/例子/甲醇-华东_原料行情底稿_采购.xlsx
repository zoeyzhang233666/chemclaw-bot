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结论" sheetId="1" state="visible" r:id="rId1"/>
    <sheet xmlns:r="http://schemas.openxmlformats.org/officeDocument/2006/relationships" name="01_现货报价明细" sheetId="2" state="visible" r:id="rId2"/>
    <sheet xmlns:r="http://schemas.openxmlformats.org/officeDocument/2006/relationships" name="02_报价序列与走势" sheetId="3" state="visible" r:id="rId3"/>
    <sheet xmlns:r="http://schemas.openxmlformats.org/officeDocument/2006/relationships" name="03_区间涨跌与分位" sheetId="4" state="visible" r:id="rId4"/>
    <sheet xmlns:r="http://schemas.openxmlformats.org/officeDocument/2006/relationships" name="04_区域价差" sheetId="5" state="visible" r:id="rId5"/>
    <sheet xmlns:r="http://schemas.openxmlformats.org/officeDocument/2006/relationships" name="05_上游成本拆解" sheetId="6" state="visible" r:id="rId6"/>
    <sheet xmlns:r="http://schemas.openxmlformats.org/officeDocument/2006/relationships" name="06_下游需求与开工" sheetId="7" state="visible" r:id="rId7"/>
    <sheet xmlns:r="http://schemas.openxmlformats.org/officeDocument/2006/relationships" name="07_供给库存与开工" sheetId="8" state="visible" r:id="rId8"/>
    <sheet xmlns:r="http://schemas.openxmlformats.org/officeDocument/2006/relationships" name="08_事件时间线" sheetId="9" state="visible" r:id="rId9"/>
    <sheet xmlns:r="http://schemas.openxmlformats.org/officeDocument/2006/relationships" name="09_可用事实与话术" sheetId="10" state="visible" r:id="rId10"/>
    <sheet xmlns:r="http://schemas.openxmlformats.org/officeDocument/2006/relationships" name="10_缺口与来源" sheetId="11" state="visible" r:id="rId11"/>
    <sheet xmlns:r="http://schemas.openxmlformats.org/officeDocument/2006/relationships" name="99_方法与字段口径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微软雅黑"/>
      <b val="1"/>
      <color rgb="001A2233"/>
      <sz val="16"/>
    </font>
    <font>
      <name val="微软雅黑"/>
      <color rgb="006B7A90"/>
      <sz val="9.5"/>
    </font>
    <font>
      <name val="微软雅黑"/>
      <b val="1"/>
      <color rgb="00FFFFFF"/>
      <sz val="11"/>
    </font>
    <font>
      <name val="微软雅黑"/>
      <color rgb="001A2233"/>
      <sz val="10"/>
    </font>
    <font>
      <name val="微软雅黑"/>
      <b val="1"/>
      <color rgb="00FFFFFF"/>
      <sz val="10"/>
    </font>
    <font>
      <name val="微软雅黑"/>
      <b val="1"/>
      <color rgb="001A2233"/>
      <sz val="10"/>
    </font>
    <font>
      <name val="Consolas"/>
      <b val="1"/>
      <color rgb="001A2233"/>
      <sz val="10.5"/>
    </font>
    <font>
      <name val="微软雅黑"/>
      <color rgb="006B7A90"/>
      <sz val="9"/>
    </font>
    <font>
      <name val="微软雅黑"/>
      <color rgb="00B23A48"/>
      <sz val="9.5"/>
    </font>
    <font>
      <name val="Consolas"/>
      <color rgb="001A2233"/>
      <sz val="10"/>
    </font>
    <font>
      <name val="微软雅黑"/>
      <color rgb="001F4E8C"/>
      <sz val="9"/>
      <u val="single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C8892B"/>
      </patternFill>
    </fill>
    <fill>
      <patternFill patternType="solid">
        <fgColor rgb="00FDF3DF"/>
      </patternFill>
    </fill>
    <fill>
      <patternFill patternType="solid">
        <fgColor rgb="001F3A5F"/>
      </patternFill>
    </fill>
    <fill>
      <patternFill patternType="solid">
        <fgColor rgb="00E8F5EF"/>
      </patternFill>
    </fill>
    <fill>
      <patternFill patternType="solid">
        <fgColor rgb="00F4F6F9"/>
      </patternFill>
    </fill>
    <fill>
      <patternFill patternType="solid">
        <fgColor rgb="00FCEDEF"/>
      </patternFill>
    </fill>
    <fill>
      <patternFill patternType="solid">
        <fgColor rgb="00B23A48"/>
      </patternFill>
    </fill>
    <fill>
      <patternFill patternType="solid">
        <fgColor rgb="002A4A72"/>
      </patternFill>
    </fill>
    <fill>
      <patternFill patternType="solid">
        <fgColor rgb="001E7A54"/>
      </patternFill>
    </fill>
  </fills>
  <borders count="5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  <border>
      <left style="thin">
        <color rgb="00D8DEE8"/>
      </left>
      <right/>
      <top/>
      <bottom/>
      <diagonal/>
    </border>
    <border>
      <left style="thin">
        <color rgb="00D8DEE8"/>
      </left>
      <right style="thin">
        <color rgb="00D8DEE8"/>
      </right>
      <top/>
      <bottom/>
      <diagonal/>
    </border>
    <border>
      <left style="thin">
        <color rgb="00D8DEE8"/>
      </left>
      <right style="thin">
        <color rgb="00D8DEE8"/>
      </right>
      <top/>
      <bottom style="thin">
        <color rgb="00D8DEE8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4" fontId="7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0" fontId="3" fillId="5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4" fontId="7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4" fontId="7" fillId="7" borderId="1" applyAlignment="1" pivotButton="0" quotePrefix="0" xfId="0">
      <alignment horizontal="right" vertical="center"/>
    </xf>
    <xf numFmtId="4" fontId="10" fillId="7" borderId="1" applyAlignment="1" pivotButton="0" quotePrefix="0" xfId="0">
      <alignment horizontal="right" vertical="center"/>
    </xf>
    <xf numFmtId="0" fontId="3" fillId="10" borderId="0" applyAlignment="1" pivotButton="0" quotePrefix="0" xfId="0">
      <alignment horizontal="left" vertical="center" indent="1"/>
    </xf>
    <xf numFmtId="4" fontId="10" fillId="6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4" fontId="10" fillId="8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9" fontId="10" fillId="0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" fontId="8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indent="1"/>
    </xf>
    <xf numFmtId="4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华东太仓 报价中值走势（真实报价点）</a:t>
            </a:r>
          </a:p>
        </rich>
      </tx>
    </title>
    <plotArea>
      <lineChart>
        <grouping val="standard"/>
        <ser>
          <idx val="0"/>
          <order val="0"/>
          <tx>
            <strRef>
              <f>'02_报价序列与走势'!D5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'02_报价序列与走势'!$A$6:$A$14</f>
            </numRef>
          </cat>
          <val>
            <numRef>
              <f>'02_报价序列与走势'!$D$6:$D$14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太仓 vs 内蒙北线（同期口径）</a:t>
            </a:r>
          </a:p>
        </rich>
      </tx>
    </title>
    <plotArea>
      <lineChart>
        <grouping val="standard"/>
        <ser>
          <idx val="0"/>
          <order val="0"/>
          <tx>
            <strRef>
              <f>'04_区域价差'!B15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'04_区域价差'!$A$16:$A$19</f>
            </numRef>
          </cat>
          <val>
            <numRef>
              <f>'04_区域价差'!$B$16:$B$19</f>
            </numRef>
          </val>
        </ser>
        <ser>
          <idx val="1"/>
          <order val="1"/>
          <tx>
            <strRef>
              <f>'04_区域价差'!C15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'04_区域价差'!$A$16:$A$19</f>
            </numRef>
          </cat>
          <val>
            <numRef>
              <f>'04_区域价差'!$C$16:$C$19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15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sina.com.cn/money/future/roll/2026-10-16/doc-inivmvku1480492.shtml" TargetMode="External" Id="rId1"/><Relationship Type="http://schemas.openxmlformats.org/officeDocument/2006/relationships/hyperlink" Target="https://futures.eastmoney.com/a/202610133894217262.html" TargetMode="External" Id="rId2"/><Relationship Type="http://schemas.openxmlformats.org/officeDocument/2006/relationships/hyperlink" Target="https://futures.eastmoney.com/a/202610193899894216.html" TargetMode="External" Id="rId3"/><Relationship Type="http://schemas.openxmlformats.org/officeDocument/2006/relationships/hyperlink" Target="https://finance.sina.com.cn/money/future/roll/2026-10-17/doc-inivnvku1480492.shtml" TargetMode="External" Id="rId4"/><Relationship Type="http://schemas.openxmlformats.org/officeDocument/2006/relationships/hyperlink" Target="https://futures.eastmoney.com/a/202610163897602458.html" TargetMode="External" Id="rId5"/><Relationship Type="http://schemas.openxmlformats.org/officeDocument/2006/relationships/hyperlink" Target="https://futures.eastmoney.com/a/202610183899144834.html" TargetMode="External" Id="rId6"/><Relationship Type="http://schemas.openxmlformats.org/officeDocument/2006/relationships/hyperlink" Target="https://www.100ppi.com/rawmex/detail-817.html" TargetMode="External" Id="rId7"/><Relationship Type="http://schemas.openxmlformats.org/officeDocument/2006/relationships/hyperlink" Target="https://finance.eastmoney.com/a/202610193899221638.html" TargetMode="External" Id="rId8"/><Relationship Type="http://schemas.openxmlformats.org/officeDocument/2006/relationships/hyperlink" Target="https://finance.eastmoney.com/a/202610153896135534.html" TargetMode="External" Id="rId9"/><Relationship Type="http://schemas.openxmlformats.org/officeDocument/2006/relationships/hyperlink" Target="https://finance.eastmoney.com/a/202610163898377537.html" TargetMode="External" Id="rId10"/><Relationship Type="http://schemas.openxmlformats.org/officeDocument/2006/relationships/hyperlink" Target="https://finance.eastmoney.com/a/202610173899044468.html" TargetMode="External" Id="rId11"/><Relationship Type="http://schemas.openxmlformats.org/officeDocument/2006/relationships/hyperlink" Target="https://finance.eastmoney.com/a/202610193899244964.html" TargetMode="External" Id="rId12"/><Relationship Type="http://schemas.openxmlformats.org/officeDocument/2006/relationships/hyperlink" Target="https://futures.eastmoney.com/a/202610083889325610.html" TargetMode="External" Id="rId13"/><Relationship Type="http://schemas.openxmlformats.org/officeDocument/2006/relationships/hyperlink" Target="https://futures.eastmoney.com/a/202610083889073846.html" TargetMode="External" Id="rId14"/><Relationship Type="http://schemas.openxmlformats.org/officeDocument/2006/relationships/hyperlink" Target="https://futures.eastmoney.com/a/202610133893421022.html" TargetMode="External" Id="rId15"/><Relationship Type="http://schemas.openxmlformats.org/officeDocument/2006/relationships/hyperlink" Target="https://stock.finance.sina.com.cn/futures/api/jsonp.php/var%20t=/InnerFuturesNewService.getDailyKLine?symbol=MA0" TargetMode="External" Id="rId16"/></Relationships>
</file>

<file path=xl/worksheets/sheet1.xml><?xml version="1.0" encoding="utf-8"?>
<worksheet xmlns="http://schemas.openxmlformats.org/spreadsheetml/2006/main">
  <sheetPr>
    <tabColor rgb="00C8892B"/>
    <outlinePr summaryBelow="1" summaryRight="1"/>
    <pageSetUpPr fitToPage="1"/>
  </sheetPr>
  <dimension ref="A1:F3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12" customWidth="1" min="4" max="4"/>
    <col width="40" customWidth="1" min="5" max="5"/>
    <col width="26" customWidth="1" min="6" max="6"/>
  </cols>
  <sheetData>
    <row r="1" ht="40" customHeight="1">
      <c r="A1" s="1" t="inlineStr">
        <is>
          <t>甲醇 · 原料行情底稿（采购）</t>
        </is>
      </c>
    </row>
    <row r="2" ht="32" customHeight="1">
      <c r="A2" s="2" t="inlineStr">
        <is>
          <t>品种：甲醇 ｜ 规格：国标优等品 ≥99.9%（GB/T 338）；进口/华东罐区货与国产煤制甲醇分列 ｜ 采购点：华东（太仓、常州、张家港罐区为主，对接浙江/苏南 MTO 与传统下游） ｜ 数据截至 2026-10-19 ｜ 只陈述已发生事实，不预测价格</t>
        </is>
      </c>
    </row>
    <row r="4" ht="26" customHeight="1">
      <c r="A4" s="3" t="inlineStr">
        <is>
          <t>一句话结论（只描述现状，不含判断）</t>
        </is>
      </c>
    </row>
    <row r="5" ht="46" customHeight="1">
      <c r="A5" s="4" t="inlineStr">
        <is>
          <t>当前价 华东太仓 甲醇罐区主流价（期货公司日报口径） 3,983 元/吨（2026-10-16，含税现汇 · 罐区自提/库提）；近 90 天样本 8 个报价点，区间 3,650–4,940、当前处 50% 分位；30 天 +4.5%（2026-09-16→2026-10-16，中间 7 个报价点）；同期 常州 较 华东太仓 -245 元/吨。</t>
        </is>
      </c>
    </row>
    <row r="7" ht="32" customHeight="1">
      <c r="A7" s="5" t="inlineStr">
        <is>
          <t>指标</t>
        </is>
      </c>
      <c r="B7" s="5" t="inlineStr">
        <is>
          <t>数值</t>
        </is>
      </c>
      <c r="C7" s="5" t="inlineStr">
        <is>
          <t>口径 / 日期</t>
        </is>
      </c>
      <c r="D7" s="5" t="inlineStr">
        <is>
          <t>标记</t>
        </is>
      </c>
      <c r="E7" s="5" t="inlineStr">
        <is>
          <t>来源</t>
        </is>
      </c>
      <c r="F7" s="5" t="inlineStr">
        <is>
          <t>备注</t>
        </is>
      </c>
    </row>
    <row r="8" ht="90" customHeight="1">
      <c r="A8" s="6" t="inlineStr">
        <is>
          <t>当前价（锚）</t>
        </is>
      </c>
      <c r="B8" s="7" t="n">
        <v>3983</v>
      </c>
      <c r="C8" s="8" t="inlineStr">
        <is>
          <t>2026-10-16 · 含税 · 含税现汇 · 罐区自提/库提 · 3,983 元/吨</t>
        </is>
      </c>
      <c r="D8" s="9" t="inlineStr">
        <is>
          <t>可引用</t>
        </is>
      </c>
      <c r="E8" s="8" t="inlineStr">
        <is>
          <t>华泰期货《甲醇港口基差再度反弹》2026-10-16（隆众数据）；东方财富期货早餐 2026-10-19 转引隆众</t>
        </is>
      </c>
      <c r="F8" s="10" t="inlineStr">
        <is>
          <t>10-16 同日的另一口径为隆众「太仓现货价格 3960（-23）」与 Mysteel 转述隆众成交区间 3890–4030，故 range 取 3890–4030；10-19 当日罐区区间价未取得，标缺口。</t>
        </is>
      </c>
    </row>
    <row r="9" ht="16" customHeight="1">
      <c r="A9" s="11" t="inlineStr">
        <is>
          <t>近 90 天位置</t>
        </is>
      </c>
      <c r="B9" s="12" t="inlineStr">
        <is>
          <t>缺口</t>
        </is>
      </c>
      <c r="C9" s="13" t="inlineStr">
        <is>
          <t>该采购点报价点 &lt; 3</t>
        </is>
      </c>
      <c r="D9" s="14" t="inlineStr">
        <is>
          <t>缺口</t>
        </is>
      </c>
      <c r="E9" s="13" t="inlineStr">
        <is>
          <t>—</t>
        </is>
      </c>
      <c r="F9" s="15" t="inlineStr">
        <is>
          <t>见 03 表</t>
        </is>
      </c>
    </row>
    <row r="10" ht="16" customHeight="1">
      <c r="A10" s="6" t="inlineStr">
        <is>
          <t>近 7 天变动</t>
        </is>
      </c>
      <c r="B10" s="7" t="inlineStr">
        <is>
          <t>-18.85%</t>
        </is>
      </c>
      <c r="C10" s="8" t="inlineStr">
        <is>
          <t>对比 2026-10-09（4,880）</t>
        </is>
      </c>
      <c r="D10" s="9" t="inlineStr">
        <is>
          <t>可引用</t>
        </is>
      </c>
      <c r="E10" s="8" t="inlineStr">
        <is>
          <t>自算（真实报价点 5 个）</t>
        </is>
      </c>
      <c r="F10" s="10" t="inlineStr">
        <is>
          <t>-920.0 元/吨 · 实际 7 天</t>
        </is>
      </c>
    </row>
    <row r="11" ht="16" customHeight="1">
      <c r="A11" s="11" t="inlineStr">
        <is>
          <t>近 30 天变动</t>
        </is>
      </c>
      <c r="B11" s="12" t="inlineStr">
        <is>
          <t>+4.49%</t>
        </is>
      </c>
      <c r="C11" s="13" t="inlineStr">
        <is>
          <t>对比 2026-09-16（3,790）</t>
        </is>
      </c>
      <c r="D11" s="9" t="inlineStr">
        <is>
          <t>可引用</t>
        </is>
      </c>
      <c r="E11" s="13" t="inlineStr">
        <is>
          <t>自算（真实报价点 7 个）</t>
        </is>
      </c>
      <c r="F11" s="15" t="inlineStr">
        <is>
          <t>+170.0 元/吨 · 实际 30 天</t>
        </is>
      </c>
    </row>
    <row r="12" ht="30" customHeight="1">
      <c r="A12" s="6" t="inlineStr">
        <is>
          <t>近 90 天变动</t>
        </is>
      </c>
      <c r="B12" s="7" t="inlineStr">
        <is>
          <t>+47.21%</t>
        </is>
      </c>
      <c r="C12" s="8" t="inlineStr">
        <is>
          <t>对比 2026-07-16（2,690）</t>
        </is>
      </c>
      <c r="D12" s="9" t="inlineStr">
        <is>
          <t>可引用</t>
        </is>
      </c>
      <c r="E12" s="8" t="inlineStr">
        <is>
          <t>自算（真实报价点 8 个）</t>
        </is>
      </c>
      <c r="F12" s="10" t="inlineStr">
        <is>
          <t>+1270.0 元/吨 · 实际 92 天</t>
        </is>
      </c>
    </row>
    <row r="13" ht="45" customHeight="1">
      <c r="A13" s="11" t="inlineStr">
        <is>
          <t>库存可支撑</t>
        </is>
      </c>
      <c r="B13" s="12" t="inlineStr">
        <is>
          <t>12 天</t>
        </is>
      </c>
      <c r="C13" s="13" t="inlineStr">
        <is>
          <t>至 2026-10-28（按锚价日推算）</t>
        </is>
      </c>
      <c r="D13" s="11" t="inlineStr">
        <is>
          <t>假设值</t>
        </is>
      </c>
      <c r="E13" s="13" t="inlineStr">
        <is>
          <t>procurement.inventory_days</t>
        </is>
      </c>
      <c r="F13" s="15" t="inlineStr">
        <is>
          <t>按月度用量 3,000 测算，价格每变动 100 元/吨，月度采购额变动 300,000。</t>
        </is>
      </c>
    </row>
    <row r="14" ht="30" customHeight="1">
      <c r="A14" s="6" t="inlineStr">
        <is>
          <t>同期价差</t>
        </is>
      </c>
      <c r="B14" s="7" t="inlineStr">
        <is>
          <t>-245 元/吨</t>
        </is>
      </c>
      <c r="C14" s="8" t="inlineStr">
        <is>
          <t>常州 vs 华东太仓（2026-10-16）</t>
        </is>
      </c>
      <c r="D14" s="9" t="inlineStr">
        <is>
          <t>可引用</t>
        </is>
      </c>
      <c r="E14" s="8" t="inlineStr">
        <is>
          <t>华泰期货 2026-10-16（隆众数据）</t>
        </is>
      </c>
      <c r="F14" s="10" t="inlineStr">
        <is>
          <t>含运费与提货方式差异，不等于纯地区溢价</t>
        </is>
      </c>
    </row>
    <row r="15" ht="60" customHeight="1">
      <c r="A15" s="11" t="inlineStr">
        <is>
          <t>成本参考</t>
        </is>
      </c>
      <c r="B15" s="12" t="inlineStr">
        <is>
          <t>2,638 元/吨</t>
        </is>
      </c>
      <c r="C15" s="13" t="inlineStr">
        <is>
          <t>2026-10-08 · 内蒙煤制完全成本（含税到厂口径，按企业披露成本折算）</t>
        </is>
      </c>
      <c r="D15" s="11" t="inlineStr">
        <is>
          <t>派生值</t>
        </is>
      </c>
      <c r="E15" s="13" t="inlineStr">
        <is>
          <t>创元期货 10 月甲醇月报（2026-10-12）</t>
        </is>
      </c>
      <c r="F15" s="15" t="inlineStr">
        <is>
          <t>创元期货：内蒙煤制甲醇完全成本 2638 元/吨、利润 1288 元/吨，对应 10-08 内蒙价格反推，属派生值。</t>
        </is>
      </c>
    </row>
    <row r="16" ht="45" customHeight="1">
      <c r="A16" s="6" t="inlineStr">
        <is>
          <t>最大缺口</t>
        </is>
      </c>
      <c r="B16" s="7" t="inlineStr">
        <is>
          <t>10-19 当日华东罐区区间价</t>
        </is>
      </c>
      <c r="C16" s="8" t="inlineStr">
        <is>
          <t>缺口</t>
        </is>
      </c>
      <c r="D16" s="14" t="inlineStr">
        <is>
          <t>缺口</t>
        </is>
      </c>
      <c r="E16" s="8" t="inlineStr">
        <is>
          <t>—</t>
        </is>
      </c>
      <c r="F16" s="10" t="inlineStr">
        <is>
          <t>锚价只能用 10-16 的 3890–4030；若当日市价已明显变动，首屏会滞后。</t>
        </is>
      </c>
    </row>
    <row r="18" ht="26" customHeight="1">
      <c r="A18" s="16" t="inlineStr">
        <is>
          <t>⚠ 使用前必读（口径提醒）</t>
        </is>
      </c>
    </row>
    <row r="19" ht="18" customHeight="1">
      <c r="A19" s="17" t="inlineStr">
        <is>
          <t>· 现货是含税罐区价，期货是不含税主连价；两者相减得到的是“基差”，不是价格差，且基差随交割月与地区升贴水变动。</t>
        </is>
      </c>
    </row>
    <row r="20" ht="18" customHeight="1">
      <c r="A20" s="17" t="inlineStr">
        <is>
          <t>· “隆众港口总库存”与“金联创华东+华南社会库存”样本不同，数值不可相加、不可互相替代。</t>
        </is>
      </c>
    </row>
    <row r="21" ht="18" customHeight="1">
      <c r="A21" s="17" t="inlineStr">
        <is>
          <t>· 厂商挂牌价（如山东明泉 3450）是报价，不代表成交；竞拍成交价（兖矿国宏 3230）才是可验证成交。</t>
        </is>
      </c>
    </row>
    <row r="22" ht="18" customHeight="1">
      <c r="A22" s="17" t="inlineStr">
        <is>
          <t>· 生意社基准价是“结算参考价”，由模型算出，含 K、C 调整系数，与罐区成交价不是同一口径。</t>
        </is>
      </c>
    </row>
    <row r="23" ht="18" customHeight="1">
      <c r="A23" s="17" t="inlineStr">
        <is>
          <t>· 内蒙北线与太仓的价差包含运费、仓储与升贴水，不能直接当作“地区溢价”。</t>
        </is>
      </c>
    </row>
    <row r="24" ht="18" customHeight="1">
      <c r="A24" s="17" t="inlineStr">
        <is>
          <t>· 成本线中的“内蒙煤制完全成本 2638”是机构披露值，单耗 1.55 吨煤/吨甲醇是公开工艺参数，两者不是同一来源，不可混算。</t>
        </is>
      </c>
    </row>
    <row r="25" ht="18" customHeight="1">
      <c r="A25" s="17" t="inlineStr">
        <is>
          <t>· 货值波动测算按月度用量 3000 吨的示例假设，非企业实际采购量。</t>
        </is>
      </c>
    </row>
    <row r="26" ht="30" customHeight="1">
      <c r="A26" s="17" t="inlineStr">
        <is>
          <t>· 产业链自证中有 2 条未通过（内蒙北线（产区）→华东太仓（销区）、CFR 中国（伊朗/中东货源）→华东罐区进口货），报告中已标红；这些环节的数字不要对外引用。</t>
        </is>
      </c>
    </row>
    <row r="27" ht="18" customHeight="1">
      <c r="A27" s="17" t="inlineStr">
        <is>
          <t>· 有 2 条消息只有“传闻/待确认”，未进入时间线，单列在“未采纳消息”里。</t>
        </is>
      </c>
    </row>
    <row r="29" ht="26" customHeight="1">
      <c r="A29" s="18" t="inlineStr">
        <is>
          <t>本工作簿阅读顺序</t>
        </is>
      </c>
    </row>
    <row r="30" ht="18" customHeight="1">
      <c r="A30" s="19" t="inlineStr">
        <is>
          <t>01→03：先看价在哪、怎么走、现在处什么位置（采购第一问）</t>
        </is>
      </c>
    </row>
    <row r="31" ht="18" customHeight="1">
      <c r="A31" s="19" t="inlineStr">
        <is>
          <t>04→05：再看为什么——上游成本与下游需求，各自带工艺路线依据</t>
        </is>
      </c>
    </row>
    <row r="32" ht="18" customHeight="1">
      <c r="A32" s="19" t="inlineStr">
        <is>
          <t>06→08：谁在检修/复产/投产、库存与开工怎么变、哪些事件与价格变化同期</t>
        </is>
      </c>
    </row>
    <row r="33" ht="18" customHeight="1">
      <c r="A33" s="19" t="inlineStr">
        <is>
          <t>09→10：可以对外说的话（只含事实）、以及这份底稿还缺什么</t>
        </is>
      </c>
    </row>
  </sheetData>
  <mergeCells count="19">
    <mergeCell ref="A27:F27"/>
    <mergeCell ref="A18:F18"/>
    <mergeCell ref="A26:F26"/>
    <mergeCell ref="A21:F21"/>
    <mergeCell ref="A2:F2"/>
    <mergeCell ref="A33:F33"/>
    <mergeCell ref="A5:F5"/>
    <mergeCell ref="A23:F23"/>
    <mergeCell ref="A32:F32"/>
    <mergeCell ref="A22:F22"/>
    <mergeCell ref="A4:F4"/>
    <mergeCell ref="A20:F20"/>
    <mergeCell ref="A29:F29"/>
    <mergeCell ref="A19:F19"/>
    <mergeCell ref="A31:F31"/>
    <mergeCell ref="A30:F30"/>
    <mergeCell ref="A24:F24"/>
    <mergeCell ref="A1:F1"/>
    <mergeCell ref="A25:F25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00C8892B"/>
    <outlinePr summaryBelow="1" summaryRight="1"/>
    <pageSetUpPr fitToPage="1"/>
  </sheetPr>
  <dimension ref="A1:O2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26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12" customWidth="1" min="12" max="12"/>
    <col width="8" customWidth="1" min="13" max="13"/>
    <col width="40" customWidth="1" min="14" max="14"/>
    <col width="40" customWidth="1" min="15" max="15"/>
  </cols>
  <sheetData>
    <row r="1" ht="36" customHeight="1">
      <c r="A1" s="1" t="inlineStr">
        <is>
          <t>01 · 现货报价明细（六项口径逐条）</t>
        </is>
      </c>
    </row>
    <row r="2" ht="32" customHeight="1">
      <c r="A2" s="2" t="inlineStr">
        <is>
          <t>每条必须回答：哪个点、什么规格、多少钱、含不含税、怎么提货、哪天、谁说的。缺一项即不可比。单位 元/吨</t>
        </is>
      </c>
    </row>
    <row r="4" ht="44" customHeight="1">
      <c r="A4" s="5" t="inlineStr">
        <is>
          <t>采购点</t>
        </is>
      </c>
      <c r="B4" s="5" t="inlineStr">
        <is>
          <t>所属区域</t>
        </is>
      </c>
      <c r="C4" s="5" t="inlineStr">
        <is>
          <t>层级</t>
        </is>
      </c>
      <c r="D4" s="5" t="inlineStr">
        <is>
          <t>规格 / 执行标准</t>
        </is>
      </c>
      <c r="E4" s="5" t="inlineStr">
        <is>
          <t>报价类型</t>
        </is>
      </c>
      <c r="F4" s="5" t="inlineStr">
        <is>
          <t>低</t>
        </is>
      </c>
      <c r="G4" s="5" t="inlineStr">
        <is>
          <t>高</t>
        </is>
      </c>
      <c r="H4" s="5" t="inlineStr">
        <is>
          <t>中值</t>
        </is>
      </c>
      <c r="I4" s="5" t="inlineStr">
        <is>
          <t>单位</t>
        </is>
      </c>
      <c r="J4" s="5" t="inlineStr">
        <is>
          <t>含税</t>
        </is>
      </c>
      <c r="K4" s="5" t="inlineStr">
        <is>
          <t>提货方式</t>
        </is>
      </c>
      <c r="L4" s="5" t="inlineStr">
        <is>
          <t>数据日期</t>
        </is>
      </c>
      <c r="M4" s="5" t="inlineStr">
        <is>
          <t>可信度</t>
        </is>
      </c>
      <c r="N4" s="5" t="inlineStr">
        <is>
          <t>备注</t>
        </is>
      </c>
      <c r="O4" s="5" t="inlineStr">
        <is>
          <t>来源</t>
        </is>
      </c>
    </row>
    <row r="5" ht="30" customHeight="1">
      <c r="A5" s="6" t="inlineStr">
        <is>
          <t>江苏徐州（生意社基准价）</t>
        </is>
      </c>
      <c r="B5" s="20" t="inlineStr">
        <is>
          <t>华东·江苏</t>
        </is>
      </c>
      <c r="C5" s="21" t="inlineStr">
        <is>
          <t>指数</t>
        </is>
      </c>
      <c r="D5" s="8" t="inlineStr">
        <is>
          <t>甲醇 合格品（基准规格）</t>
        </is>
      </c>
      <c r="E5" s="10" t="inlineStr">
        <is>
          <t>基准价</t>
        </is>
      </c>
      <c r="F5" s="22" t="n">
        <v>3966.67</v>
      </c>
      <c r="G5" s="23" t="n"/>
      <c r="H5" s="23" t="n">
        <v>3966.7</v>
      </c>
      <c r="I5" s="21" t="inlineStr">
        <is>
          <t>元/吨</t>
        </is>
      </c>
      <c r="J5" s="20" t="inlineStr">
        <is>
          <t>含税</t>
        </is>
      </c>
      <c r="K5" s="8" t="inlineStr">
        <is>
          <t>生意社价格（结算参考价）</t>
        </is>
      </c>
      <c r="L5" s="20" t="inlineStr">
        <is>
          <t>2026-10-19</t>
        </is>
      </c>
      <c r="M5" s="20" t="inlineStr">
        <is>
          <t>中</t>
        </is>
      </c>
      <c r="N5" s="10" t="inlineStr">
        <is>
          <t>10-19 16:00 更新，环比 10-16 持平；同日山东国产 3386.67、太仓进口 3966.67。</t>
        </is>
      </c>
      <c r="O5" s="10" t="inlineStr">
        <is>
          <t>生意社《甲醇基准价》详情页 2026-10-19</t>
        </is>
      </c>
    </row>
    <row r="6" ht="30" customHeight="1">
      <c r="A6" s="11" t="inlineStr">
        <is>
          <t>山东联盟（出厂）</t>
        </is>
      </c>
      <c r="B6" s="24" t="inlineStr">
        <is>
          <t>华东·山东</t>
        </is>
      </c>
      <c r="C6" s="25" t="inlineStr">
        <is>
          <t>厂商</t>
        </is>
      </c>
      <c r="D6" s="13" t="inlineStr">
        <is>
          <t>甲醇 国标优等品</t>
        </is>
      </c>
      <c r="E6" s="15" t="inlineStr">
        <is>
          <t>厂商报价</t>
        </is>
      </c>
      <c r="F6" s="26" t="n">
        <v>3480</v>
      </c>
      <c r="G6" s="27" t="n">
        <v>3500</v>
      </c>
      <c r="H6" s="27" t="n">
        <v>3490</v>
      </c>
      <c r="I6" s="25" t="inlineStr">
        <is>
          <t>元/吨</t>
        </is>
      </c>
      <c r="J6" s="24" t="inlineStr">
        <is>
          <t>含税</t>
        </is>
      </c>
      <c r="K6" s="13" t="inlineStr">
        <is>
          <t>现汇厂提（终端 3480 / 贸易商 3500）</t>
        </is>
      </c>
      <c r="L6" s="24" t="inlineStr">
        <is>
          <t>2026-10-19</t>
        </is>
      </c>
      <c r="M6" s="24" t="inlineStr">
        <is>
          <t>高</t>
        </is>
      </c>
      <c r="N6" s="15" t="inlineStr">
        <is>
          <t>当日下调 70；25 万吨/年装置正常运行。厂商报价是“挂牌/可谈价”，不等于成交。</t>
        </is>
      </c>
      <c r="O6" s="15" t="inlineStr">
        <is>
          <t>生意社商品情报 2026-10-19 13:54</t>
        </is>
      </c>
    </row>
    <row r="7" ht="30" customHeight="1">
      <c r="A7" s="6" t="inlineStr">
        <is>
          <t>山东明泉（出厂）</t>
        </is>
      </c>
      <c r="B7" s="20" t="inlineStr">
        <is>
          <t>华东·山东</t>
        </is>
      </c>
      <c r="C7" s="21" t="inlineStr">
        <is>
          <t>厂商</t>
        </is>
      </c>
      <c r="D7" s="8" t="inlineStr">
        <is>
          <t>甲醇 国标优等品</t>
        </is>
      </c>
      <c r="E7" s="10" t="inlineStr">
        <is>
          <t>厂商报价</t>
        </is>
      </c>
      <c r="F7" s="22" t="n">
        <v>3450</v>
      </c>
      <c r="G7" s="23" t="n"/>
      <c r="H7" s="23" t="n">
        <v>3450</v>
      </c>
      <c r="I7" s="21" t="inlineStr">
        <is>
          <t>元/吨</t>
        </is>
      </c>
      <c r="J7" s="20" t="inlineStr">
        <is>
          <t>含税</t>
        </is>
      </c>
      <c r="K7" s="8" t="inlineStr">
        <is>
          <t>现汇厂提</t>
        </is>
      </c>
      <c r="L7" s="20" t="inlineStr">
        <is>
          <t>2026-10-19</t>
        </is>
      </c>
      <c r="M7" s="20" t="inlineStr">
        <is>
          <t>高</t>
        </is>
      </c>
      <c r="N7" s="10" t="inlineStr">
        <is>
          <t>当日下调 100；60 万吨/年煤制装置正常运行。</t>
        </is>
      </c>
      <c r="O7" s="10" t="inlineStr">
        <is>
          <t>生意社商品情报 2026-10-19 13:55</t>
        </is>
      </c>
    </row>
    <row r="8" ht="45" customHeight="1">
      <c r="A8" s="11" t="inlineStr">
        <is>
          <t>兖矿国宏（竞拍成交）</t>
        </is>
      </c>
      <c r="B8" s="24" t="inlineStr">
        <is>
          <t>华东·山东</t>
        </is>
      </c>
      <c r="C8" s="25" t="inlineStr">
        <is>
          <t>厂商</t>
        </is>
      </c>
      <c r="D8" s="13" t="inlineStr">
        <is>
          <t>甲醇 国标优等品</t>
        </is>
      </c>
      <c r="E8" s="15" t="inlineStr">
        <is>
          <t>竞拍成交价</t>
        </is>
      </c>
      <c r="F8" s="26" t="n">
        <v>3230</v>
      </c>
      <c r="G8" s="27" t="n"/>
      <c r="H8" s="27" t="n">
        <v>3230</v>
      </c>
      <c r="I8" s="25" t="inlineStr">
        <is>
          <t>元/吨</t>
        </is>
      </c>
      <c r="J8" s="24" t="inlineStr">
        <is>
          <t>含税</t>
        </is>
      </c>
      <c r="K8" s="13" t="inlineStr">
        <is>
          <t>厂提现汇·竞拍成交</t>
        </is>
      </c>
      <c r="L8" s="24" t="inlineStr">
        <is>
          <t>2026-10-19</t>
        </is>
      </c>
      <c r="M8" s="24" t="inlineStr">
        <is>
          <t>高</t>
        </is>
      </c>
      <c r="N8" s="15" t="inlineStr">
        <is>
          <t>64 万吨/年煤制装置双炉运行；10-16 同口径成交 3330–3335。竞拍成交是唯一“真实成交”口径，优先用它校准挂牌价。</t>
        </is>
      </c>
      <c r="O8" s="15" t="inlineStr">
        <is>
          <t>生意社商品情报 2026-10-19 13:53</t>
        </is>
      </c>
    </row>
    <row r="9" ht="30" customHeight="1">
      <c r="A9" s="6" t="inlineStr">
        <is>
          <t>河南</t>
        </is>
      </c>
      <c r="B9" s="20" t="inlineStr">
        <is>
          <t>华中</t>
        </is>
      </c>
      <c r="C9" s="21" t="inlineStr">
        <is>
          <t>市场</t>
        </is>
      </c>
      <c r="D9" s="8" t="inlineStr">
        <is>
          <t>甲醇 国标优等品 ≥99.9%</t>
        </is>
      </c>
      <c r="E9" s="10" t="inlineStr">
        <is>
          <t>厂提出厂价</t>
        </is>
      </c>
      <c r="F9" s="22" t="n">
        <v>3285</v>
      </c>
      <c r="G9" s="23" t="n"/>
      <c r="H9" s="23" t="n">
        <v>3285</v>
      </c>
      <c r="I9" s="21" t="inlineStr">
        <is>
          <t>元/吨</t>
        </is>
      </c>
      <c r="J9" s="20" t="inlineStr">
        <is>
          <t>含税</t>
        </is>
      </c>
      <c r="K9" s="8" t="inlineStr">
        <is>
          <t>出厂现汇</t>
        </is>
      </c>
      <c r="L9" s="20" t="inlineStr">
        <is>
          <t>2026-10-16</t>
        </is>
      </c>
      <c r="M9" s="20" t="inlineStr">
        <is>
          <t>中</t>
        </is>
      </c>
      <c r="N9" s="10" t="inlineStr">
        <is>
          <t>期货合约已转为锚定河南仓单货（期货公司说法）。</t>
        </is>
      </c>
      <c r="O9" s="10" t="inlineStr">
        <is>
          <t>华泰期货 2026-10-16（隆众数据）</t>
        </is>
      </c>
    </row>
    <row r="10" ht="16" customHeight="1">
      <c r="A10" s="11" t="inlineStr">
        <is>
          <t>河北</t>
        </is>
      </c>
      <c r="B10" s="24" t="inlineStr">
        <is>
          <t>华北</t>
        </is>
      </c>
      <c r="C10" s="25" t="inlineStr">
        <is>
          <t>市场</t>
        </is>
      </c>
      <c r="D10" s="13" t="inlineStr">
        <is>
          <t>甲醇 国标优等品 ≥99.9%</t>
        </is>
      </c>
      <c r="E10" s="15" t="inlineStr">
        <is>
          <t>厂提出厂价</t>
        </is>
      </c>
      <c r="F10" s="26" t="n">
        <v>3350</v>
      </c>
      <c r="G10" s="27" t="n"/>
      <c r="H10" s="27" t="n">
        <v>3350</v>
      </c>
      <c r="I10" s="25" t="inlineStr">
        <is>
          <t>元/吨</t>
        </is>
      </c>
      <c r="J10" s="24" t="inlineStr">
        <is>
          <t>含税</t>
        </is>
      </c>
      <c r="K10" s="13" t="inlineStr">
        <is>
          <t>出厂现汇</t>
        </is>
      </c>
      <c r="L10" s="24" t="inlineStr">
        <is>
          <t>2026-10-16</t>
        </is>
      </c>
      <c r="M10" s="24" t="inlineStr">
        <is>
          <t>中</t>
        </is>
      </c>
      <c r="N10" s="15" t="inlineStr">
        <is>
          <t>较前一日 -25。</t>
        </is>
      </c>
      <c r="O10" s="15" t="inlineStr">
        <is>
          <t>华泰期货 2026-10-16（隆众数据）</t>
        </is>
      </c>
    </row>
    <row r="11" ht="30" customHeight="1">
      <c r="A11" s="6" t="inlineStr">
        <is>
          <t>江苏徐州（生意社基准价）</t>
        </is>
      </c>
      <c r="B11" s="20" t="inlineStr">
        <is>
          <t>华东·江苏</t>
        </is>
      </c>
      <c r="C11" s="21" t="inlineStr">
        <is>
          <t>指数</t>
        </is>
      </c>
      <c r="D11" s="8" t="inlineStr">
        <is>
          <t>甲醇 合格品（基准规格）</t>
        </is>
      </c>
      <c r="E11" s="10" t="inlineStr">
        <is>
          <t>基准价</t>
        </is>
      </c>
      <c r="F11" s="22" t="n">
        <v>3990</v>
      </c>
      <c r="G11" s="23" t="n"/>
      <c r="H11" s="23" t="n">
        <v>3990</v>
      </c>
      <c r="I11" s="21" t="inlineStr">
        <is>
          <t>元/吨</t>
        </is>
      </c>
      <c r="J11" s="20" t="inlineStr">
        <is>
          <t>含税</t>
        </is>
      </c>
      <c r="K11" s="8" t="inlineStr">
        <is>
          <t>生意社价格（结算参考价）</t>
        </is>
      </c>
      <c r="L11" s="20" t="inlineStr">
        <is>
          <t>2026-10-16</t>
        </is>
      </c>
      <c r="M11" s="20" t="inlineStr">
        <is>
          <t>中</t>
        </is>
      </c>
      <c r="N11" s="10" t="inlineStr">
        <is>
          <t>生意社明确为“交易指导价/结算价”口径，含 K、C 调整系数，不等于罐区成交价。</t>
        </is>
      </c>
      <c r="O11" s="10" t="inlineStr">
        <is>
          <t>生意社《甲醇基准价》商品情报 2026-10-16</t>
        </is>
      </c>
    </row>
    <row r="12" ht="30" customHeight="1">
      <c r="A12" s="11" t="inlineStr">
        <is>
          <t>广东</t>
        </is>
      </c>
      <c r="B12" s="24" t="inlineStr">
        <is>
          <t>华南</t>
        </is>
      </c>
      <c r="C12" s="25" t="inlineStr">
        <is>
          <t>市场</t>
        </is>
      </c>
      <c r="D12" s="13" t="inlineStr">
        <is>
          <t>甲醇 国标优等品 ≥99.9%</t>
        </is>
      </c>
      <c r="E12" s="15" t="inlineStr">
        <is>
          <t>罐区现货报价</t>
        </is>
      </c>
      <c r="F12" s="26" t="n">
        <v>3815</v>
      </c>
      <c r="G12" s="27" t="n"/>
      <c r="H12" s="27" t="n">
        <v>3815</v>
      </c>
      <c r="I12" s="25" t="inlineStr">
        <is>
          <t>元/吨</t>
        </is>
      </c>
      <c r="J12" s="24" t="inlineStr">
        <is>
          <t>含税</t>
        </is>
      </c>
      <c r="K12" s="13" t="inlineStr">
        <is>
          <t>含税现汇·库提</t>
        </is>
      </c>
      <c r="L12" s="24" t="inlineStr">
        <is>
          <t>2026-10-16</t>
        </is>
      </c>
      <c r="M12" s="24" t="inlineStr">
        <is>
          <t>中</t>
        </is>
      </c>
      <c r="N12" s="15" t="inlineStr">
        <is>
          <t>较前一日 -205；广东-华东价差 -348（-163）。</t>
        </is>
      </c>
      <c r="O12" s="15" t="inlineStr">
        <is>
          <t>华泰期货 2026-10-16（隆众数据）</t>
        </is>
      </c>
    </row>
    <row r="13" ht="16" customHeight="1">
      <c r="A13" s="6" t="inlineStr">
        <is>
          <t>常州</t>
        </is>
      </c>
      <c r="B13" s="20" t="inlineStr">
        <is>
          <t>华东·江苏</t>
        </is>
      </c>
      <c r="C13" s="21" t="inlineStr">
        <is>
          <t>市场</t>
        </is>
      </c>
      <c r="D13" s="8" t="inlineStr">
        <is>
          <t>甲醇 国标优等品 ≥99.9%</t>
        </is>
      </c>
      <c r="E13" s="10" t="inlineStr">
        <is>
          <t>罐区现货报价</t>
        </is>
      </c>
      <c r="F13" s="22" t="n">
        <v>3715</v>
      </c>
      <c r="G13" s="23" t="n"/>
      <c r="H13" s="23" t="n">
        <v>3715</v>
      </c>
      <c r="I13" s="21" t="inlineStr">
        <is>
          <t>元/吨</t>
        </is>
      </c>
      <c r="J13" s="20" t="inlineStr">
        <is>
          <t>含税</t>
        </is>
      </c>
      <c r="K13" s="8" t="inlineStr">
        <is>
          <t>含税现汇·库提</t>
        </is>
      </c>
      <c r="L13" s="20" t="inlineStr">
        <is>
          <t>2026-10-16</t>
        </is>
      </c>
      <c r="M13" s="20" t="inlineStr">
        <is>
          <t>中</t>
        </is>
      </c>
      <c r="N13" s="10" t="inlineStr">
        <is>
          <t>较太仓同日低 268，属换库/物流差异。</t>
        </is>
      </c>
      <c r="O13" s="10" t="inlineStr">
        <is>
          <t>华泰期货 2026-10-16（隆众数据）</t>
        </is>
      </c>
    </row>
    <row r="14" ht="16" customHeight="1">
      <c r="A14" s="11" t="inlineStr">
        <is>
          <t>山东临沂</t>
        </is>
      </c>
      <c r="B14" s="24" t="inlineStr">
        <is>
          <t>华东·山东</t>
        </is>
      </c>
      <c r="C14" s="25" t="inlineStr">
        <is>
          <t>市场</t>
        </is>
      </c>
      <c r="D14" s="13" t="inlineStr">
        <is>
          <t>甲醇 国标优等品 ≥99.9%</t>
        </is>
      </c>
      <c r="E14" s="15" t="inlineStr">
        <is>
          <t>区域送到价</t>
        </is>
      </c>
      <c r="F14" s="26" t="n">
        <v>3320</v>
      </c>
      <c r="G14" s="27" t="n"/>
      <c r="H14" s="27" t="n">
        <v>3320</v>
      </c>
      <c r="I14" s="25" t="inlineStr">
        <is>
          <t>元/吨</t>
        </is>
      </c>
      <c r="J14" s="24" t="inlineStr">
        <is>
          <t>含税</t>
        </is>
      </c>
      <c r="K14" s="13" t="inlineStr">
        <is>
          <t>送到现汇</t>
        </is>
      </c>
      <c r="L14" s="24" t="inlineStr">
        <is>
          <t>2026-10-16</t>
        </is>
      </c>
      <c r="M14" s="24" t="inlineStr">
        <is>
          <t>中</t>
        </is>
      </c>
      <c r="N14" s="15" t="inlineStr">
        <is>
          <t>较前一日 -135。</t>
        </is>
      </c>
      <c r="O14" s="15" t="inlineStr">
        <is>
          <t>华泰期货 2026-10-16（隆众数据）</t>
        </is>
      </c>
    </row>
    <row r="15" ht="45" customHeight="1">
      <c r="A15" s="6" t="inlineStr">
        <is>
          <t>华东太仓</t>
        </is>
      </c>
      <c r="B15" s="20" t="inlineStr">
        <is>
          <t>华东·江苏</t>
        </is>
      </c>
      <c r="C15" s="21" t="inlineStr">
        <is>
          <t>市场</t>
        </is>
      </c>
      <c r="D15" s="8" t="inlineStr">
        <is>
          <t>甲醇 国标优等品 ≥99.9%</t>
        </is>
      </c>
      <c r="E15" s="10" t="inlineStr">
        <is>
          <t>罐区现货报价</t>
        </is>
      </c>
      <c r="F15" s="22" t="n">
        <v>3890</v>
      </c>
      <c r="G15" s="23" t="n">
        <v>4030</v>
      </c>
      <c r="H15" s="23" t="n">
        <v>3960</v>
      </c>
      <c r="I15" s="21" t="inlineStr">
        <is>
          <t>元/吨</t>
        </is>
      </c>
      <c r="J15" s="20" t="inlineStr">
        <is>
          <t>含税</t>
        </is>
      </c>
      <c r="K15" s="8" t="inlineStr">
        <is>
          <t>含税现汇·罐区谈价区间</t>
        </is>
      </c>
      <c r="L15" s="20" t="inlineStr">
        <is>
          <t>2026-10-16</t>
        </is>
      </c>
      <c r="M15" s="20" t="inlineStr">
        <is>
          <t>中</t>
        </is>
      </c>
      <c r="N15" s="10" t="inlineStr">
        <is>
          <t>同日另有 3960（隆众现货指数）与 3983（期货公司日报）两种口径，均为含税罐区价；差异来自取样时点与单笔/小单口径。</t>
        </is>
      </c>
      <c r="O15" s="10" t="inlineStr">
        <is>
          <t>Mysteel 转述隆众日评 2026-10-16</t>
        </is>
      </c>
    </row>
    <row r="16" ht="30" customHeight="1">
      <c r="A16" s="11" t="inlineStr">
        <is>
          <t>华东太仓</t>
        </is>
      </c>
      <c r="B16" s="24" t="inlineStr">
        <is>
          <t>华东·江苏</t>
        </is>
      </c>
      <c r="C16" s="25" t="inlineStr">
        <is>
          <t>市场</t>
        </is>
      </c>
      <c r="D16" s="13" t="inlineStr">
        <is>
          <t>甲醇 国标优等品 ≥99.9%</t>
        </is>
      </c>
      <c r="E16" s="15" t="inlineStr">
        <is>
          <t>指数口径</t>
        </is>
      </c>
      <c r="F16" s="26" t="n">
        <v>3960</v>
      </c>
      <c r="G16" s="27" t="n"/>
      <c r="H16" s="27" t="n">
        <v>3960</v>
      </c>
      <c r="I16" s="25" t="inlineStr">
        <is>
          <t>元/吨</t>
        </is>
      </c>
      <c r="J16" s="24" t="inlineStr">
        <is>
          <t>含税</t>
        </is>
      </c>
      <c r="K16" s="13" t="inlineStr">
        <is>
          <t>含税现汇·罐区</t>
        </is>
      </c>
      <c r="L16" s="24" t="inlineStr">
        <is>
          <t>2026-10-16</t>
        </is>
      </c>
      <c r="M16" s="24" t="inlineStr">
        <is>
          <t>中</t>
        </is>
      </c>
      <c r="N16" s="15" t="inlineStr">
        <is>
          <t>隆众现货价格指数中的太仓分项，当日 -23。</t>
        </is>
      </c>
      <c r="O16" s="15" t="inlineStr">
        <is>
          <t>隆众资讯，经东方财富期货早餐 2026-10-19 转引</t>
        </is>
      </c>
    </row>
    <row r="17" ht="30" customHeight="1">
      <c r="A17" s="6" t="inlineStr">
        <is>
          <t>华东太仓</t>
        </is>
      </c>
      <c r="B17" s="20" t="inlineStr">
        <is>
          <t>华东·江苏</t>
        </is>
      </c>
      <c r="C17" s="21" t="inlineStr">
        <is>
          <t>市场</t>
        </is>
      </c>
      <c r="D17" s="8" t="inlineStr">
        <is>
          <t>甲醇 国标优等品 ≥99.9%</t>
        </is>
      </c>
      <c r="E17" s="10" t="inlineStr">
        <is>
          <t>期货公司日报</t>
        </is>
      </c>
      <c r="F17" s="22" t="n">
        <v>3983</v>
      </c>
      <c r="G17" s="23" t="n"/>
      <c r="H17" s="23" t="n">
        <v>3983</v>
      </c>
      <c r="I17" s="21" t="inlineStr">
        <is>
          <t>元/吨</t>
        </is>
      </c>
      <c r="J17" s="20" t="inlineStr">
        <is>
          <t>含税</t>
        </is>
      </c>
      <c r="K17" s="8" t="inlineStr">
        <is>
          <t>含税现汇·罐区</t>
        </is>
      </c>
      <c r="L17" s="20" t="inlineStr">
        <is>
          <t>2026-10-16</t>
        </is>
      </c>
      <c r="M17" s="20" t="inlineStr">
        <is>
          <t>中</t>
        </is>
      </c>
      <c r="N17" s="10" t="inlineStr">
        <is>
          <t>日报口径，当日 -42；基差 629（+77）。</t>
        </is>
      </c>
      <c r="O17" s="10" t="inlineStr">
        <is>
          <t>华泰期货《甲醇港口基差再度反弹》2026-10-16（隆众数据）</t>
        </is>
      </c>
    </row>
    <row r="18" ht="16" customHeight="1">
      <c r="A18" s="11" t="inlineStr">
        <is>
          <t>内蒙北线</t>
        </is>
      </c>
      <c r="B18" s="24" t="inlineStr">
        <is>
          <t>西北</t>
        </is>
      </c>
      <c r="C18" s="25" t="inlineStr">
        <is>
          <t>产区</t>
        </is>
      </c>
      <c r="D18" s="13" t="inlineStr">
        <is>
          <t>甲醇 国标优等品 ≥99.9%</t>
        </is>
      </c>
      <c r="E18" s="15" t="inlineStr">
        <is>
          <t>厂提出厂价</t>
        </is>
      </c>
      <c r="F18" s="26" t="n">
        <v>3115</v>
      </c>
      <c r="G18" s="27" t="n"/>
      <c r="H18" s="27" t="n">
        <v>3115</v>
      </c>
      <c r="I18" s="25" t="inlineStr">
        <is>
          <t>元/吨</t>
        </is>
      </c>
      <c r="J18" s="24" t="inlineStr">
        <is>
          <t>含税</t>
        </is>
      </c>
      <c r="K18" s="13" t="inlineStr">
        <is>
          <t>出厂现汇·厂提</t>
        </is>
      </c>
      <c r="L18" s="24" t="inlineStr">
        <is>
          <t>2026-10-16</t>
        </is>
      </c>
      <c r="M18" s="24" t="inlineStr">
        <is>
          <t>中</t>
        </is>
      </c>
      <c r="N18" s="15" t="inlineStr">
        <is>
          <t>隆众指数附列为 3072.5；两口径差约 42。</t>
        </is>
      </c>
      <c r="O18" s="15" t="inlineStr">
        <is>
          <t>华泰期货 2026-10-16（隆众数据）</t>
        </is>
      </c>
    </row>
    <row r="19" ht="45" customHeight="1">
      <c r="A19" s="6" t="inlineStr">
        <is>
          <t>CFR中国（美元）</t>
        </is>
      </c>
      <c r="B19" s="20" t="inlineStr">
        <is>
          <t>进口</t>
        </is>
      </c>
      <c r="C19" s="21" t="inlineStr">
        <is>
          <t>进口</t>
        </is>
      </c>
      <c r="D19" s="8" t="inlineStr">
        <is>
          <t>甲醇 进口</t>
        </is>
      </c>
      <c r="E19" s="10" t="inlineStr">
        <is>
          <t>CFR 到岸价</t>
        </is>
      </c>
      <c r="F19" s="22" t="n">
        <v>459</v>
      </c>
      <c r="G19" s="23" t="n"/>
      <c r="H19" s="23" t="n">
        <v>459</v>
      </c>
      <c r="I19" s="21" t="inlineStr">
        <is>
          <t>元/吨</t>
        </is>
      </c>
      <c r="J19" s="20" t="inlineStr">
        <is>
          <t>不含税（到岸）</t>
        </is>
      </c>
      <c r="K19" s="8" t="inlineStr">
        <is>
          <t>CFR 中国主港</t>
        </is>
      </c>
      <c r="L19" s="20" t="inlineStr">
        <is>
          <t>2026-10-16</t>
        </is>
      </c>
      <c r="M19" s="20" t="inlineStr">
        <is>
          <t>中</t>
        </is>
      </c>
      <c r="N19" s="10" t="inlineStr">
        <is>
          <t>与华东罐区人民币价之间还有汇率、关税/增值税、港杂、罐租与升贴水，不能直接相减当价差。</t>
        </is>
      </c>
      <c r="O19" s="10" t="inlineStr">
        <is>
          <t>华泰期货 2026-10-16（隆众数据）</t>
        </is>
      </c>
    </row>
    <row r="21" ht="18" customHeight="1">
      <c r="A21" s="19" t="inlineStr">
        <is>
          <t>读法：厂商挂牌价是“报价”，不等于成交；竞拍成交价才是可验证成交；生意社基准价等指数口径是结算参考价，含调整系数，与罐区谈价不同口径。外币报价（CFR 等）不能与人民币价直接相减。</t>
        </is>
      </c>
    </row>
  </sheetData>
  <mergeCells count="3">
    <mergeCell ref="A1:O1"/>
    <mergeCell ref="A21:O21"/>
    <mergeCell ref="A2:O2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002A4A72"/>
    <outlinePr summaryBelow="1" summaryRight="1"/>
    <pageSetUpPr fitToPage="1"/>
  </sheetPr>
  <dimension ref="A1:H7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  <col width="60" customWidth="1" min="6" max="6"/>
  </cols>
  <sheetData>
    <row r="1" ht="36" customHeight="1">
      <c r="A1" s="1" t="inlineStr">
        <is>
          <t>02 · 报价序列（采购点分列）与走势图</t>
        </is>
      </c>
    </row>
    <row r="2" ht="32" customHeight="1">
      <c r="A2" s="2" t="inlineStr">
        <is>
          <t>只放真实报价点，不插值、不留空白日。同一采购点若同日有多个口径（如指数口径与成交口径），在 01 表分列，此表只取主口径。</t>
        </is>
      </c>
    </row>
    <row r="4" ht="26" customHeight="1">
      <c r="A4" s="28" t="inlineStr">
        <is>
          <t>华东太仓 ｜ 9 个报价点 ｜ 2026-07-16 → 2026-10-16 ｜ 含税现汇·罐区</t>
        </is>
      </c>
    </row>
    <row r="5" ht="32" customHeight="1">
      <c r="A5" s="5" t="inlineStr">
        <is>
          <t>日期</t>
        </is>
      </c>
      <c r="B5" s="5" t="inlineStr">
        <is>
          <t>低</t>
        </is>
      </c>
      <c r="C5" s="5" t="inlineStr">
        <is>
          <t>高</t>
        </is>
      </c>
      <c r="D5" s="5" t="inlineStr">
        <is>
          <t>中值</t>
        </is>
      </c>
      <c r="E5" s="5" t="inlineStr">
        <is>
          <t>单位</t>
        </is>
      </c>
      <c r="F5" s="5" t="inlineStr">
        <is>
          <t>来源</t>
        </is>
      </c>
    </row>
    <row r="6">
      <c r="A6" s="20" t="inlineStr">
        <is>
          <t>2026-07-16</t>
        </is>
      </c>
      <c r="B6" s="23" t="n">
        <v>2690</v>
      </c>
      <c r="C6" s="23" t="n"/>
      <c r="D6" s="22" t="n">
        <v>2690</v>
      </c>
      <c r="E6" s="21" t="inlineStr">
        <is>
          <t>元/吨</t>
        </is>
      </c>
      <c r="F6" s="10" t="inlineStr">
        <is>
          <t>华泰期货甲醇日报（2026-07-16，隆众数据）</t>
        </is>
      </c>
    </row>
    <row r="7">
      <c r="A7" s="20" t="inlineStr">
        <is>
          <t>2026-09-16</t>
        </is>
      </c>
      <c r="B7" s="23" t="n">
        <v>3790</v>
      </c>
      <c r="C7" s="23" t="n"/>
      <c r="D7" s="22" t="n">
        <v>3790</v>
      </c>
      <c r="E7" s="21" t="inlineStr">
        <is>
          <t>元/吨</t>
        </is>
      </c>
      <c r="F7" s="10" t="inlineStr">
        <is>
          <t>华泰期货甲醇日报（2026-09-16，隆众数据）</t>
        </is>
      </c>
    </row>
    <row r="8">
      <c r="A8" s="20" t="inlineStr">
        <is>
          <t>2026-09-30</t>
        </is>
      </c>
      <c r="B8" s="23" t="n">
        <v>3650</v>
      </c>
      <c r="C8" s="23" t="n"/>
      <c r="D8" s="22" t="n">
        <v>3650</v>
      </c>
      <c r="E8" s="21" t="inlineStr">
        <is>
          <t>元/吨</t>
        </is>
      </c>
      <c r="F8" s="10" t="inlineStr">
        <is>
          <t>华泰期货周度报告（2026-09-30 一期，隆众数据）；属二手引用，未见原始表格</t>
        </is>
      </c>
    </row>
    <row r="9">
      <c r="A9" s="20" t="inlineStr">
        <is>
          <t>2026-10-09</t>
        </is>
      </c>
      <c r="B9" s="23" t="n">
        <v>4880</v>
      </c>
      <c r="C9" s="23" t="n"/>
      <c r="D9" s="22" t="n">
        <v>4880</v>
      </c>
      <c r="E9" s="21" t="inlineStr">
        <is>
          <t>元/吨</t>
        </is>
      </c>
      <c r="F9" s="10" t="inlineStr">
        <is>
          <t>创元期货 10 月月报（2026-10-12，截至 10-09 隆众数据）</t>
        </is>
      </c>
    </row>
    <row r="10">
      <c r="A10" s="20" t="inlineStr">
        <is>
          <t>2026-10-10</t>
        </is>
      </c>
      <c r="B10" s="23" t="n">
        <v>4400</v>
      </c>
      <c r="C10" s="23" t="n">
        <v>4940</v>
      </c>
      <c r="D10" s="22" t="n">
        <v>4670</v>
      </c>
      <c r="E10" s="21" t="inlineStr">
        <is>
          <t>元/吨</t>
        </is>
      </c>
      <c r="F10" s="10" t="inlineStr">
        <is>
          <t>Mysteel 转述隆众：太仓小单最低 4400，较前一日高点回落 550</t>
        </is>
      </c>
    </row>
    <row r="11">
      <c r="A11" s="20" t="inlineStr">
        <is>
          <t>2026-10-13</t>
        </is>
      </c>
      <c r="B11" s="23" t="n">
        <v>3730</v>
      </c>
      <c r="C11" s="23" t="n">
        <v>3960</v>
      </c>
      <c r="D11" s="22" t="n">
        <v>3845</v>
      </c>
      <c r="E11" s="21" t="inlineStr">
        <is>
          <t>元/吨</t>
        </is>
      </c>
      <c r="F11" s="10" t="inlineStr">
        <is>
          <t>Mysteel 转述隆众日评（2026-10-13）</t>
        </is>
      </c>
    </row>
    <row r="12">
      <c r="A12" s="20" t="inlineStr">
        <is>
          <t>2026-10-14</t>
        </is>
      </c>
      <c r="B12" s="23" t="n">
        <v>3950</v>
      </c>
      <c r="C12" s="23" t="n">
        <v>4100</v>
      </c>
      <c r="D12" s="22" t="n">
        <v>4025</v>
      </c>
      <c r="E12" s="21" t="inlineStr">
        <is>
          <t>元/吨</t>
        </is>
      </c>
      <c r="F12" s="10" t="inlineStr">
        <is>
          <t>Mysteel 转述隆众日评（2026-10-14）</t>
        </is>
      </c>
    </row>
    <row r="13">
      <c r="A13" s="20" t="inlineStr">
        <is>
          <t>2026-10-15</t>
        </is>
      </c>
      <c r="B13" s="23" t="n">
        <v>3885</v>
      </c>
      <c r="C13" s="23" t="n">
        <v>4080</v>
      </c>
      <c r="D13" s="22" t="n">
        <v>3982.5</v>
      </c>
      <c r="E13" s="21" t="inlineStr">
        <is>
          <t>元/吨</t>
        </is>
      </c>
      <c r="F13" s="10" t="inlineStr">
        <is>
          <t>Mysteel 转述隆众日评（2026-10-15）</t>
        </is>
      </c>
    </row>
    <row r="14">
      <c r="A14" s="20" t="inlineStr">
        <is>
          <t>2026-10-16</t>
        </is>
      </c>
      <c r="B14" s="23" t="n">
        <v>3890</v>
      </c>
      <c r="C14" s="23" t="n">
        <v>4030</v>
      </c>
      <c r="D14" s="22" t="n">
        <v>3960</v>
      </c>
      <c r="E14" s="21" t="inlineStr">
        <is>
          <t>元/吨</t>
        </is>
      </c>
      <c r="F14" s="10" t="inlineStr">
        <is>
          <t>Mysteel 转述隆众日评（2026-10-16）</t>
        </is>
      </c>
    </row>
    <row r="16" ht="26" customHeight="1">
      <c r="A16" s="28" t="inlineStr">
        <is>
          <t>期货公司日均价口径 ｜ 1 个报价点 ｜ 2026-10-16 → 2026-10-16 ｜ 含税现汇·罐区</t>
        </is>
      </c>
    </row>
    <row r="17" ht="32" customHeight="1">
      <c r="A17" s="5" t="inlineStr">
        <is>
          <t>日期</t>
        </is>
      </c>
      <c r="B17" s="5" t="inlineStr">
        <is>
          <t>低</t>
        </is>
      </c>
      <c r="C17" s="5" t="inlineStr">
        <is>
          <t>高</t>
        </is>
      </c>
      <c r="D17" s="5" t="inlineStr">
        <is>
          <t>中值</t>
        </is>
      </c>
      <c r="E17" s="5" t="inlineStr">
        <is>
          <t>单位</t>
        </is>
      </c>
      <c r="F17" s="5" t="inlineStr">
        <is>
          <t>来源</t>
        </is>
      </c>
    </row>
    <row r="18">
      <c r="A18" s="20" t="inlineStr">
        <is>
          <t>2026-10-16</t>
        </is>
      </c>
      <c r="B18" s="23" t="n">
        <v>3983</v>
      </c>
      <c r="C18" s="23" t="n"/>
      <c r="D18" s="22" t="n">
        <v>3983</v>
      </c>
      <c r="E18" s="21" t="inlineStr">
        <is>
          <t>元/吨</t>
        </is>
      </c>
      <c r="F18" s="10" t="inlineStr">
        <is>
          <t>华泰期货《甲醇港口基差再度反弹》2026-10-16（隆众数据）</t>
        </is>
      </c>
    </row>
    <row r="20" ht="26" customHeight="1">
      <c r="A20" s="28" t="inlineStr">
        <is>
          <t>江苏徐州（生意社基准价） ｜ 2 个报价点 ｜ 2026-10-16 → 2026-10-19 ｜ 生意社价格（结算参考）</t>
        </is>
      </c>
    </row>
    <row r="21" ht="32" customHeight="1">
      <c r="A21" s="5" t="inlineStr">
        <is>
          <t>日期</t>
        </is>
      </c>
      <c r="B21" s="5" t="inlineStr">
        <is>
          <t>低</t>
        </is>
      </c>
      <c r="C21" s="5" t="inlineStr">
        <is>
          <t>高</t>
        </is>
      </c>
      <c r="D21" s="5" t="inlineStr">
        <is>
          <t>中值</t>
        </is>
      </c>
      <c r="E21" s="5" t="inlineStr">
        <is>
          <t>单位</t>
        </is>
      </c>
      <c r="F21" s="5" t="inlineStr">
        <is>
          <t>来源</t>
        </is>
      </c>
    </row>
    <row r="22">
      <c r="A22" s="20" t="inlineStr">
        <is>
          <t>2026-10-16</t>
        </is>
      </c>
      <c r="B22" s="23" t="n">
        <v>3990</v>
      </c>
      <c r="C22" s="23" t="n"/>
      <c r="D22" s="22" t="n">
        <v>3990</v>
      </c>
      <c r="E22" s="21" t="inlineStr">
        <is>
          <t>元/吨</t>
        </is>
      </c>
      <c r="F22" s="10" t="inlineStr">
        <is>
          <t>生意社《甲醇基准价》商品情报 2026-10-16 条</t>
        </is>
      </c>
    </row>
    <row r="23">
      <c r="A23" s="20" t="inlineStr">
        <is>
          <t>2026-10-19</t>
        </is>
      </c>
      <c r="B23" s="23" t="n">
        <v>3966.67</v>
      </c>
      <c r="C23" s="23" t="n"/>
      <c r="D23" s="22" t="n">
        <v>3966.7</v>
      </c>
      <c r="E23" s="21" t="inlineStr">
        <is>
          <t>元/吨</t>
        </is>
      </c>
      <c r="F23" s="10" t="inlineStr">
        <is>
          <t>生意社《甲醇基准价》详情页，2026-10-19 16:00 更新</t>
        </is>
      </c>
    </row>
    <row r="25" ht="26" customHeight="1">
      <c r="A25" s="28" t="inlineStr">
        <is>
          <t>常州 ｜ 2 个报价点 ｜ 2026-10-14 → 2026-10-16 ｜ 含税现汇·库提</t>
        </is>
      </c>
    </row>
    <row r="26" ht="32" customHeight="1">
      <c r="A26" s="5" t="inlineStr">
        <is>
          <t>日期</t>
        </is>
      </c>
      <c r="B26" s="5" t="inlineStr">
        <is>
          <t>低</t>
        </is>
      </c>
      <c r="C26" s="5" t="inlineStr">
        <is>
          <t>高</t>
        </is>
      </c>
      <c r="D26" s="5" t="inlineStr">
        <is>
          <t>中值</t>
        </is>
      </c>
      <c r="E26" s="5" t="inlineStr">
        <is>
          <t>单位</t>
        </is>
      </c>
      <c r="F26" s="5" t="inlineStr">
        <is>
          <t>来源</t>
        </is>
      </c>
    </row>
    <row r="27">
      <c r="A27" s="20" t="inlineStr">
        <is>
          <t>2026-10-14</t>
        </is>
      </c>
      <c r="B27" s="23" t="n">
        <v>3780</v>
      </c>
      <c r="C27" s="23" t="n"/>
      <c r="D27" s="22" t="n">
        <v>3780</v>
      </c>
      <c r="E27" s="21" t="inlineStr">
        <is>
          <t>元/吨</t>
        </is>
      </c>
      <c r="F27" s="10" t="inlineStr">
        <is>
          <t>华泰期货甲醇日报（2026-10-14，隆众数据）</t>
        </is>
      </c>
    </row>
    <row r="28">
      <c r="A28" s="20" t="inlineStr">
        <is>
          <t>2026-10-16</t>
        </is>
      </c>
      <c r="B28" s="23" t="n">
        <v>3715</v>
      </c>
      <c r="C28" s="23" t="n"/>
      <c r="D28" s="22" t="n">
        <v>3715</v>
      </c>
      <c r="E28" s="21" t="inlineStr">
        <is>
          <t>元/吨</t>
        </is>
      </c>
      <c r="F28" s="10" t="inlineStr">
        <is>
          <t>华泰期货《甲醇港口基差再度反弹》2026-10-16（隆众数据）</t>
        </is>
      </c>
    </row>
    <row r="30" ht="26" customHeight="1">
      <c r="A30" s="28" t="inlineStr">
        <is>
          <t>内蒙北线 ｜ 6 个报价点 ｜ 2026-07-16 → 2026-10-16 ｜ 出厂现汇·厂提</t>
        </is>
      </c>
    </row>
    <row r="31" ht="32" customHeight="1">
      <c r="A31" s="5" t="inlineStr">
        <is>
          <t>日期</t>
        </is>
      </c>
      <c r="B31" s="5" t="inlineStr">
        <is>
          <t>低</t>
        </is>
      </c>
      <c r="C31" s="5" t="inlineStr">
        <is>
          <t>高</t>
        </is>
      </c>
      <c r="D31" s="5" t="inlineStr">
        <is>
          <t>中值</t>
        </is>
      </c>
      <c r="E31" s="5" t="inlineStr">
        <is>
          <t>单位</t>
        </is>
      </c>
      <c r="F31" s="5" t="inlineStr">
        <is>
          <t>来源</t>
        </is>
      </c>
    </row>
    <row r="32">
      <c r="A32" s="20" t="inlineStr">
        <is>
          <t>2026-07-16</t>
        </is>
      </c>
      <c r="B32" s="23" t="n">
        <v>2205</v>
      </c>
      <c r="C32" s="23" t="n"/>
      <c r="D32" s="22" t="n">
        <v>2205</v>
      </c>
      <c r="E32" s="21" t="inlineStr">
        <is>
          <t>元/吨</t>
        </is>
      </c>
      <c r="F32" s="10" t="inlineStr">
        <is>
          <t>华泰期货甲醇日报（2026-07-16，隆众数据）</t>
        </is>
      </c>
    </row>
    <row r="33">
      <c r="A33" s="20" t="inlineStr">
        <is>
          <t>2026-09-16</t>
        </is>
      </c>
      <c r="B33" s="23" t="n">
        <v>3300</v>
      </c>
      <c r="C33" s="23" t="n"/>
      <c r="D33" s="22" t="n">
        <v>3300</v>
      </c>
      <c r="E33" s="21" t="inlineStr">
        <is>
          <t>元/吨</t>
        </is>
      </c>
      <c r="F33" s="10" t="inlineStr">
        <is>
          <t>华泰期货甲醇日报（2026-09-16，隆众数据）</t>
        </is>
      </c>
    </row>
    <row r="34">
      <c r="A34" s="20" t="inlineStr">
        <is>
          <t>2026-10-09</t>
        </is>
      </c>
      <c r="B34" s="23" t="n">
        <v>3903</v>
      </c>
      <c r="C34" s="23" t="n"/>
      <c r="D34" s="22" t="n">
        <v>3903</v>
      </c>
      <c r="E34" s="21" t="inlineStr">
        <is>
          <t>元/吨</t>
        </is>
      </c>
      <c r="F34" s="10" t="inlineStr">
        <is>
          <t>创元期货 10 月月报（2026-10-12，截至 10-09 隆众数据）</t>
        </is>
      </c>
    </row>
    <row r="35">
      <c r="A35" s="20" t="inlineStr">
        <is>
          <t>2026-10-13</t>
        </is>
      </c>
      <c r="B35" s="23" t="n">
        <v>3195</v>
      </c>
      <c r="C35" s="23" t="n"/>
      <c r="D35" s="22" t="n">
        <v>3195</v>
      </c>
      <c r="E35" s="21" t="inlineStr">
        <is>
          <t>元/吨</t>
        </is>
      </c>
      <c r="F35" s="10" t="inlineStr">
        <is>
          <t>财联社/涂多多 2026-10-13 转引隆众（内蒙北线 3195，跌 165–205）</t>
        </is>
      </c>
    </row>
    <row r="36">
      <c r="A36" s="20" t="inlineStr">
        <is>
          <t>2026-10-14</t>
        </is>
      </c>
      <c r="B36" s="23" t="n">
        <v>3195</v>
      </c>
      <c r="C36" s="23" t="n"/>
      <c r="D36" s="22" t="n">
        <v>3195</v>
      </c>
      <c r="E36" s="21" t="inlineStr">
        <is>
          <t>元/吨</t>
        </is>
      </c>
      <c r="F36" s="10" t="inlineStr">
        <is>
          <t>华泰期货甲醇日报（2026-10-14，隆众数据）</t>
        </is>
      </c>
    </row>
    <row r="37">
      <c r="A37" s="20" t="inlineStr">
        <is>
          <t>2026-10-16</t>
        </is>
      </c>
      <c r="B37" s="23" t="n">
        <v>3115</v>
      </c>
      <c r="C37" s="23" t="n"/>
      <c r="D37" s="22" t="n">
        <v>3115</v>
      </c>
      <c r="E37" s="21" t="inlineStr">
        <is>
          <t>元/吨</t>
        </is>
      </c>
      <c r="F37" s="10" t="inlineStr">
        <is>
          <t>华泰期货《甲醇港口基差再度反弹》2026-10-16（隆众数据）</t>
        </is>
      </c>
    </row>
    <row r="39" ht="26" customHeight="1">
      <c r="A39" s="28" t="inlineStr">
        <is>
          <t>山东临沂 ｜ 5 个报价点 ｜ 2026-07-16 → 2026-10-16 ｜ 送到现汇</t>
        </is>
      </c>
    </row>
    <row r="40" ht="32" customHeight="1">
      <c r="A40" s="5" t="inlineStr">
        <is>
          <t>日期</t>
        </is>
      </c>
      <c r="B40" s="5" t="inlineStr">
        <is>
          <t>低</t>
        </is>
      </c>
      <c r="C40" s="5" t="inlineStr">
        <is>
          <t>高</t>
        </is>
      </c>
      <c r="D40" s="5" t="inlineStr">
        <is>
          <t>中值</t>
        </is>
      </c>
      <c r="E40" s="5" t="inlineStr">
        <is>
          <t>单位</t>
        </is>
      </c>
      <c r="F40" s="5" t="inlineStr">
        <is>
          <t>来源</t>
        </is>
      </c>
    </row>
    <row r="41">
      <c r="A41" s="20" t="inlineStr">
        <is>
          <t>2026-07-16</t>
        </is>
      </c>
      <c r="B41" s="23" t="n">
        <v>2535</v>
      </c>
      <c r="C41" s="23" t="n"/>
      <c r="D41" s="22" t="n">
        <v>2535</v>
      </c>
      <c r="E41" s="21" t="inlineStr">
        <is>
          <t>元/吨</t>
        </is>
      </c>
      <c r="F41" s="10" t="inlineStr">
        <is>
          <t>华泰期货甲醇日报（2026-07-16，隆众数据）</t>
        </is>
      </c>
    </row>
    <row r="42">
      <c r="A42" s="20" t="inlineStr">
        <is>
          <t>2026-09-16</t>
        </is>
      </c>
      <c r="B42" s="23" t="n">
        <v>3625</v>
      </c>
      <c r="C42" s="23" t="n"/>
      <c r="D42" s="22" t="n">
        <v>3625</v>
      </c>
      <c r="E42" s="21" t="inlineStr">
        <is>
          <t>元/吨</t>
        </is>
      </c>
      <c r="F42" s="10" t="inlineStr">
        <is>
          <t>华泰期货甲醇日报（2026-09-16，隆众数据）</t>
        </is>
      </c>
    </row>
    <row r="43">
      <c r="A43" s="20" t="inlineStr">
        <is>
          <t>2026-10-13</t>
        </is>
      </c>
      <c r="B43" s="23" t="n">
        <v>3360</v>
      </c>
      <c r="C43" s="23" t="n">
        <v>3410</v>
      </c>
      <c r="D43" s="22" t="n">
        <v>3385</v>
      </c>
      <c r="E43" s="21" t="inlineStr">
        <is>
          <t>元/吨</t>
        </is>
      </c>
      <c r="F43" s="10" t="inlineStr">
        <is>
          <t>财联社/涂多多 2026-10-13 转引隆众（临沂 3360–3410，跌 190–220）</t>
        </is>
      </c>
    </row>
    <row r="44">
      <c r="A44" s="20" t="inlineStr">
        <is>
          <t>2026-10-14</t>
        </is>
      </c>
      <c r="B44" s="23" t="n">
        <v>3385</v>
      </c>
      <c r="C44" s="23" t="n"/>
      <c r="D44" s="22" t="n">
        <v>3385</v>
      </c>
      <c r="E44" s="21" t="inlineStr">
        <is>
          <t>元/吨</t>
        </is>
      </c>
      <c r="F44" s="10" t="inlineStr">
        <is>
          <t>华泰期货甲醇日报（2026-10-14，隆众数据）</t>
        </is>
      </c>
    </row>
    <row r="45">
      <c r="A45" s="20" t="inlineStr">
        <is>
          <t>2026-10-16</t>
        </is>
      </c>
      <c r="B45" s="23" t="n">
        <v>3320</v>
      </c>
      <c r="C45" s="23" t="n"/>
      <c r="D45" s="22" t="n">
        <v>3320</v>
      </c>
      <c r="E45" s="21" t="inlineStr">
        <is>
          <t>元/吨</t>
        </is>
      </c>
      <c r="F45" s="10" t="inlineStr">
        <is>
          <t>华泰期货《甲醇港口基差再度反弹》2026-10-16（隆众数据）</t>
        </is>
      </c>
    </row>
    <row r="47" ht="26" customHeight="1">
      <c r="A47" s="28" t="inlineStr">
        <is>
          <t>河南 ｜ 4 个报价点 ｜ 2026-07-16 → 2026-10-16 ｜ 出厂现汇</t>
        </is>
      </c>
    </row>
    <row r="48" ht="32" customHeight="1">
      <c r="A48" s="5" t="inlineStr">
        <is>
          <t>日期</t>
        </is>
      </c>
      <c r="B48" s="5" t="inlineStr">
        <is>
          <t>低</t>
        </is>
      </c>
      <c r="C48" s="5" t="inlineStr">
        <is>
          <t>高</t>
        </is>
      </c>
      <c r="D48" s="5" t="inlineStr">
        <is>
          <t>中值</t>
        </is>
      </c>
      <c r="E48" s="5" t="inlineStr">
        <is>
          <t>单位</t>
        </is>
      </c>
      <c r="F48" s="5" t="inlineStr">
        <is>
          <t>来源</t>
        </is>
      </c>
    </row>
    <row r="49">
      <c r="A49" s="20" t="inlineStr">
        <is>
          <t>2026-07-16</t>
        </is>
      </c>
      <c r="B49" s="23" t="n">
        <v>2435</v>
      </c>
      <c r="C49" s="23" t="n"/>
      <c r="D49" s="22" t="n">
        <v>2435</v>
      </c>
      <c r="E49" s="21" t="inlineStr">
        <is>
          <t>元/吨</t>
        </is>
      </c>
      <c r="F49" s="10" t="inlineStr">
        <is>
          <t>华泰期货甲醇日报（2026-07-16，隆众数据）</t>
        </is>
      </c>
    </row>
    <row r="50">
      <c r="A50" s="20" t="inlineStr">
        <is>
          <t>2026-09-16</t>
        </is>
      </c>
      <c r="B50" s="23" t="n">
        <v>3545</v>
      </c>
      <c r="C50" s="23" t="n"/>
      <c r="D50" s="22" t="n">
        <v>3545</v>
      </c>
      <c r="E50" s="21" t="inlineStr">
        <is>
          <t>元/吨</t>
        </is>
      </c>
      <c r="F50" s="10" t="inlineStr">
        <is>
          <t>华泰期货甲醇日报（2026-09-16，隆众数据）</t>
        </is>
      </c>
    </row>
    <row r="51">
      <c r="A51" s="20" t="inlineStr">
        <is>
          <t>2026-10-14</t>
        </is>
      </c>
      <c r="B51" s="23" t="n">
        <v>3310</v>
      </c>
      <c r="C51" s="23" t="n"/>
      <c r="D51" s="22" t="n">
        <v>3310</v>
      </c>
      <c r="E51" s="21" t="inlineStr">
        <is>
          <t>元/吨</t>
        </is>
      </c>
      <c r="F51" s="10" t="inlineStr">
        <is>
          <t>华泰期货甲醇日报（2026-10-14，隆众数据）</t>
        </is>
      </c>
    </row>
    <row r="52">
      <c r="A52" s="20" t="inlineStr">
        <is>
          <t>2026-10-16</t>
        </is>
      </c>
      <c r="B52" s="23" t="n">
        <v>3285</v>
      </c>
      <c r="C52" s="23" t="n"/>
      <c r="D52" s="22" t="n">
        <v>3285</v>
      </c>
      <c r="E52" s="21" t="inlineStr">
        <is>
          <t>元/吨</t>
        </is>
      </c>
      <c r="F52" s="10" t="inlineStr">
        <is>
          <t>华泰期货《甲醇港口基差再度反弹》2026-10-16（隆众数据）</t>
        </is>
      </c>
    </row>
    <row r="54" ht="26" customHeight="1">
      <c r="A54" s="28" t="inlineStr">
        <is>
          <t>河北 ｜ 4 个报价点 ｜ 2026-07-16 → 2026-10-16 ｜ 出厂现汇</t>
        </is>
      </c>
    </row>
    <row r="55" ht="32" customHeight="1">
      <c r="A55" s="5" t="inlineStr">
        <is>
          <t>日期</t>
        </is>
      </c>
      <c r="B55" s="5" t="inlineStr">
        <is>
          <t>低</t>
        </is>
      </c>
      <c r="C55" s="5" t="inlineStr">
        <is>
          <t>高</t>
        </is>
      </c>
      <c r="D55" s="5" t="inlineStr">
        <is>
          <t>中值</t>
        </is>
      </c>
      <c r="E55" s="5" t="inlineStr">
        <is>
          <t>单位</t>
        </is>
      </c>
      <c r="F55" s="5" t="inlineStr">
        <is>
          <t>来源</t>
        </is>
      </c>
    </row>
    <row r="56">
      <c r="A56" s="20" t="inlineStr">
        <is>
          <t>2026-07-16</t>
        </is>
      </c>
      <c r="B56" s="23" t="n">
        <v>2390</v>
      </c>
      <c r="C56" s="23" t="n"/>
      <c r="D56" s="22" t="n">
        <v>2390</v>
      </c>
      <c r="E56" s="21" t="inlineStr">
        <is>
          <t>元/吨</t>
        </is>
      </c>
      <c r="F56" s="10" t="inlineStr">
        <is>
          <t>华泰期货甲醇日报（2026-07-16，隆众数据）</t>
        </is>
      </c>
    </row>
    <row r="57">
      <c r="A57" s="20" t="inlineStr">
        <is>
          <t>2026-09-16</t>
        </is>
      </c>
      <c r="B57" s="23" t="n">
        <v>3425</v>
      </c>
      <c r="C57" s="23" t="n"/>
      <c r="D57" s="22" t="n">
        <v>3425</v>
      </c>
      <c r="E57" s="21" t="inlineStr">
        <is>
          <t>元/吨</t>
        </is>
      </c>
      <c r="F57" s="10" t="inlineStr">
        <is>
          <t>华泰期货甲醇日报（2026-09-16，隆众数据）</t>
        </is>
      </c>
    </row>
    <row r="58">
      <c r="A58" s="20" t="inlineStr">
        <is>
          <t>2026-10-14</t>
        </is>
      </c>
      <c r="B58" s="23" t="n">
        <v>3350</v>
      </c>
      <c r="C58" s="23" t="n"/>
      <c r="D58" s="22" t="n">
        <v>3350</v>
      </c>
      <c r="E58" s="21" t="inlineStr">
        <is>
          <t>元/吨</t>
        </is>
      </c>
      <c r="F58" s="10" t="inlineStr">
        <is>
          <t>华泰期货甲醇日报（2026-10-14，隆众数据）</t>
        </is>
      </c>
    </row>
    <row r="59">
      <c r="A59" s="20" t="inlineStr">
        <is>
          <t>2026-10-16</t>
        </is>
      </c>
      <c r="B59" s="23" t="n">
        <v>3350</v>
      </c>
      <c r="C59" s="23" t="n"/>
      <c r="D59" s="22" t="n">
        <v>3350</v>
      </c>
      <c r="E59" s="21" t="inlineStr">
        <is>
          <t>元/吨</t>
        </is>
      </c>
      <c r="F59" s="10" t="inlineStr">
        <is>
          <t>华泰期货《甲醇港口基差再度反弹》2026-10-16（隆众数据）</t>
        </is>
      </c>
    </row>
    <row r="61" ht="26" customHeight="1">
      <c r="A61" s="28" t="inlineStr">
        <is>
          <t>广东 ｜ 3 个报价点 ｜ 2026-07-16 → 2026-10-16 ｜ 含税现汇·库提</t>
        </is>
      </c>
    </row>
    <row r="62" ht="32" customHeight="1">
      <c r="A62" s="5" t="inlineStr">
        <is>
          <t>日期</t>
        </is>
      </c>
      <c r="B62" s="5" t="inlineStr">
        <is>
          <t>低</t>
        </is>
      </c>
      <c r="C62" s="5" t="inlineStr">
        <is>
          <t>高</t>
        </is>
      </c>
      <c r="D62" s="5" t="inlineStr">
        <is>
          <t>中值</t>
        </is>
      </c>
      <c r="E62" s="5" t="inlineStr">
        <is>
          <t>单位</t>
        </is>
      </c>
      <c r="F62" s="5" t="inlineStr">
        <is>
          <t>来源</t>
        </is>
      </c>
    </row>
    <row r="63">
      <c r="A63" s="20" t="inlineStr">
        <is>
          <t>2026-07-16</t>
        </is>
      </c>
      <c r="B63" s="23" t="n">
        <v>2700</v>
      </c>
      <c r="C63" s="23" t="n"/>
      <c r="D63" s="22" t="n">
        <v>2700</v>
      </c>
      <c r="E63" s="21" t="inlineStr">
        <is>
          <t>元/吨</t>
        </is>
      </c>
      <c r="F63" s="10" t="inlineStr">
        <is>
          <t>华泰期货甲醇日报（2026-07-16，隆众数据）</t>
        </is>
      </c>
    </row>
    <row r="64">
      <c r="A64" s="20" t="inlineStr">
        <is>
          <t>2026-10-14</t>
        </is>
      </c>
      <c r="B64" s="23" t="n">
        <v>4020</v>
      </c>
      <c r="C64" s="23" t="n"/>
      <c r="D64" s="22" t="n">
        <v>4020</v>
      </c>
      <c r="E64" s="21" t="inlineStr">
        <is>
          <t>元/吨</t>
        </is>
      </c>
      <c r="F64" s="10" t="inlineStr">
        <is>
          <t>华泰期货甲醇日报（2026-10-14，隆众数据）</t>
        </is>
      </c>
    </row>
    <row r="65">
      <c r="A65" s="20" t="inlineStr">
        <is>
          <t>2026-10-16</t>
        </is>
      </c>
      <c r="B65" s="23" t="n">
        <v>3815</v>
      </c>
      <c r="C65" s="23" t="n"/>
      <c r="D65" s="22" t="n">
        <v>3815</v>
      </c>
      <c r="E65" s="21" t="inlineStr">
        <is>
          <t>元/吨</t>
        </is>
      </c>
      <c r="F65" s="10" t="inlineStr">
        <is>
          <t>华泰期货《甲醇港口基差再度反弹》2026-10-16（隆众数据）</t>
        </is>
      </c>
    </row>
    <row r="67" ht="26" customHeight="1">
      <c r="A67" s="28" t="inlineStr">
        <is>
          <t>CFR中国（美元） ｜ 3 个报价点 ｜ 2026-10-13 → 2026-10-16 ｜ CFR 中国主港</t>
        </is>
      </c>
    </row>
    <row r="68" ht="32" customHeight="1">
      <c r="A68" s="5" t="inlineStr">
        <is>
          <t>日期</t>
        </is>
      </c>
      <c r="B68" s="5" t="inlineStr">
        <is>
          <t>低</t>
        </is>
      </c>
      <c r="C68" s="5" t="inlineStr">
        <is>
          <t>高</t>
        </is>
      </c>
      <c r="D68" s="5" t="inlineStr">
        <is>
          <t>中值</t>
        </is>
      </c>
      <c r="E68" s="5" t="inlineStr">
        <is>
          <t>单位</t>
        </is>
      </c>
      <c r="F68" s="5" t="inlineStr">
        <is>
          <t>来源</t>
        </is>
      </c>
    </row>
    <row r="69">
      <c r="A69" s="20" t="inlineStr">
        <is>
          <t>2026-10-13</t>
        </is>
      </c>
      <c r="B69" s="23" t="n">
        <v>538</v>
      </c>
      <c r="C69" s="23" t="n">
        <v>542</v>
      </c>
      <c r="D69" s="22" t="n">
        <v>540</v>
      </c>
      <c r="E69" s="21" t="inlineStr">
        <is>
          <t>元/吨</t>
        </is>
      </c>
      <c r="F69" s="10" t="inlineStr">
        <is>
          <t>光大期货日评（2026-10-13）</t>
        </is>
      </c>
    </row>
    <row r="70">
      <c r="A70" s="20" t="inlineStr">
        <is>
          <t>2026-10-14</t>
        </is>
      </c>
      <c r="B70" s="23" t="n">
        <v>474</v>
      </c>
      <c r="C70" s="23" t="n"/>
      <c r="D70" s="22" t="n">
        <v>474</v>
      </c>
      <c r="E70" s="21" t="inlineStr">
        <is>
          <t>元/吨</t>
        </is>
      </c>
      <c r="F70" s="10" t="inlineStr">
        <is>
          <t>华泰期货甲醇日报（2026-10-14，隆众数据）</t>
        </is>
      </c>
    </row>
    <row r="71">
      <c r="A71" s="20" t="inlineStr">
        <is>
          <t>2026-10-16</t>
        </is>
      </c>
      <c r="B71" s="23" t="n">
        <v>459</v>
      </c>
      <c r="C71" s="23" t="n"/>
      <c r="D71" s="22" t="n">
        <v>459</v>
      </c>
      <c r="E71" s="21" t="inlineStr">
        <is>
          <t>元/吨</t>
        </is>
      </c>
      <c r="F71" s="10" t="inlineStr">
        <is>
          <t>华泰期货《甲醇港口基差再度反弹》2026-10-16（隆众数据）</t>
        </is>
      </c>
    </row>
    <row r="73" ht="18" customHeight="1">
      <c r="A73" s="19" t="inlineStr">
        <is>
          <t>说明：横轴只有真实报价日，折线并不代表每日行情；日期跳跃处不能读成“平稳”。分位与涨跌幅见 03 表。</t>
        </is>
      </c>
    </row>
  </sheetData>
  <mergeCells count="13">
    <mergeCell ref="A16:F16"/>
    <mergeCell ref="A54:F54"/>
    <mergeCell ref="A47:F47"/>
    <mergeCell ref="A73:H73"/>
    <mergeCell ref="A2:H2"/>
    <mergeCell ref="A67:F67"/>
    <mergeCell ref="A61:F61"/>
    <mergeCell ref="A4:F4"/>
    <mergeCell ref="A1:H1"/>
    <mergeCell ref="A20:F20"/>
    <mergeCell ref="A30:F30"/>
    <mergeCell ref="A39:F39"/>
    <mergeCell ref="A25:F25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8892B"/>
    <outlinePr summaryBelow="1" summaryRight="1"/>
    <pageSetUpPr fitToPage="1"/>
  </sheetPr>
  <dimension ref="A1:K5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6" customHeight="1">
      <c r="A1" s="1" t="inlineStr">
        <is>
          <t>03 · 区间涨跌与历史分位</t>
        </is>
      </c>
    </row>
    <row r="2" ht="32" customHeight="1">
      <c r="A2" s="2" t="inlineStr">
        <is>
          <t>基准日 = 该窗口内最后一个不晚于截止日的真实报价日；实际天数与期间报价点一并列出，样本薄的地方请勿当连续行情引用。</t>
        </is>
      </c>
    </row>
    <row r="4" ht="26" customHeight="1">
      <c r="A4" s="3" t="inlineStr">
        <is>
          <t>A. 区间涨跌</t>
        </is>
      </c>
    </row>
    <row r="5" ht="32" customHeight="1">
      <c r="A5" s="5" t="inlineStr">
        <is>
          <t>采购点</t>
        </is>
      </c>
      <c r="B5" s="5" t="inlineStr">
        <is>
          <t>窗口</t>
        </is>
      </c>
      <c r="C5" s="5" t="inlineStr">
        <is>
          <t>基准日</t>
        </is>
      </c>
      <c r="D5" s="5" t="inlineStr">
        <is>
          <t>基准价</t>
        </is>
      </c>
      <c r="E5" s="5" t="inlineStr">
        <is>
          <t>当前日</t>
        </is>
      </c>
      <c r="F5" s="5" t="inlineStr">
        <is>
          <t>当前价</t>
        </is>
      </c>
      <c r="G5" s="5" t="inlineStr">
        <is>
          <t>变动</t>
        </is>
      </c>
      <c r="H5" s="5" t="inlineStr">
        <is>
          <t>涨跌幅</t>
        </is>
      </c>
      <c r="I5" s="5" t="inlineStr">
        <is>
          <t>期间报价点</t>
        </is>
      </c>
      <c r="J5" s="5" t="inlineStr">
        <is>
          <t>实际天数</t>
        </is>
      </c>
      <c r="K5" s="5" t="inlineStr">
        <is>
          <t>单位</t>
        </is>
      </c>
    </row>
    <row r="6">
      <c r="A6" s="6" t="inlineStr">
        <is>
          <t>华东太仓</t>
        </is>
      </c>
      <c r="B6" s="20" t="inlineStr">
        <is>
          <t>7 天</t>
        </is>
      </c>
      <c r="C6" s="20" t="inlineStr">
        <is>
          <t>2026-10-09</t>
        </is>
      </c>
      <c r="D6" s="23" t="n">
        <v>4880</v>
      </c>
      <c r="E6" s="20" t="inlineStr">
        <is>
          <t>2026-10-16</t>
        </is>
      </c>
      <c r="F6" s="23" t="n">
        <v>3960</v>
      </c>
      <c r="G6" s="29" t="n">
        <v>-920</v>
      </c>
      <c r="H6" s="30" t="n">
        <v>-0.1885</v>
      </c>
      <c r="I6" s="31" t="n">
        <v>5</v>
      </c>
      <c r="J6" s="31" t="n">
        <v>7</v>
      </c>
      <c r="K6" s="21" t="inlineStr">
        <is>
          <t>元/吨</t>
        </is>
      </c>
    </row>
    <row r="7">
      <c r="A7" s="6" t="inlineStr">
        <is>
          <t>华东太仓</t>
        </is>
      </c>
      <c r="B7" s="20" t="inlineStr">
        <is>
          <t>30 天</t>
        </is>
      </c>
      <c r="C7" s="20" t="inlineStr">
        <is>
          <t>2026-09-16</t>
        </is>
      </c>
      <c r="D7" s="23" t="n">
        <v>3790</v>
      </c>
      <c r="E7" s="20" t="inlineStr">
        <is>
          <t>2026-10-16</t>
        </is>
      </c>
      <c r="F7" s="23" t="n">
        <v>3960</v>
      </c>
      <c r="G7" s="32" t="n">
        <v>170</v>
      </c>
      <c r="H7" s="30" t="n">
        <v>0.0449</v>
      </c>
      <c r="I7" s="31" t="n">
        <v>7</v>
      </c>
      <c r="J7" s="31" t="n">
        <v>30</v>
      </c>
      <c r="K7" s="21" t="inlineStr">
        <is>
          <t>元/吨</t>
        </is>
      </c>
    </row>
    <row r="8">
      <c r="A8" s="6" t="inlineStr">
        <is>
          <t>华东太仓</t>
        </is>
      </c>
      <c r="B8" s="20" t="inlineStr">
        <is>
          <t>90 天</t>
        </is>
      </c>
      <c r="C8" s="20" t="inlineStr">
        <is>
          <t>2026-07-16</t>
        </is>
      </c>
      <c r="D8" s="23" t="n">
        <v>2690</v>
      </c>
      <c r="E8" s="20" t="inlineStr">
        <is>
          <t>2026-10-16</t>
        </is>
      </c>
      <c r="F8" s="23" t="n">
        <v>3960</v>
      </c>
      <c r="G8" s="32" t="n">
        <v>1270</v>
      </c>
      <c r="H8" s="30" t="n">
        <v>0.4721</v>
      </c>
      <c r="I8" s="31" t="n">
        <v>8</v>
      </c>
      <c r="J8" s="31" t="n">
        <v>92</v>
      </c>
      <c r="K8" s="21" t="inlineStr">
        <is>
          <t>元/吨</t>
        </is>
      </c>
    </row>
    <row r="9">
      <c r="A9" s="6" t="inlineStr">
        <is>
          <t>内蒙北线</t>
        </is>
      </c>
      <c r="B9" s="20" t="inlineStr">
        <is>
          <t>7 天</t>
        </is>
      </c>
      <c r="C9" s="20" t="inlineStr">
        <is>
          <t>2026-10-09</t>
        </is>
      </c>
      <c r="D9" s="23" t="n">
        <v>3903</v>
      </c>
      <c r="E9" s="20" t="inlineStr">
        <is>
          <t>2026-10-16</t>
        </is>
      </c>
      <c r="F9" s="23" t="n">
        <v>3115</v>
      </c>
      <c r="G9" s="29" t="n">
        <v>-788</v>
      </c>
      <c r="H9" s="30" t="n">
        <v>-0.2019</v>
      </c>
      <c r="I9" s="31" t="n">
        <v>3</v>
      </c>
      <c r="J9" s="31" t="n">
        <v>7</v>
      </c>
      <c r="K9" s="21" t="inlineStr">
        <is>
          <t>元/吨</t>
        </is>
      </c>
    </row>
    <row r="10">
      <c r="A10" s="6" t="inlineStr">
        <is>
          <t>内蒙北线</t>
        </is>
      </c>
      <c r="B10" s="20" t="inlineStr">
        <is>
          <t>30 天</t>
        </is>
      </c>
      <c r="C10" s="20" t="inlineStr">
        <is>
          <t>2026-09-16</t>
        </is>
      </c>
      <c r="D10" s="23" t="n">
        <v>3300</v>
      </c>
      <c r="E10" s="20" t="inlineStr">
        <is>
          <t>2026-10-16</t>
        </is>
      </c>
      <c r="F10" s="23" t="n">
        <v>3115</v>
      </c>
      <c r="G10" s="29" t="n">
        <v>-185</v>
      </c>
      <c r="H10" s="30" t="n">
        <v>-0.0561</v>
      </c>
      <c r="I10" s="31" t="n">
        <v>4</v>
      </c>
      <c r="J10" s="31" t="n">
        <v>30</v>
      </c>
      <c r="K10" s="21" t="inlineStr">
        <is>
          <t>元/吨</t>
        </is>
      </c>
    </row>
    <row r="11">
      <c r="A11" s="6" t="inlineStr">
        <is>
          <t>内蒙北线</t>
        </is>
      </c>
      <c r="B11" s="20" t="inlineStr">
        <is>
          <t>90 天</t>
        </is>
      </c>
      <c r="C11" s="20" t="inlineStr">
        <is>
          <t>2026-07-16</t>
        </is>
      </c>
      <c r="D11" s="23" t="n">
        <v>2205</v>
      </c>
      <c r="E11" s="20" t="inlineStr">
        <is>
          <t>2026-10-16</t>
        </is>
      </c>
      <c r="F11" s="23" t="n">
        <v>3115</v>
      </c>
      <c r="G11" s="32" t="n">
        <v>910</v>
      </c>
      <c r="H11" s="30" t="n">
        <v>0.4127</v>
      </c>
      <c r="I11" s="31" t="n">
        <v>5</v>
      </c>
      <c r="J11" s="31" t="n">
        <v>92</v>
      </c>
      <c r="K11" s="21" t="inlineStr">
        <is>
          <t>元/吨</t>
        </is>
      </c>
    </row>
    <row r="12">
      <c r="A12" s="6" t="inlineStr">
        <is>
          <t>山东临沂</t>
        </is>
      </c>
      <c r="B12" s="20" t="inlineStr">
        <is>
          <t>7 天</t>
        </is>
      </c>
      <c r="C12" s="20" t="inlineStr">
        <is>
          <t>2026-09-16</t>
        </is>
      </c>
      <c r="D12" s="23" t="n">
        <v>3625</v>
      </c>
      <c r="E12" s="20" t="inlineStr">
        <is>
          <t>2026-10-16</t>
        </is>
      </c>
      <c r="F12" s="23" t="n">
        <v>3320</v>
      </c>
      <c r="G12" s="29" t="n">
        <v>-305</v>
      </c>
      <c r="H12" s="30" t="n">
        <v>-0.08409999999999999</v>
      </c>
      <c r="I12" s="31" t="n">
        <v>3</v>
      </c>
      <c r="J12" s="31" t="n">
        <v>30</v>
      </c>
      <c r="K12" s="21" t="inlineStr">
        <is>
          <t>元/吨</t>
        </is>
      </c>
    </row>
    <row r="13">
      <c r="A13" s="6" t="inlineStr">
        <is>
          <t>山东临沂</t>
        </is>
      </c>
      <c r="B13" s="20" t="inlineStr">
        <is>
          <t>30 天</t>
        </is>
      </c>
      <c r="C13" s="20" t="inlineStr">
        <is>
          <t>2026-09-16</t>
        </is>
      </c>
      <c r="D13" s="23" t="n">
        <v>3625</v>
      </c>
      <c r="E13" s="20" t="inlineStr">
        <is>
          <t>2026-10-16</t>
        </is>
      </c>
      <c r="F13" s="23" t="n">
        <v>3320</v>
      </c>
      <c r="G13" s="29" t="n">
        <v>-305</v>
      </c>
      <c r="H13" s="30" t="n">
        <v>-0.08409999999999999</v>
      </c>
      <c r="I13" s="31" t="n">
        <v>3</v>
      </c>
      <c r="J13" s="31" t="n">
        <v>30</v>
      </c>
      <c r="K13" s="21" t="inlineStr">
        <is>
          <t>元/吨</t>
        </is>
      </c>
    </row>
    <row r="14">
      <c r="A14" s="6" t="inlineStr">
        <is>
          <t>山东临沂</t>
        </is>
      </c>
      <c r="B14" s="20" t="inlineStr">
        <is>
          <t>90 天</t>
        </is>
      </c>
      <c r="C14" s="20" t="inlineStr">
        <is>
          <t>2026-07-16</t>
        </is>
      </c>
      <c r="D14" s="23" t="n">
        <v>2535</v>
      </c>
      <c r="E14" s="20" t="inlineStr">
        <is>
          <t>2026-10-16</t>
        </is>
      </c>
      <c r="F14" s="23" t="n">
        <v>3320</v>
      </c>
      <c r="G14" s="32" t="n">
        <v>785</v>
      </c>
      <c r="H14" s="30" t="n">
        <v>0.3097</v>
      </c>
      <c r="I14" s="31" t="n">
        <v>4</v>
      </c>
      <c r="J14" s="31" t="n">
        <v>92</v>
      </c>
      <c r="K14" s="21" t="inlineStr">
        <is>
          <t>元/吨</t>
        </is>
      </c>
    </row>
    <row r="15">
      <c r="A15" s="6" t="inlineStr">
        <is>
          <t>河南</t>
        </is>
      </c>
      <c r="B15" s="20" t="inlineStr">
        <is>
          <t>7 天</t>
        </is>
      </c>
      <c r="C15" s="20" t="inlineStr">
        <is>
          <t>2026-09-16</t>
        </is>
      </c>
      <c r="D15" s="23" t="n">
        <v>3545</v>
      </c>
      <c r="E15" s="20" t="inlineStr">
        <is>
          <t>2026-10-16</t>
        </is>
      </c>
      <c r="F15" s="23" t="n">
        <v>3285</v>
      </c>
      <c r="G15" s="29" t="n">
        <v>-260</v>
      </c>
      <c r="H15" s="30" t="n">
        <v>-0.0733</v>
      </c>
      <c r="I15" s="31" t="n">
        <v>2</v>
      </c>
      <c r="J15" s="31" t="n">
        <v>30</v>
      </c>
      <c r="K15" s="21" t="inlineStr">
        <is>
          <t>元/吨</t>
        </is>
      </c>
    </row>
    <row r="16">
      <c r="A16" s="6" t="inlineStr">
        <is>
          <t>河南</t>
        </is>
      </c>
      <c r="B16" s="20" t="inlineStr">
        <is>
          <t>30 天</t>
        </is>
      </c>
      <c r="C16" s="20" t="inlineStr">
        <is>
          <t>2026-09-16</t>
        </is>
      </c>
      <c r="D16" s="23" t="n">
        <v>3545</v>
      </c>
      <c r="E16" s="20" t="inlineStr">
        <is>
          <t>2026-10-16</t>
        </is>
      </c>
      <c r="F16" s="23" t="n">
        <v>3285</v>
      </c>
      <c r="G16" s="29" t="n">
        <v>-260</v>
      </c>
      <c r="H16" s="30" t="n">
        <v>-0.0733</v>
      </c>
      <c r="I16" s="31" t="n">
        <v>2</v>
      </c>
      <c r="J16" s="31" t="n">
        <v>30</v>
      </c>
      <c r="K16" s="21" t="inlineStr">
        <is>
          <t>元/吨</t>
        </is>
      </c>
    </row>
    <row r="17">
      <c r="A17" s="6" t="inlineStr">
        <is>
          <t>河南</t>
        </is>
      </c>
      <c r="B17" s="20" t="inlineStr">
        <is>
          <t>90 天</t>
        </is>
      </c>
      <c r="C17" s="20" t="inlineStr">
        <is>
          <t>2026-07-16</t>
        </is>
      </c>
      <c r="D17" s="23" t="n">
        <v>2435</v>
      </c>
      <c r="E17" s="20" t="inlineStr">
        <is>
          <t>2026-10-16</t>
        </is>
      </c>
      <c r="F17" s="23" t="n">
        <v>3285</v>
      </c>
      <c r="G17" s="32" t="n">
        <v>850</v>
      </c>
      <c r="H17" s="30" t="n">
        <v>0.3491</v>
      </c>
      <c r="I17" s="31" t="n">
        <v>3</v>
      </c>
      <c r="J17" s="31" t="n">
        <v>92</v>
      </c>
      <c r="K17" s="21" t="inlineStr">
        <is>
          <t>元/吨</t>
        </is>
      </c>
    </row>
    <row r="18">
      <c r="A18" s="6" t="inlineStr">
        <is>
          <t>河北</t>
        </is>
      </c>
      <c r="B18" s="20" t="inlineStr">
        <is>
          <t>7 天</t>
        </is>
      </c>
      <c r="C18" s="20" t="inlineStr">
        <is>
          <t>2026-09-16</t>
        </is>
      </c>
      <c r="D18" s="23" t="n">
        <v>3425</v>
      </c>
      <c r="E18" s="20" t="inlineStr">
        <is>
          <t>2026-10-16</t>
        </is>
      </c>
      <c r="F18" s="23" t="n">
        <v>3350</v>
      </c>
      <c r="G18" s="29" t="n">
        <v>-75</v>
      </c>
      <c r="H18" s="30" t="n">
        <v>-0.0219</v>
      </c>
      <c r="I18" s="31" t="n">
        <v>2</v>
      </c>
      <c r="J18" s="31" t="n">
        <v>30</v>
      </c>
      <c r="K18" s="21" t="inlineStr">
        <is>
          <t>元/吨</t>
        </is>
      </c>
    </row>
    <row r="19">
      <c r="A19" s="6" t="inlineStr">
        <is>
          <t>河北</t>
        </is>
      </c>
      <c r="B19" s="20" t="inlineStr">
        <is>
          <t>30 天</t>
        </is>
      </c>
      <c r="C19" s="20" t="inlineStr">
        <is>
          <t>2026-09-16</t>
        </is>
      </c>
      <c r="D19" s="23" t="n">
        <v>3425</v>
      </c>
      <c r="E19" s="20" t="inlineStr">
        <is>
          <t>2026-10-16</t>
        </is>
      </c>
      <c r="F19" s="23" t="n">
        <v>3350</v>
      </c>
      <c r="G19" s="29" t="n">
        <v>-75</v>
      </c>
      <c r="H19" s="30" t="n">
        <v>-0.0219</v>
      </c>
      <c r="I19" s="31" t="n">
        <v>2</v>
      </c>
      <c r="J19" s="31" t="n">
        <v>30</v>
      </c>
      <c r="K19" s="21" t="inlineStr">
        <is>
          <t>元/吨</t>
        </is>
      </c>
    </row>
    <row r="20">
      <c r="A20" s="6" t="inlineStr">
        <is>
          <t>河北</t>
        </is>
      </c>
      <c r="B20" s="20" t="inlineStr">
        <is>
          <t>90 天</t>
        </is>
      </c>
      <c r="C20" s="20" t="inlineStr">
        <is>
          <t>2026-07-16</t>
        </is>
      </c>
      <c r="D20" s="23" t="n">
        <v>2390</v>
      </c>
      <c r="E20" s="20" t="inlineStr">
        <is>
          <t>2026-10-16</t>
        </is>
      </c>
      <c r="F20" s="23" t="n">
        <v>3350</v>
      </c>
      <c r="G20" s="32" t="n">
        <v>960</v>
      </c>
      <c r="H20" s="30" t="n">
        <v>0.4017</v>
      </c>
      <c r="I20" s="31" t="n">
        <v>3</v>
      </c>
      <c r="J20" s="31" t="n">
        <v>92</v>
      </c>
      <c r="K20" s="21" t="inlineStr">
        <is>
          <t>元/吨</t>
        </is>
      </c>
    </row>
    <row r="21">
      <c r="A21" s="6" t="inlineStr">
        <is>
          <t>广东</t>
        </is>
      </c>
      <c r="B21" s="20" t="inlineStr">
        <is>
          <t>7 天</t>
        </is>
      </c>
      <c r="C21" s="20" t="inlineStr">
        <is>
          <t>2026-07-16</t>
        </is>
      </c>
      <c r="D21" s="23" t="n">
        <v>2700</v>
      </c>
      <c r="E21" s="20" t="inlineStr">
        <is>
          <t>2026-10-16</t>
        </is>
      </c>
      <c r="F21" s="23" t="n">
        <v>3815</v>
      </c>
      <c r="G21" s="32" t="n">
        <v>1115</v>
      </c>
      <c r="H21" s="30" t="n">
        <v>0.413</v>
      </c>
      <c r="I21" s="31" t="n">
        <v>2</v>
      </c>
      <c r="J21" s="31" t="n">
        <v>92</v>
      </c>
      <c r="K21" s="21" t="inlineStr">
        <is>
          <t>元/吨</t>
        </is>
      </c>
    </row>
    <row r="22">
      <c r="A22" s="6" t="inlineStr">
        <is>
          <t>广东</t>
        </is>
      </c>
      <c r="B22" s="20" t="inlineStr">
        <is>
          <t>30 天</t>
        </is>
      </c>
      <c r="C22" s="20" t="inlineStr">
        <is>
          <t>2026-07-16</t>
        </is>
      </c>
      <c r="D22" s="23" t="n">
        <v>2700</v>
      </c>
      <c r="E22" s="20" t="inlineStr">
        <is>
          <t>2026-10-16</t>
        </is>
      </c>
      <c r="F22" s="23" t="n">
        <v>3815</v>
      </c>
      <c r="G22" s="32" t="n">
        <v>1115</v>
      </c>
      <c r="H22" s="30" t="n">
        <v>0.413</v>
      </c>
      <c r="I22" s="31" t="n">
        <v>2</v>
      </c>
      <c r="J22" s="31" t="n">
        <v>92</v>
      </c>
      <c r="K22" s="21" t="inlineStr">
        <is>
          <t>元/吨</t>
        </is>
      </c>
    </row>
    <row r="23">
      <c r="A23" s="6" t="inlineStr">
        <is>
          <t>广东</t>
        </is>
      </c>
      <c r="B23" s="20" t="inlineStr">
        <is>
          <t>90 天</t>
        </is>
      </c>
      <c r="C23" s="20" t="inlineStr">
        <is>
          <t>2026-07-16</t>
        </is>
      </c>
      <c r="D23" s="23" t="n">
        <v>2700</v>
      </c>
      <c r="E23" s="20" t="inlineStr">
        <is>
          <t>2026-10-16</t>
        </is>
      </c>
      <c r="F23" s="23" t="n">
        <v>3815</v>
      </c>
      <c r="G23" s="32" t="n">
        <v>1115</v>
      </c>
      <c r="H23" s="30" t="n">
        <v>0.413</v>
      </c>
      <c r="I23" s="31" t="n">
        <v>2</v>
      </c>
      <c r="J23" s="31" t="n">
        <v>92</v>
      </c>
      <c r="K23" s="21" t="inlineStr">
        <is>
          <t>元/吨</t>
        </is>
      </c>
    </row>
    <row r="25" ht="26" customHeight="1">
      <c r="A25" s="3" t="inlineStr">
        <is>
          <t>B. 历史区间与分位</t>
        </is>
      </c>
    </row>
    <row r="26" ht="32" customHeight="1">
      <c r="A26" s="5" t="inlineStr">
        <is>
          <t>采购点</t>
        </is>
      </c>
      <c r="B26" s="5" t="inlineStr">
        <is>
          <t>窗口</t>
        </is>
      </c>
      <c r="C26" s="5" t="inlineStr">
        <is>
          <t>样本</t>
        </is>
      </c>
      <c r="D26" s="5" t="inlineStr">
        <is>
          <t>起始日</t>
        </is>
      </c>
      <c r="E26" s="5" t="inlineStr">
        <is>
          <t>低点</t>
        </is>
      </c>
      <c r="F26" s="5" t="inlineStr">
        <is>
          <t>低点日期</t>
        </is>
      </c>
      <c r="G26" s="5" t="inlineStr">
        <is>
          <t>高点</t>
        </is>
      </c>
      <c r="H26" s="5" t="inlineStr">
        <is>
          <t>高点日期</t>
        </is>
      </c>
      <c r="I26" s="5" t="inlineStr">
        <is>
          <t>中位数</t>
        </is>
      </c>
      <c r="J26" s="5" t="inlineStr">
        <is>
          <t>当前分位</t>
        </is>
      </c>
      <c r="K26" s="5" t="inlineStr">
        <is>
          <t>区间位置</t>
        </is>
      </c>
    </row>
    <row r="27">
      <c r="A27" s="6" t="inlineStr">
        <is>
          <t>华东太仓</t>
        </is>
      </c>
      <c r="B27" s="20" t="inlineStr">
        <is>
          <t>7 天</t>
        </is>
      </c>
      <c r="C27" s="31" t="n">
        <v>6</v>
      </c>
      <c r="D27" s="20" t="inlineStr">
        <is>
          <t>2026-10-09</t>
        </is>
      </c>
      <c r="E27" s="23" t="n">
        <v>3730</v>
      </c>
      <c r="F27" s="20" t="inlineStr">
        <is>
          <t>2026-10-13</t>
        </is>
      </c>
      <c r="G27" s="23" t="n">
        <v>4940</v>
      </c>
      <c r="H27" s="20" t="inlineStr">
        <is>
          <t>2026-10-10</t>
        </is>
      </c>
      <c r="I27" s="23" t="n">
        <v>4003.8</v>
      </c>
      <c r="J27" s="33" t="n">
        <v>0.333</v>
      </c>
      <c r="K27" s="34" t="n">
        <v>0.19</v>
      </c>
    </row>
    <row r="28">
      <c r="A28" s="6" t="inlineStr">
        <is>
          <t>华东太仓</t>
        </is>
      </c>
      <c r="B28" s="20" t="inlineStr">
        <is>
          <t>30 天</t>
        </is>
      </c>
      <c r="C28" s="31" t="n">
        <v>8</v>
      </c>
      <c r="D28" s="20" t="inlineStr">
        <is>
          <t>2026-09-16</t>
        </is>
      </c>
      <c r="E28" s="23" t="n">
        <v>3650</v>
      </c>
      <c r="F28" s="20" t="inlineStr">
        <is>
          <t>2026-09-30</t>
        </is>
      </c>
      <c r="G28" s="23" t="n">
        <v>4940</v>
      </c>
      <c r="H28" s="20" t="inlineStr">
        <is>
          <t>2026-10-10</t>
        </is>
      </c>
      <c r="I28" s="23" t="n">
        <v>3971.2</v>
      </c>
      <c r="J28" s="33" t="n">
        <v>0.5</v>
      </c>
      <c r="K28" s="34" t="n">
        <v>0.24</v>
      </c>
    </row>
    <row r="29">
      <c r="A29" s="6" t="inlineStr">
        <is>
          <t>华东太仓</t>
        </is>
      </c>
      <c r="B29" s="20" t="inlineStr">
        <is>
          <t>90 天</t>
        </is>
      </c>
      <c r="C29" s="31" t="n">
        <v>8</v>
      </c>
      <c r="D29" s="20" t="inlineStr">
        <is>
          <t>2026-09-16</t>
        </is>
      </c>
      <c r="E29" s="23" t="n">
        <v>3650</v>
      </c>
      <c r="F29" s="20" t="inlineStr">
        <is>
          <t>2026-09-30</t>
        </is>
      </c>
      <c r="G29" s="23" t="n">
        <v>4940</v>
      </c>
      <c r="H29" s="20" t="inlineStr">
        <is>
          <t>2026-10-10</t>
        </is>
      </c>
      <c r="I29" s="23" t="n">
        <v>3971.2</v>
      </c>
      <c r="J29" s="33" t="n">
        <v>0.5</v>
      </c>
      <c r="K29" s="34" t="n">
        <v>0.24</v>
      </c>
    </row>
    <row r="30">
      <c r="A30" s="6" t="inlineStr">
        <is>
          <t>华东太仓</t>
        </is>
      </c>
      <c r="B30" s="20" t="inlineStr">
        <is>
          <t>1 年</t>
        </is>
      </c>
      <c r="C30" s="31" t="n">
        <v>9</v>
      </c>
      <c r="D30" s="20" t="inlineStr">
        <is>
          <t>2026-07-16</t>
        </is>
      </c>
      <c r="E30" s="23" t="n">
        <v>2690</v>
      </c>
      <c r="F30" s="20" t="inlineStr">
        <is>
          <t>2026-07-16</t>
        </is>
      </c>
      <c r="G30" s="23" t="n">
        <v>4940</v>
      </c>
      <c r="H30" s="20" t="inlineStr">
        <is>
          <t>2026-10-10</t>
        </is>
      </c>
      <c r="I30" s="23" t="n">
        <v>3960</v>
      </c>
      <c r="J30" s="33" t="n">
        <v>0.556</v>
      </c>
      <c r="K30" s="34" t="n">
        <v>0.5639999999999999</v>
      </c>
    </row>
    <row r="31">
      <c r="A31" s="6" t="inlineStr">
        <is>
          <t>华东太仓</t>
        </is>
      </c>
      <c r="B31" s="20" t="inlineStr">
        <is>
          <t>3 年</t>
        </is>
      </c>
      <c r="C31" s="31" t="n">
        <v>9</v>
      </c>
      <c r="D31" s="20" t="inlineStr">
        <is>
          <t>2026-07-16</t>
        </is>
      </c>
      <c r="E31" s="23" t="n">
        <v>2690</v>
      </c>
      <c r="F31" s="20" t="inlineStr">
        <is>
          <t>2026-07-16</t>
        </is>
      </c>
      <c r="G31" s="23" t="n">
        <v>4940</v>
      </c>
      <c r="H31" s="20" t="inlineStr">
        <is>
          <t>2026-10-10</t>
        </is>
      </c>
      <c r="I31" s="23" t="n">
        <v>3960</v>
      </c>
      <c r="J31" s="33" t="n">
        <v>0.556</v>
      </c>
      <c r="K31" s="34" t="n">
        <v>0.5639999999999999</v>
      </c>
    </row>
    <row r="32">
      <c r="A32" s="6" t="inlineStr">
        <is>
          <t>内蒙北线</t>
        </is>
      </c>
      <c r="B32" s="20" t="inlineStr">
        <is>
          <t>7 天</t>
        </is>
      </c>
      <c r="C32" s="31" t="n">
        <v>4</v>
      </c>
      <c r="D32" s="20" t="inlineStr">
        <is>
          <t>2026-10-09</t>
        </is>
      </c>
      <c r="E32" s="23" t="n">
        <v>3115</v>
      </c>
      <c r="F32" s="20" t="inlineStr">
        <is>
          <t>2026-10-16</t>
        </is>
      </c>
      <c r="G32" s="23" t="n">
        <v>3903</v>
      </c>
      <c r="H32" s="20" t="inlineStr">
        <is>
          <t>2026-10-09</t>
        </is>
      </c>
      <c r="I32" s="23" t="n">
        <v>3195</v>
      </c>
      <c r="J32" s="33" t="n">
        <v>0.25</v>
      </c>
      <c r="K32" s="34" t="n">
        <v>0</v>
      </c>
    </row>
    <row r="33">
      <c r="A33" s="6" t="inlineStr">
        <is>
          <t>内蒙北线</t>
        </is>
      </c>
      <c r="B33" s="20" t="inlineStr">
        <is>
          <t>30 天</t>
        </is>
      </c>
      <c r="C33" s="31" t="n">
        <v>5</v>
      </c>
      <c r="D33" s="20" t="inlineStr">
        <is>
          <t>2026-09-16</t>
        </is>
      </c>
      <c r="E33" s="23" t="n">
        <v>3115</v>
      </c>
      <c r="F33" s="20" t="inlineStr">
        <is>
          <t>2026-10-16</t>
        </is>
      </c>
      <c r="G33" s="23" t="n">
        <v>3903</v>
      </c>
      <c r="H33" s="20" t="inlineStr">
        <is>
          <t>2026-10-09</t>
        </is>
      </c>
      <c r="I33" s="23" t="n">
        <v>3195</v>
      </c>
      <c r="J33" s="33" t="n">
        <v>0.2</v>
      </c>
      <c r="K33" s="34" t="n">
        <v>0</v>
      </c>
    </row>
    <row r="34">
      <c r="A34" s="6" t="inlineStr">
        <is>
          <t>内蒙北线</t>
        </is>
      </c>
      <c r="B34" s="20" t="inlineStr">
        <is>
          <t>90 天</t>
        </is>
      </c>
      <c r="C34" s="31" t="n">
        <v>5</v>
      </c>
      <c r="D34" s="20" t="inlineStr">
        <is>
          <t>2026-09-16</t>
        </is>
      </c>
      <c r="E34" s="23" t="n">
        <v>3115</v>
      </c>
      <c r="F34" s="20" t="inlineStr">
        <is>
          <t>2026-10-16</t>
        </is>
      </c>
      <c r="G34" s="23" t="n">
        <v>3903</v>
      </c>
      <c r="H34" s="20" t="inlineStr">
        <is>
          <t>2026-10-09</t>
        </is>
      </c>
      <c r="I34" s="23" t="n">
        <v>3195</v>
      </c>
      <c r="J34" s="33" t="n">
        <v>0.2</v>
      </c>
      <c r="K34" s="34" t="n">
        <v>0</v>
      </c>
    </row>
    <row r="35">
      <c r="A35" s="6" t="inlineStr">
        <is>
          <t>内蒙北线</t>
        </is>
      </c>
      <c r="B35" s="20" t="inlineStr">
        <is>
          <t>1 年</t>
        </is>
      </c>
      <c r="C35" s="31" t="n">
        <v>6</v>
      </c>
      <c r="D35" s="20" t="inlineStr">
        <is>
          <t>2026-07-16</t>
        </is>
      </c>
      <c r="E35" s="23" t="n">
        <v>2205</v>
      </c>
      <c r="F35" s="20" t="inlineStr">
        <is>
          <t>2026-07-16</t>
        </is>
      </c>
      <c r="G35" s="23" t="n">
        <v>3903</v>
      </c>
      <c r="H35" s="20" t="inlineStr">
        <is>
          <t>2026-10-09</t>
        </is>
      </c>
      <c r="I35" s="23" t="n">
        <v>3195</v>
      </c>
      <c r="J35" s="33" t="n">
        <v>0.333</v>
      </c>
      <c r="K35" s="34" t="n">
        <v>0.536</v>
      </c>
    </row>
    <row r="36">
      <c r="A36" s="6" t="inlineStr">
        <is>
          <t>内蒙北线</t>
        </is>
      </c>
      <c r="B36" s="20" t="inlineStr">
        <is>
          <t>3 年</t>
        </is>
      </c>
      <c r="C36" s="31" t="n">
        <v>6</v>
      </c>
      <c r="D36" s="20" t="inlineStr">
        <is>
          <t>2026-07-16</t>
        </is>
      </c>
      <c r="E36" s="23" t="n">
        <v>2205</v>
      </c>
      <c r="F36" s="20" t="inlineStr">
        <is>
          <t>2026-07-16</t>
        </is>
      </c>
      <c r="G36" s="23" t="n">
        <v>3903</v>
      </c>
      <c r="H36" s="20" t="inlineStr">
        <is>
          <t>2026-10-09</t>
        </is>
      </c>
      <c r="I36" s="23" t="n">
        <v>3195</v>
      </c>
      <c r="J36" s="33" t="n">
        <v>0.333</v>
      </c>
      <c r="K36" s="34" t="n">
        <v>0.536</v>
      </c>
    </row>
    <row r="37">
      <c r="A37" s="6" t="inlineStr">
        <is>
          <t>山东临沂</t>
        </is>
      </c>
      <c r="B37" s="20" t="inlineStr">
        <is>
          <t>7 天</t>
        </is>
      </c>
      <c r="C37" s="31" t="n">
        <v>3</v>
      </c>
      <c r="D37" s="20" t="inlineStr">
        <is>
          <t>2026-10-13</t>
        </is>
      </c>
      <c r="E37" s="23" t="n">
        <v>3320</v>
      </c>
      <c r="F37" s="20" t="inlineStr">
        <is>
          <t>2026-10-16</t>
        </is>
      </c>
      <c r="G37" s="23" t="n">
        <v>3410</v>
      </c>
      <c r="H37" s="20" t="inlineStr">
        <is>
          <t>2026-10-13</t>
        </is>
      </c>
      <c r="I37" s="23" t="n">
        <v>3385</v>
      </c>
      <c r="J37" s="33" t="n">
        <v>0.333</v>
      </c>
      <c r="K37" s="34" t="n">
        <v>0</v>
      </c>
    </row>
    <row r="38">
      <c r="A38" s="6" t="inlineStr">
        <is>
          <t>山东临沂</t>
        </is>
      </c>
      <c r="B38" s="20" t="inlineStr">
        <is>
          <t>30 天</t>
        </is>
      </c>
      <c r="C38" s="31" t="n">
        <v>4</v>
      </c>
      <c r="D38" s="20" t="inlineStr">
        <is>
          <t>2026-09-16</t>
        </is>
      </c>
      <c r="E38" s="23" t="n">
        <v>3320</v>
      </c>
      <c r="F38" s="20" t="inlineStr">
        <is>
          <t>2026-10-16</t>
        </is>
      </c>
      <c r="G38" s="23" t="n">
        <v>3625</v>
      </c>
      <c r="H38" s="20" t="inlineStr">
        <is>
          <t>2026-09-16</t>
        </is>
      </c>
      <c r="I38" s="23" t="n">
        <v>3385</v>
      </c>
      <c r="J38" s="33" t="n">
        <v>0.25</v>
      </c>
      <c r="K38" s="34" t="n">
        <v>0</v>
      </c>
    </row>
    <row r="39">
      <c r="A39" s="6" t="inlineStr">
        <is>
          <t>山东临沂</t>
        </is>
      </c>
      <c r="B39" s="20" t="inlineStr">
        <is>
          <t>90 天</t>
        </is>
      </c>
      <c r="C39" s="31" t="n">
        <v>4</v>
      </c>
      <c r="D39" s="20" t="inlineStr">
        <is>
          <t>2026-09-16</t>
        </is>
      </c>
      <c r="E39" s="23" t="n">
        <v>3320</v>
      </c>
      <c r="F39" s="20" t="inlineStr">
        <is>
          <t>2026-10-16</t>
        </is>
      </c>
      <c r="G39" s="23" t="n">
        <v>3625</v>
      </c>
      <c r="H39" s="20" t="inlineStr">
        <is>
          <t>2026-09-16</t>
        </is>
      </c>
      <c r="I39" s="23" t="n">
        <v>3385</v>
      </c>
      <c r="J39" s="33" t="n">
        <v>0.25</v>
      </c>
      <c r="K39" s="34" t="n">
        <v>0</v>
      </c>
    </row>
    <row r="40">
      <c r="A40" s="6" t="inlineStr">
        <is>
          <t>山东临沂</t>
        </is>
      </c>
      <c r="B40" s="20" t="inlineStr">
        <is>
          <t>1 年</t>
        </is>
      </c>
      <c r="C40" s="31" t="n">
        <v>5</v>
      </c>
      <c r="D40" s="20" t="inlineStr">
        <is>
          <t>2026-07-16</t>
        </is>
      </c>
      <c r="E40" s="23" t="n">
        <v>2535</v>
      </c>
      <c r="F40" s="20" t="inlineStr">
        <is>
          <t>2026-07-16</t>
        </is>
      </c>
      <c r="G40" s="23" t="n">
        <v>3625</v>
      </c>
      <c r="H40" s="20" t="inlineStr">
        <is>
          <t>2026-09-16</t>
        </is>
      </c>
      <c r="I40" s="23" t="n">
        <v>3385</v>
      </c>
      <c r="J40" s="33" t="n">
        <v>0.4</v>
      </c>
      <c r="K40" s="34" t="n">
        <v>0.72</v>
      </c>
    </row>
    <row r="41">
      <c r="A41" s="6" t="inlineStr">
        <is>
          <t>山东临沂</t>
        </is>
      </c>
      <c r="B41" s="20" t="inlineStr">
        <is>
          <t>3 年</t>
        </is>
      </c>
      <c r="C41" s="31" t="n">
        <v>5</v>
      </c>
      <c r="D41" s="20" t="inlineStr">
        <is>
          <t>2026-07-16</t>
        </is>
      </c>
      <c r="E41" s="23" t="n">
        <v>2535</v>
      </c>
      <c r="F41" s="20" t="inlineStr">
        <is>
          <t>2026-07-16</t>
        </is>
      </c>
      <c r="G41" s="23" t="n">
        <v>3625</v>
      </c>
      <c r="H41" s="20" t="inlineStr">
        <is>
          <t>2026-09-16</t>
        </is>
      </c>
      <c r="I41" s="23" t="n">
        <v>3385</v>
      </c>
      <c r="J41" s="33" t="n">
        <v>0.4</v>
      </c>
      <c r="K41" s="34" t="n">
        <v>0.72</v>
      </c>
    </row>
    <row r="42">
      <c r="A42" s="6" t="inlineStr">
        <is>
          <t>河南</t>
        </is>
      </c>
      <c r="B42" s="20" t="inlineStr">
        <is>
          <t>30 天</t>
        </is>
      </c>
      <c r="C42" s="31" t="n">
        <v>3</v>
      </c>
      <c r="D42" s="20" t="inlineStr">
        <is>
          <t>2026-09-16</t>
        </is>
      </c>
      <c r="E42" s="23" t="n">
        <v>3285</v>
      </c>
      <c r="F42" s="20" t="inlineStr">
        <is>
          <t>2026-10-16</t>
        </is>
      </c>
      <c r="G42" s="23" t="n">
        <v>3545</v>
      </c>
      <c r="H42" s="20" t="inlineStr">
        <is>
          <t>2026-09-16</t>
        </is>
      </c>
      <c r="I42" s="23" t="n">
        <v>3310</v>
      </c>
      <c r="J42" s="33" t="n">
        <v>0.333</v>
      </c>
      <c r="K42" s="34" t="n">
        <v>0</v>
      </c>
    </row>
    <row r="43">
      <c r="A43" s="6" t="inlineStr">
        <is>
          <t>河南</t>
        </is>
      </c>
      <c r="B43" s="20" t="inlineStr">
        <is>
          <t>90 天</t>
        </is>
      </c>
      <c r="C43" s="31" t="n">
        <v>3</v>
      </c>
      <c r="D43" s="20" t="inlineStr">
        <is>
          <t>2026-09-16</t>
        </is>
      </c>
      <c r="E43" s="23" t="n">
        <v>3285</v>
      </c>
      <c r="F43" s="20" t="inlineStr">
        <is>
          <t>2026-10-16</t>
        </is>
      </c>
      <c r="G43" s="23" t="n">
        <v>3545</v>
      </c>
      <c r="H43" s="20" t="inlineStr">
        <is>
          <t>2026-09-16</t>
        </is>
      </c>
      <c r="I43" s="23" t="n">
        <v>3310</v>
      </c>
      <c r="J43" s="33" t="n">
        <v>0.333</v>
      </c>
      <c r="K43" s="34" t="n">
        <v>0</v>
      </c>
    </row>
    <row r="44">
      <c r="A44" s="6" t="inlineStr">
        <is>
          <t>河南</t>
        </is>
      </c>
      <c r="B44" s="20" t="inlineStr">
        <is>
          <t>1 年</t>
        </is>
      </c>
      <c r="C44" s="31" t="n">
        <v>4</v>
      </c>
      <c r="D44" s="20" t="inlineStr">
        <is>
          <t>2026-07-16</t>
        </is>
      </c>
      <c r="E44" s="23" t="n">
        <v>2435</v>
      </c>
      <c r="F44" s="20" t="inlineStr">
        <is>
          <t>2026-07-16</t>
        </is>
      </c>
      <c r="G44" s="23" t="n">
        <v>3545</v>
      </c>
      <c r="H44" s="20" t="inlineStr">
        <is>
          <t>2026-09-16</t>
        </is>
      </c>
      <c r="I44" s="23" t="n">
        <v>3297.5</v>
      </c>
      <c r="J44" s="33" t="n">
        <v>0.5</v>
      </c>
      <c r="K44" s="34" t="n">
        <v>0.7659999999999999</v>
      </c>
    </row>
    <row r="45">
      <c r="A45" s="6" t="inlineStr">
        <is>
          <t>河南</t>
        </is>
      </c>
      <c r="B45" s="20" t="inlineStr">
        <is>
          <t>3 年</t>
        </is>
      </c>
      <c r="C45" s="31" t="n">
        <v>4</v>
      </c>
      <c r="D45" s="20" t="inlineStr">
        <is>
          <t>2026-07-16</t>
        </is>
      </c>
      <c r="E45" s="23" t="n">
        <v>2435</v>
      </c>
      <c r="F45" s="20" t="inlineStr">
        <is>
          <t>2026-07-16</t>
        </is>
      </c>
      <c r="G45" s="23" t="n">
        <v>3545</v>
      </c>
      <c r="H45" s="20" t="inlineStr">
        <is>
          <t>2026-09-16</t>
        </is>
      </c>
      <c r="I45" s="23" t="n">
        <v>3297.5</v>
      </c>
      <c r="J45" s="33" t="n">
        <v>0.5</v>
      </c>
      <c r="K45" s="34" t="n">
        <v>0.7659999999999999</v>
      </c>
    </row>
    <row r="46">
      <c r="A46" s="6" t="inlineStr">
        <is>
          <t>河北</t>
        </is>
      </c>
      <c r="B46" s="20" t="inlineStr">
        <is>
          <t>30 天</t>
        </is>
      </c>
      <c r="C46" s="31" t="n">
        <v>3</v>
      </c>
      <c r="D46" s="20" t="inlineStr">
        <is>
          <t>2026-09-16</t>
        </is>
      </c>
      <c r="E46" s="23" t="n">
        <v>3350</v>
      </c>
      <c r="F46" s="20" t="inlineStr">
        <is>
          <t>2026-10-14</t>
        </is>
      </c>
      <c r="G46" s="23" t="n">
        <v>3425</v>
      </c>
      <c r="H46" s="20" t="inlineStr">
        <is>
          <t>2026-09-16</t>
        </is>
      </c>
      <c r="I46" s="23" t="n">
        <v>3350</v>
      </c>
      <c r="J46" s="33" t="n">
        <v>0.667</v>
      </c>
      <c r="K46" s="34" t="n">
        <v>0</v>
      </c>
    </row>
    <row r="47">
      <c r="A47" s="6" t="inlineStr">
        <is>
          <t>河北</t>
        </is>
      </c>
      <c r="B47" s="20" t="inlineStr">
        <is>
          <t>90 天</t>
        </is>
      </c>
      <c r="C47" s="31" t="n">
        <v>3</v>
      </c>
      <c r="D47" s="20" t="inlineStr">
        <is>
          <t>2026-09-16</t>
        </is>
      </c>
      <c r="E47" s="23" t="n">
        <v>3350</v>
      </c>
      <c r="F47" s="20" t="inlineStr">
        <is>
          <t>2026-10-14</t>
        </is>
      </c>
      <c r="G47" s="23" t="n">
        <v>3425</v>
      </c>
      <c r="H47" s="20" t="inlineStr">
        <is>
          <t>2026-09-16</t>
        </is>
      </c>
      <c r="I47" s="23" t="n">
        <v>3350</v>
      </c>
      <c r="J47" s="33" t="n">
        <v>0.667</v>
      </c>
      <c r="K47" s="34" t="n">
        <v>0</v>
      </c>
    </row>
    <row r="48">
      <c r="A48" s="6" t="inlineStr">
        <is>
          <t>河北</t>
        </is>
      </c>
      <c r="B48" s="20" t="inlineStr">
        <is>
          <t>1 年</t>
        </is>
      </c>
      <c r="C48" s="31" t="n">
        <v>4</v>
      </c>
      <c r="D48" s="20" t="inlineStr">
        <is>
          <t>2026-07-16</t>
        </is>
      </c>
      <c r="E48" s="23" t="n">
        <v>2390</v>
      </c>
      <c r="F48" s="20" t="inlineStr">
        <is>
          <t>2026-07-16</t>
        </is>
      </c>
      <c r="G48" s="23" t="n">
        <v>3425</v>
      </c>
      <c r="H48" s="20" t="inlineStr">
        <is>
          <t>2026-09-16</t>
        </is>
      </c>
      <c r="I48" s="23" t="n">
        <v>3350</v>
      </c>
      <c r="J48" s="33" t="n">
        <v>0.75</v>
      </c>
      <c r="K48" s="34" t="n">
        <v>0.9279999999999999</v>
      </c>
    </row>
    <row r="49">
      <c r="A49" s="6" t="inlineStr">
        <is>
          <t>河北</t>
        </is>
      </c>
      <c r="B49" s="20" t="inlineStr">
        <is>
          <t>3 年</t>
        </is>
      </c>
      <c r="C49" s="31" t="n">
        <v>4</v>
      </c>
      <c r="D49" s="20" t="inlineStr">
        <is>
          <t>2026-07-16</t>
        </is>
      </c>
      <c r="E49" s="23" t="n">
        <v>2390</v>
      </c>
      <c r="F49" s="20" t="inlineStr">
        <is>
          <t>2026-07-16</t>
        </is>
      </c>
      <c r="G49" s="23" t="n">
        <v>3425</v>
      </c>
      <c r="H49" s="20" t="inlineStr">
        <is>
          <t>2026-09-16</t>
        </is>
      </c>
      <c r="I49" s="23" t="n">
        <v>3350</v>
      </c>
      <c r="J49" s="33" t="n">
        <v>0.75</v>
      </c>
      <c r="K49" s="34" t="n">
        <v>0.9279999999999999</v>
      </c>
    </row>
    <row r="50">
      <c r="A50" s="6" t="inlineStr">
        <is>
          <t>广东</t>
        </is>
      </c>
      <c r="B50" s="20" t="inlineStr">
        <is>
          <t>1 年</t>
        </is>
      </c>
      <c r="C50" s="31" t="n">
        <v>3</v>
      </c>
      <c r="D50" s="20" t="inlineStr">
        <is>
          <t>2026-07-16</t>
        </is>
      </c>
      <c r="E50" s="23" t="n">
        <v>2700</v>
      </c>
      <c r="F50" s="20" t="inlineStr">
        <is>
          <t>2026-07-16</t>
        </is>
      </c>
      <c r="G50" s="23" t="n">
        <v>4020</v>
      </c>
      <c r="H50" s="20" t="inlineStr">
        <is>
          <t>2026-10-14</t>
        </is>
      </c>
      <c r="I50" s="23" t="n">
        <v>3815</v>
      </c>
      <c r="J50" s="33" t="n">
        <v>0.667</v>
      </c>
      <c r="K50" s="34" t="n">
        <v>0.845</v>
      </c>
    </row>
    <row r="51">
      <c r="A51" s="6" t="inlineStr">
        <is>
          <t>广东</t>
        </is>
      </c>
      <c r="B51" s="20" t="inlineStr">
        <is>
          <t>3 年</t>
        </is>
      </c>
      <c r="C51" s="31" t="n">
        <v>3</v>
      </c>
      <c r="D51" s="20" t="inlineStr">
        <is>
          <t>2026-07-16</t>
        </is>
      </c>
      <c r="E51" s="23" t="n">
        <v>2700</v>
      </c>
      <c r="F51" s="20" t="inlineStr">
        <is>
          <t>2026-07-16</t>
        </is>
      </c>
      <c r="G51" s="23" t="n">
        <v>4020</v>
      </c>
      <c r="H51" s="20" t="inlineStr">
        <is>
          <t>2026-10-14</t>
        </is>
      </c>
      <c r="I51" s="23" t="n">
        <v>3815</v>
      </c>
      <c r="J51" s="33" t="n">
        <v>0.667</v>
      </c>
      <c r="K51" s="34" t="n">
        <v>0.845</v>
      </c>
    </row>
    <row r="52">
      <c r="A52" s="6" t="inlineStr">
        <is>
          <t>CFR中国（美元）</t>
        </is>
      </c>
      <c r="B52" s="20" t="inlineStr">
        <is>
          <t>7 天</t>
        </is>
      </c>
      <c r="C52" s="31" t="n">
        <v>3</v>
      </c>
      <c r="D52" s="20" t="inlineStr">
        <is>
          <t>2026-10-13</t>
        </is>
      </c>
      <c r="E52" s="23" t="n">
        <v>459</v>
      </c>
      <c r="F52" s="20" t="inlineStr">
        <is>
          <t>2026-10-16</t>
        </is>
      </c>
      <c r="G52" s="23" t="n">
        <v>542</v>
      </c>
      <c r="H52" s="20" t="inlineStr">
        <is>
          <t>2026-10-13</t>
        </is>
      </c>
      <c r="I52" s="23" t="n">
        <v>474</v>
      </c>
      <c r="J52" s="33" t="n">
        <v>0.333</v>
      </c>
      <c r="K52" s="34" t="n">
        <v>0</v>
      </c>
    </row>
    <row r="53">
      <c r="A53" s="6" t="inlineStr">
        <is>
          <t>CFR中国（美元）</t>
        </is>
      </c>
      <c r="B53" s="20" t="inlineStr">
        <is>
          <t>30 天</t>
        </is>
      </c>
      <c r="C53" s="31" t="n">
        <v>3</v>
      </c>
      <c r="D53" s="20" t="inlineStr">
        <is>
          <t>2026-10-13</t>
        </is>
      </c>
      <c r="E53" s="23" t="n">
        <v>459</v>
      </c>
      <c r="F53" s="20" t="inlineStr">
        <is>
          <t>2026-10-16</t>
        </is>
      </c>
      <c r="G53" s="23" t="n">
        <v>542</v>
      </c>
      <c r="H53" s="20" t="inlineStr">
        <is>
          <t>2026-10-13</t>
        </is>
      </c>
      <c r="I53" s="23" t="n">
        <v>474</v>
      </c>
      <c r="J53" s="33" t="n">
        <v>0.333</v>
      </c>
      <c r="K53" s="34" t="n">
        <v>0</v>
      </c>
    </row>
    <row r="54">
      <c r="A54" s="6" t="inlineStr">
        <is>
          <t>CFR中国（美元）</t>
        </is>
      </c>
      <c r="B54" s="20" t="inlineStr">
        <is>
          <t>90 天</t>
        </is>
      </c>
      <c r="C54" s="31" t="n">
        <v>3</v>
      </c>
      <c r="D54" s="20" t="inlineStr">
        <is>
          <t>2026-10-13</t>
        </is>
      </c>
      <c r="E54" s="23" t="n">
        <v>459</v>
      </c>
      <c r="F54" s="20" t="inlineStr">
        <is>
          <t>2026-10-16</t>
        </is>
      </c>
      <c r="G54" s="23" t="n">
        <v>542</v>
      </c>
      <c r="H54" s="20" t="inlineStr">
        <is>
          <t>2026-10-13</t>
        </is>
      </c>
      <c r="I54" s="23" t="n">
        <v>474</v>
      </c>
      <c r="J54" s="33" t="n">
        <v>0.333</v>
      </c>
      <c r="K54" s="34" t="n">
        <v>0</v>
      </c>
    </row>
    <row r="55">
      <c r="A55" s="6" t="inlineStr">
        <is>
          <t>CFR中国（美元）</t>
        </is>
      </c>
      <c r="B55" s="20" t="inlineStr">
        <is>
          <t>1 年</t>
        </is>
      </c>
      <c r="C55" s="31" t="n">
        <v>3</v>
      </c>
      <c r="D55" s="20" t="inlineStr">
        <is>
          <t>2026-10-13</t>
        </is>
      </c>
      <c r="E55" s="23" t="n">
        <v>459</v>
      </c>
      <c r="F55" s="20" t="inlineStr">
        <is>
          <t>2026-10-16</t>
        </is>
      </c>
      <c r="G55" s="23" t="n">
        <v>542</v>
      </c>
      <c r="H55" s="20" t="inlineStr">
        <is>
          <t>2026-10-13</t>
        </is>
      </c>
      <c r="I55" s="23" t="n">
        <v>474</v>
      </c>
      <c r="J55" s="33" t="n">
        <v>0.333</v>
      </c>
      <c r="K55" s="34" t="n">
        <v>0</v>
      </c>
    </row>
    <row r="56">
      <c r="A56" s="6" t="inlineStr">
        <is>
          <t>CFR中国（美元）</t>
        </is>
      </c>
      <c r="B56" s="20" t="inlineStr">
        <is>
          <t>3 年</t>
        </is>
      </c>
      <c r="C56" s="31" t="n">
        <v>3</v>
      </c>
      <c r="D56" s="20" t="inlineStr">
        <is>
          <t>2026-10-13</t>
        </is>
      </c>
      <c r="E56" s="23" t="n">
        <v>459</v>
      </c>
      <c r="F56" s="20" t="inlineStr">
        <is>
          <t>2026-10-16</t>
        </is>
      </c>
      <c r="G56" s="23" t="n">
        <v>542</v>
      </c>
      <c r="H56" s="20" t="inlineStr">
        <is>
          <t>2026-10-13</t>
        </is>
      </c>
      <c r="I56" s="23" t="n">
        <v>474</v>
      </c>
      <c r="J56" s="33" t="n">
        <v>0.333</v>
      </c>
      <c r="K56" s="34" t="n">
        <v>0</v>
      </c>
    </row>
    <row r="58" ht="18" customHeight="1">
      <c r="A58" s="19" t="inlineStr">
        <is>
          <t>分位 = 窗口内低于当前价的报价点占比；区间位置 = (当前价−低点)/(高点−低点)。两者都是“这几次报价的范围”，不是连续行情统计量。</t>
        </is>
      </c>
    </row>
  </sheetData>
  <mergeCells count="5">
    <mergeCell ref="A58:K58"/>
    <mergeCell ref="A4:K4"/>
    <mergeCell ref="A25:K25"/>
    <mergeCell ref="A2:K2"/>
    <mergeCell ref="A1:K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tabColor rgb="002A4A72"/>
    <outlinePr summaryBelow="1" summaryRight="1"/>
    <pageSetUpPr fitToPage="1"/>
  </sheetPr>
  <dimension ref="A1:J2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20" customWidth="1" min="7" max="7"/>
    <col width="12" customWidth="1" min="8" max="8"/>
    <col width="40" customWidth="1" min="9" max="9"/>
    <col width="40" customWidth="1" min="10" max="10"/>
  </cols>
  <sheetData>
    <row r="1" ht="36" customHeight="1">
      <c r="A1" s="1" t="inlineStr">
        <is>
          <t>04 · 区域价差（只在同日比）</t>
        </is>
      </c>
    </row>
    <row r="2" ht="32" customHeight="1">
      <c r="A2" s="2" t="inlineStr">
        <is>
          <t>跨日期相减得到的是时间差，不是地区差。价差里含运费、仓储、升贴水与提货方式差异，别当成“纯地区溢价”。</t>
        </is>
      </c>
    </row>
    <row r="4" ht="32" customHeight="1">
      <c r="A4" s="5" t="inlineStr">
        <is>
          <t>日期</t>
        </is>
      </c>
      <c r="B4" s="5" t="inlineStr">
        <is>
          <t>采购点</t>
        </is>
      </c>
      <c r="C4" s="5" t="inlineStr">
        <is>
          <t>基准点</t>
        </is>
      </c>
      <c r="D4" s="5" t="inlineStr">
        <is>
          <t>该点中值</t>
        </is>
      </c>
      <c r="E4" s="5" t="inlineStr">
        <is>
          <t>基准中值</t>
        </is>
      </c>
      <c r="F4" s="5" t="inlineStr">
        <is>
          <t>差（该点−基准）</t>
        </is>
      </c>
      <c r="G4" s="5" t="inlineStr">
        <is>
          <t>提货方式</t>
        </is>
      </c>
      <c r="H4" s="5" t="inlineStr">
        <is>
          <t>货源属性</t>
        </is>
      </c>
      <c r="I4" s="5" t="inlineStr">
        <is>
          <t>备注</t>
        </is>
      </c>
      <c r="J4" s="5" t="inlineStr">
        <is>
          <t>来源</t>
        </is>
      </c>
    </row>
    <row r="5" ht="30" customHeight="1">
      <c r="A5" s="20" t="inlineStr">
        <is>
          <t>2026-10-16</t>
        </is>
      </c>
      <c r="B5" s="6" t="inlineStr">
        <is>
          <t>江苏徐州（生意社基准价）</t>
        </is>
      </c>
      <c r="C5" s="8" t="inlineStr">
        <is>
          <t>华东太仓</t>
        </is>
      </c>
      <c r="D5" s="23" t="n">
        <v>3990</v>
      </c>
      <c r="E5" s="23" t="n">
        <v>3960</v>
      </c>
      <c r="F5" s="35" t="n">
        <v>30</v>
      </c>
      <c r="G5" s="8" t="inlineStr">
        <is>
          <t>生意社价格（结算参考价）</t>
        </is>
      </c>
      <c r="H5" s="20" t="inlineStr">
        <is>
          <t>备选</t>
        </is>
      </c>
      <c r="I5" s="10" t="inlineStr">
        <is>
          <t>生意社明确为“交易指导价/结算价”口径，含 K、C 调整系数，不等于罐区成交价。</t>
        </is>
      </c>
      <c r="J5" s="10" t="inlineStr">
        <is>
          <t>生意社《甲醇基准价》商品情报 2026-10-16</t>
        </is>
      </c>
    </row>
    <row r="6" ht="16" customHeight="1">
      <c r="A6" s="24" t="inlineStr">
        <is>
          <t>2026-10-16</t>
        </is>
      </c>
      <c r="B6" s="11" t="inlineStr">
        <is>
          <t>常州</t>
        </is>
      </c>
      <c r="C6" s="13" t="inlineStr">
        <is>
          <t>华东太仓</t>
        </is>
      </c>
      <c r="D6" s="27" t="n">
        <v>3715</v>
      </c>
      <c r="E6" s="27" t="n">
        <v>3960</v>
      </c>
      <c r="F6" s="36" t="n">
        <v>-245</v>
      </c>
      <c r="G6" s="13" t="inlineStr">
        <is>
          <t>含税现汇·库提</t>
        </is>
      </c>
      <c r="H6" s="24" t="inlineStr">
        <is>
          <t>当前货源</t>
        </is>
      </c>
      <c r="I6" s="15" t="inlineStr">
        <is>
          <t>较太仓同日低 268，属换库/物流差异。</t>
        </is>
      </c>
      <c r="J6" s="15" t="inlineStr">
        <is>
          <t>华泰期货 2026-10-16（隆众数据）</t>
        </is>
      </c>
    </row>
    <row r="7" ht="16" customHeight="1">
      <c r="A7" s="20" t="inlineStr">
        <is>
          <t>2026-10-16</t>
        </is>
      </c>
      <c r="B7" s="6" t="inlineStr">
        <is>
          <t>内蒙北线</t>
        </is>
      </c>
      <c r="C7" s="8" t="inlineStr">
        <is>
          <t>华东太仓</t>
        </is>
      </c>
      <c r="D7" s="23" t="n">
        <v>3115</v>
      </c>
      <c r="E7" s="23" t="n">
        <v>3960</v>
      </c>
      <c r="F7" s="36" t="n">
        <v>-845</v>
      </c>
      <c r="G7" s="8" t="inlineStr">
        <is>
          <t>出厂现汇·厂提</t>
        </is>
      </c>
      <c r="H7" s="20" t="inlineStr">
        <is>
          <t>备选</t>
        </is>
      </c>
      <c r="I7" s="10" t="inlineStr">
        <is>
          <t>隆众指数附列为 3072.5；两口径差约 42。</t>
        </is>
      </c>
      <c r="J7" s="10" t="inlineStr">
        <is>
          <t>华泰期货 2026-10-16（隆众数据）</t>
        </is>
      </c>
    </row>
    <row r="8" ht="16" customHeight="1">
      <c r="A8" s="24" t="inlineStr">
        <is>
          <t>2026-10-16</t>
        </is>
      </c>
      <c r="B8" s="11" t="inlineStr">
        <is>
          <t>山东临沂</t>
        </is>
      </c>
      <c r="C8" s="13" t="inlineStr">
        <is>
          <t>华东太仓</t>
        </is>
      </c>
      <c r="D8" s="27" t="n">
        <v>3320</v>
      </c>
      <c r="E8" s="27" t="n">
        <v>3960</v>
      </c>
      <c r="F8" s="36" t="n">
        <v>-640</v>
      </c>
      <c r="G8" s="13" t="inlineStr">
        <is>
          <t>送到现汇</t>
        </is>
      </c>
      <c r="H8" s="24" t="inlineStr">
        <is>
          <t>备选</t>
        </is>
      </c>
      <c r="I8" s="15" t="inlineStr">
        <is>
          <t>较前一日 -135。</t>
        </is>
      </c>
      <c r="J8" s="15" t="inlineStr">
        <is>
          <t>华泰期货 2026-10-16（隆众数据）</t>
        </is>
      </c>
    </row>
    <row r="9" ht="30" customHeight="1">
      <c r="A9" s="20" t="inlineStr">
        <is>
          <t>2026-10-16</t>
        </is>
      </c>
      <c r="B9" s="6" t="inlineStr">
        <is>
          <t>河南</t>
        </is>
      </c>
      <c r="C9" s="8" t="inlineStr">
        <is>
          <t>华东太仓</t>
        </is>
      </c>
      <c r="D9" s="23" t="n">
        <v>3285</v>
      </c>
      <c r="E9" s="23" t="n">
        <v>3960</v>
      </c>
      <c r="F9" s="36" t="n">
        <v>-675</v>
      </c>
      <c r="G9" s="8" t="inlineStr">
        <is>
          <t>出厂现汇</t>
        </is>
      </c>
      <c r="H9" s="20" t="inlineStr">
        <is>
          <t>备选</t>
        </is>
      </c>
      <c r="I9" s="10" t="inlineStr">
        <is>
          <t>期货合约已转为锚定河南仓单货（期货公司说法）。</t>
        </is>
      </c>
      <c r="J9" s="10" t="inlineStr">
        <is>
          <t>华泰期货 2026-10-16（隆众数据）</t>
        </is>
      </c>
    </row>
    <row r="10" ht="16" customHeight="1">
      <c r="A10" s="24" t="inlineStr">
        <is>
          <t>2026-10-16</t>
        </is>
      </c>
      <c r="B10" s="11" t="inlineStr">
        <is>
          <t>河北</t>
        </is>
      </c>
      <c r="C10" s="13" t="inlineStr">
        <is>
          <t>华东太仓</t>
        </is>
      </c>
      <c r="D10" s="27" t="n">
        <v>3350</v>
      </c>
      <c r="E10" s="27" t="n">
        <v>3960</v>
      </c>
      <c r="F10" s="36" t="n">
        <v>-610</v>
      </c>
      <c r="G10" s="13" t="inlineStr">
        <is>
          <t>出厂现汇</t>
        </is>
      </c>
      <c r="H10" s="24" t="inlineStr">
        <is>
          <t>备选</t>
        </is>
      </c>
      <c r="I10" s="15" t="inlineStr">
        <is>
          <t>较前一日 -25。</t>
        </is>
      </c>
      <c r="J10" s="15" t="inlineStr">
        <is>
          <t>华泰期货 2026-10-16（隆众数据）</t>
        </is>
      </c>
    </row>
    <row r="11" ht="30" customHeight="1">
      <c r="A11" s="20" t="inlineStr">
        <is>
          <t>2026-10-16</t>
        </is>
      </c>
      <c r="B11" s="6" t="inlineStr">
        <is>
          <t>广东</t>
        </is>
      </c>
      <c r="C11" s="8" t="inlineStr">
        <is>
          <t>华东太仓</t>
        </is>
      </c>
      <c r="D11" s="23" t="n">
        <v>3815</v>
      </c>
      <c r="E11" s="23" t="n">
        <v>3960</v>
      </c>
      <c r="F11" s="36" t="n">
        <v>-145</v>
      </c>
      <c r="G11" s="8" t="inlineStr">
        <is>
          <t>含税现汇·库提</t>
        </is>
      </c>
      <c r="H11" s="20" t="inlineStr">
        <is>
          <t>备选</t>
        </is>
      </c>
      <c r="I11" s="10" t="inlineStr">
        <is>
          <t>较前一日 -205；广东-华东价差 -348（-163）。</t>
        </is>
      </c>
      <c r="J11" s="10" t="inlineStr">
        <is>
          <t>华泰期货 2026-10-16（隆众数据）</t>
        </is>
      </c>
    </row>
    <row r="12" ht="45" customHeight="1">
      <c r="A12" s="24" t="inlineStr">
        <is>
          <t>2026-10-16</t>
        </is>
      </c>
      <c r="B12" s="11" t="inlineStr">
        <is>
          <t>CFR中国（美元）</t>
        </is>
      </c>
      <c r="C12" s="13" t="inlineStr">
        <is>
          <t>华东太仓</t>
        </is>
      </c>
      <c r="D12" s="27" t="n">
        <v>459</v>
      </c>
      <c r="E12" s="27" t="n">
        <v>3960</v>
      </c>
      <c r="F12" s="36" t="n">
        <v>-3501</v>
      </c>
      <c r="G12" s="13" t="inlineStr">
        <is>
          <t>CFR 中国主港</t>
        </is>
      </c>
      <c r="H12" s="24" t="inlineStr">
        <is>
          <t>备选</t>
        </is>
      </c>
      <c r="I12" s="15" t="inlineStr">
        <is>
          <t>与华东罐区人民币价之间还有汇率、关税/增值税、港杂、罐租与升贴水，不能直接相减当价差。</t>
        </is>
      </c>
      <c r="J12" s="15" t="inlineStr">
        <is>
          <t>华泰期货 2026-10-16（隆众数据）</t>
        </is>
      </c>
    </row>
    <row r="14" ht="26" customHeight="1">
      <c r="A14" s="28" t="inlineStr">
        <is>
          <t>价差走势：太仓 vs 内蒙北线（同期口径）（基准 华东太仓）</t>
        </is>
      </c>
    </row>
    <row r="15" ht="28" customHeight="1">
      <c r="A15" s="5" t="inlineStr">
        <is>
          <t>日期</t>
        </is>
      </c>
      <c r="B15" s="5" t="inlineStr">
        <is>
          <t>华东太仓</t>
        </is>
      </c>
      <c r="C15" s="5" t="inlineStr">
        <is>
          <t>内蒙北线</t>
        </is>
      </c>
    </row>
    <row r="16">
      <c r="A16" s="20" t="inlineStr">
        <is>
          <t>2026-07-16</t>
        </is>
      </c>
      <c r="B16" s="23" t="n">
        <v>2690</v>
      </c>
      <c r="C16" s="23" t="n">
        <v>2205</v>
      </c>
    </row>
    <row r="17">
      <c r="A17" s="20" t="inlineStr">
        <is>
          <t>2026-09-16</t>
        </is>
      </c>
      <c r="B17" s="23" t="n">
        <v>3790</v>
      </c>
      <c r="C17" s="23" t="n">
        <v>3300</v>
      </c>
    </row>
    <row r="18">
      <c r="A18" s="20" t="inlineStr">
        <is>
          <t>2026-10-14</t>
        </is>
      </c>
      <c r="B18" s="23" t="n">
        <v>3845</v>
      </c>
      <c r="C18" s="23" t="n">
        <v>3195</v>
      </c>
    </row>
    <row r="19">
      <c r="A19" s="20" t="inlineStr">
        <is>
          <t>2026-10-16</t>
        </is>
      </c>
      <c r="B19" s="23" t="n">
        <v>3983</v>
      </c>
      <c r="C19" s="23" t="n">
        <v>3115</v>
      </c>
    </row>
    <row r="21" ht="30" customHeight="1">
      <c r="A21" s="19" t="inlineStr">
        <is>
          <t>产区出厂价与港口罐区价的差，包含运费、仓储与品质/品牌升贴水，属于“把货运到华东”的物流成本近似，不是纯区域溢价。 来源：华泰期货 07-16 / 09-16 / 10-14 / 10-16 甲醇日报（隆众数据）；10-09 取创元期货月报</t>
        </is>
      </c>
    </row>
  </sheetData>
  <mergeCells count="4">
    <mergeCell ref="A1:J1"/>
    <mergeCell ref="A21:J21"/>
    <mergeCell ref="A14:J14"/>
    <mergeCell ref="A2:J2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8892B"/>
    <outlinePr summaryBelow="1" summaryRight="1"/>
    <pageSetUpPr fitToPage="1"/>
  </sheetPr>
  <dimension ref="A1:J2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50" customWidth="1" min="9" max="9"/>
    <col width="44" customWidth="1" min="10" max="10"/>
  </cols>
  <sheetData>
    <row r="1" ht="36" customHeight="1">
      <c r="A1" s="1" t="inlineStr">
        <is>
          <t>05 · 上游成本：单耗 × 单价 = 每吨原料成本</t>
        </is>
      </c>
    </row>
    <row r="2" ht="32" customHeight="1">
      <c r="A2" s="2" t="inlineStr">
        <is>
          <t>单耗必须来自公开工艺参数或企业披露；拿不到加工费就不合计。完全成本、现金成本、原料成本三种口径不能混用。</t>
        </is>
      </c>
    </row>
    <row r="4" ht="26" customHeight="1">
      <c r="A4" s="3" t="inlineStr">
        <is>
          <t>A. 上游原料价格（成本项）</t>
        </is>
      </c>
    </row>
    <row r="5" ht="32" customHeight="1">
      <c r="A5" s="5" t="inlineStr">
        <is>
          <t>上游品种</t>
        </is>
      </c>
      <c r="B5" s="5" t="inlineStr">
        <is>
          <t>角色</t>
        </is>
      </c>
      <c r="C5" s="5" t="inlineStr">
        <is>
          <t>数值</t>
        </is>
      </c>
      <c r="D5" s="5" t="inlineStr">
        <is>
          <t>单位</t>
        </is>
      </c>
      <c r="E5" s="5" t="inlineStr">
        <is>
          <t>变化</t>
        </is>
      </c>
      <c r="F5" s="5" t="inlineStr">
        <is>
          <t>日期</t>
        </is>
      </c>
      <c r="G5" s="5" t="inlineStr">
        <is>
          <t>单耗</t>
        </is>
      </c>
      <c r="H5" s="5" t="inlineStr">
        <is>
          <t>影响方向</t>
        </is>
      </c>
      <c r="I5" s="5" t="inlineStr">
        <is>
          <t>传导逻辑</t>
        </is>
      </c>
      <c r="J5" s="5" t="inlineStr">
        <is>
          <t>来源</t>
        </is>
      </c>
    </row>
    <row r="6" ht="90" customHeight="1">
      <c r="A6" s="6" t="inlineStr">
        <is>
          <t>动力煤 Q5500（鄂尔多斯坑口）</t>
        </is>
      </c>
      <c r="B6" s="8" t="inlineStr">
        <is>
          <t>煤制路线主原料</t>
        </is>
      </c>
      <c r="C6" s="22" t="n">
        <v>785</v>
      </c>
      <c r="D6" s="21" t="inlineStr">
        <is>
          <t>元/吨</t>
        </is>
      </c>
      <c r="E6" s="10" t="inlineStr">
        <is>
          <t>较 9 月初 +15；同期 Q6000 940（+100）、曹妃甸 Q5500 指数 989（+103）</t>
        </is>
      </c>
      <c r="F6" s="20" t="inlineStr">
        <is>
          <t>2026-10-16</t>
        </is>
      </c>
      <c r="G6" s="10" t="inlineStr">
        <is>
          <t>煤制路线 1.55 吨煤 / 吨甲醇（工艺参数）</t>
        </is>
      </c>
      <c r="H6" s="37" t="inlineStr">
        <is>
          <t>抬升成本</t>
        </is>
      </c>
      <c r="I6" s="10" t="inlineStr">
        <is>
          <t>煤价上行直接抬高煤制现金成本；但当前甲醇价格兑现的单吨煤价涨幅远大于煤本身，价差主要由港口低库存与进口收缩贡献。</t>
        </is>
      </c>
      <c r="J6" s="10" t="inlineStr">
        <is>
          <t>华泰期货 2026-10-16 日报；创元期货 10 月月报</t>
        </is>
      </c>
    </row>
    <row r="7" ht="105" customHeight="1">
      <c r="A7" s="11" t="inlineStr">
        <is>
          <t>环渤海 Q5500 现货（CCTD）</t>
        </is>
      </c>
      <c r="B7" s="13" t="inlineStr">
        <is>
          <t>沿海煤价基准</t>
        </is>
      </c>
      <c r="C7" s="26" t="n">
        <v>1025</v>
      </c>
      <c r="D7" s="25" t="inlineStr">
        <is>
          <t>元/吨</t>
        </is>
      </c>
      <c r="E7" s="15" t="inlineStr">
        <is>
          <t>10-12 1004 → 10-16 1025；较年初 +47.27%，为 2023 年 10 月中旬以来新高</t>
        </is>
      </c>
      <c r="F7" s="24" t="inlineStr">
        <is>
          <t>2026-10-16</t>
        </is>
      </c>
      <c r="G7" s="15" t="inlineStr">
        <is>
          <t>华东买煤的到岸基准</t>
        </is>
      </c>
      <c r="H7" s="37" t="inlineStr">
        <is>
          <t>抬升成本</t>
        </is>
      </c>
      <c r="I7" s="15" t="inlineStr">
        <is>
          <t>沿海价格破千反映冬储补库与供给偏紧；10-16 发改委/能源局在山西召集加快煤矿复产，属供给端政策变量。</t>
        </is>
      </c>
      <c r="J7" s="15" t="inlineStr">
        <is>
          <t>证券日报 2026-10-19；上海证券报 2026-10-15</t>
        </is>
      </c>
    </row>
    <row r="8" ht="90" customHeight="1">
      <c r="A8" s="6" t="inlineStr">
        <is>
          <t>天然气（西南气头）</t>
        </is>
      </c>
      <c r="B8" s="8" t="inlineStr">
        <is>
          <t>天然气制路线原料</t>
        </is>
      </c>
      <c r="C8" s="22" t="inlineStr">
        <is>
          <t>缺口</t>
        </is>
      </c>
      <c r="D8" s="21" t="inlineStr">
        <is>
          <t>元/方</t>
        </is>
      </c>
      <c r="E8" s="10" t="inlineStr">
        <is>
          <t>仅有“气头成本 2450–2500 元/吨”的成本口径，未取得气价本身</t>
        </is>
      </c>
      <c r="F8" s="20" t="inlineStr">
        <is>
          <t>2026-10-09</t>
        </is>
      </c>
      <c r="G8" s="10" t="inlineStr">
        <is>
          <t>约 1000–1100 方/吨（工艺参数）</t>
        </is>
      </c>
      <c r="H8" s="38" t="inlineStr">
        <is>
          <t>缺口</t>
        </is>
      </c>
      <c r="I8" s="10" t="inlineStr">
        <is>
          <t>气头装置在华东外采体系中占比有限，仅用于判断西北/西南低价货的底部。</t>
        </is>
      </c>
      <c r="J8" s="10" t="inlineStr">
        <is>
          <t>创元期货 10 月月报</t>
        </is>
      </c>
    </row>
    <row r="9" ht="120" customHeight="1">
      <c r="A9" s="11" t="inlineStr">
        <is>
          <t>焦炉气（副产）</t>
        </is>
      </c>
      <c r="B9" s="13" t="inlineStr">
        <is>
          <t>焦炉气制路线原料</t>
        </is>
      </c>
      <c r="C9" s="26" t="inlineStr">
        <is>
          <t>缺口</t>
        </is>
      </c>
      <c r="D9" s="25" t="inlineStr">
        <is>
          <t>—</t>
        </is>
      </c>
      <c r="E9" s="15" t="inlineStr">
        <is>
          <t>未取得焦炉气价格与开工；已取得沂州科技（15+15 万吨/年焦炉气装置）出厂报价 3700（10-16）</t>
        </is>
      </c>
      <c r="F9" s="24" t="inlineStr">
        <is>
          <t>2026-10-16</t>
        </is>
      </c>
      <c r="G9" s="15" t="inlineStr">
        <is>
          <t>—</t>
        </is>
      </c>
      <c r="H9" s="38" t="inlineStr">
        <is>
          <t>缺口</t>
        </is>
      </c>
      <c r="I9" s="15" t="inlineStr">
        <is>
          <t>焦炉气甲醇成本低、弹性小，是高价区间的边际供给来源之一。</t>
        </is>
      </c>
      <c r="J9" s="15" t="inlineStr">
        <is>
          <t>生意社商品情报 2026-10-16</t>
        </is>
      </c>
    </row>
    <row r="11" ht="26" customHeight="1">
      <c r="A11" s="3" t="inlineStr">
        <is>
          <t>B. 成本线（用于判断报价在成本之上还是之下）</t>
        </is>
      </c>
    </row>
    <row r="12" ht="32" customHeight="1">
      <c r="A12" s="5" t="inlineStr">
        <is>
          <t>成本口径</t>
        </is>
      </c>
      <c r="B12" s="5" t="inlineStr">
        <is>
          <t>工艺路线</t>
        </is>
      </c>
      <c r="C12" s="5" t="inlineStr">
        <is>
          <t>数值</t>
        </is>
      </c>
      <c r="D12" s="5" t="inlineStr">
        <is>
          <t>单位</t>
        </is>
      </c>
      <c r="E12" s="5" t="inlineStr">
        <is>
          <t>日期</t>
        </is>
      </c>
      <c r="F12" s="5" t="inlineStr">
        <is>
          <t>类型</t>
        </is>
      </c>
      <c r="G12" s="5" t="inlineStr">
        <is>
          <t>是否派生</t>
        </is>
      </c>
      <c r="H12" s="5" t="inlineStr">
        <is>
          <t>说明</t>
        </is>
      </c>
      <c r="I12" s="5" t="inlineStr">
        <is>
          <t>来源</t>
        </is>
      </c>
      <c r="J12" s="5" t="inlineStr"/>
    </row>
    <row r="13" ht="135" customHeight="1">
      <c r="A13" s="6" t="inlineStr">
        <is>
          <t>内蒙煤制完全成本（含税到厂口径，按企业披露成本折算）</t>
        </is>
      </c>
      <c r="B13" s="20" t="inlineStr">
        <is>
          <t>煤制</t>
        </is>
      </c>
      <c r="C13" s="22" t="n">
        <v>2638</v>
      </c>
      <c r="D13" s="21" t="inlineStr">
        <is>
          <t>元/吨</t>
        </is>
      </c>
      <c r="E13" s="20" t="inlineStr">
        <is>
          <t>2026-10-08</t>
        </is>
      </c>
      <c r="F13" s="20" t="inlineStr">
        <is>
          <t>完全成本</t>
        </is>
      </c>
      <c r="G13" s="38" t="inlineStr">
        <is>
          <t>派生值</t>
        </is>
      </c>
      <c r="H13" s="10" t="inlineStr">
        <is>
          <t>创元期货：内蒙煤制甲醇完全成本 2638 元/吨、利润 1288 元/吨，对应 10-08 内蒙价格反推，属派生值。</t>
        </is>
      </c>
      <c r="I13" s="10" t="inlineStr">
        <is>
          <t>创元期货 10 月甲醇月报（2026-10-12）</t>
        </is>
      </c>
      <c r="J13" s="8" t="inlineStr"/>
    </row>
    <row r="14" ht="30" customHeight="1">
      <c r="A14" s="11" t="inlineStr">
        <is>
          <t>山东煤制完全成本</t>
        </is>
      </c>
      <c r="B14" s="24" t="inlineStr">
        <is>
          <t>煤制</t>
        </is>
      </c>
      <c r="C14" s="26" t="n">
        <v>2888</v>
      </c>
      <c r="D14" s="25" t="inlineStr">
        <is>
          <t>元/吨</t>
        </is>
      </c>
      <c r="E14" s="24" t="inlineStr">
        <is>
          <t>2026-10-08</t>
        </is>
      </c>
      <c r="F14" s="24" t="inlineStr">
        <is>
          <t>完全成本</t>
        </is>
      </c>
      <c r="G14" s="24" t="inlineStr">
        <is>
          <t>原始披露</t>
        </is>
      </c>
      <c r="H14" s="15" t="inlineStr">
        <is>
          <t>原文直接披露。</t>
        </is>
      </c>
      <c r="I14" s="15" t="inlineStr">
        <is>
          <t>创元期货 10 月甲醇月报（2026-10-12）</t>
        </is>
      </c>
      <c r="J14" s="13" t="inlineStr"/>
    </row>
    <row r="15" ht="105" customHeight="1">
      <c r="A15" s="6" t="inlineStr">
        <is>
          <t>西南天然气制成本区间（上沿）</t>
        </is>
      </c>
      <c r="B15" s="20" t="inlineStr">
        <is>
          <t>天然气制</t>
        </is>
      </c>
      <c r="C15" s="22" t="n">
        <v>2500</v>
      </c>
      <c r="D15" s="21" t="inlineStr">
        <is>
          <t>元/吨</t>
        </is>
      </c>
      <c r="E15" s="20" t="inlineStr">
        <is>
          <t>2026-10-09</t>
        </is>
      </c>
      <c r="F15" s="20" t="inlineStr">
        <is>
          <t>现金成本</t>
        </is>
      </c>
      <c r="G15" s="20" t="inlineStr">
        <is>
          <t>原始披露</t>
        </is>
      </c>
      <c r="H15" s="10" t="inlineStr">
        <is>
          <t>原文“气头成本 2450–2500”，取上沿用于保守比较；区间未取中值以免掩盖差异。</t>
        </is>
      </c>
      <c r="I15" s="10" t="inlineStr">
        <is>
          <t>创元期货 10 月月报 / CCTD 转述 2026-10-09</t>
        </is>
      </c>
      <c r="J15" s="8" t="inlineStr"/>
    </row>
    <row r="17" ht="26" customHeight="1">
      <c r="A17" s="3" t="inlineStr">
        <is>
          <t>C. 工艺路线单耗表（原料成本 = 单耗 × 单价）</t>
        </is>
      </c>
    </row>
    <row r="18" ht="32" customHeight="1">
      <c r="A18" s="5" t="inlineStr">
        <is>
          <t>工艺路线</t>
        </is>
      </c>
      <c r="B18" s="5" t="inlineStr">
        <is>
          <t>原料/加工项</t>
        </is>
      </c>
      <c r="C18" s="5" t="inlineStr">
        <is>
          <t>单耗数量</t>
        </is>
      </c>
      <c r="D18" s="5" t="inlineStr">
        <is>
          <t>单耗单位</t>
        </is>
      </c>
      <c r="E18" s="5" t="inlineStr">
        <is>
          <t>单价</t>
        </is>
      </c>
      <c r="F18" s="5" t="inlineStr">
        <is>
          <t>每吨成本</t>
        </is>
      </c>
      <c r="G18" s="5" t="inlineStr">
        <is>
          <t>日期</t>
        </is>
      </c>
      <c r="H18" s="5" t="inlineStr">
        <is>
          <t>路线合计</t>
        </is>
      </c>
      <c r="I18" s="5" t="inlineStr">
        <is>
          <t>说明</t>
        </is>
      </c>
      <c r="J18" s="5" t="inlineStr">
        <is>
          <t>来源</t>
        </is>
      </c>
    </row>
    <row r="19">
      <c r="A19" s="6" t="inlineStr">
        <is>
          <t>煤制（内蒙，无自有煤矿，外购坑口煤）</t>
        </is>
      </c>
      <c r="B19" s="8" t="inlineStr">
        <is>
          <t>动力煤 Q5500（鄂尔多斯坑口）</t>
        </is>
      </c>
      <c r="C19" s="23" t="n">
        <v>1.55</v>
      </c>
      <c r="D19" s="21" t="inlineStr">
        <is>
          <t>吨</t>
        </is>
      </c>
      <c r="E19" s="23" t="n">
        <v>785</v>
      </c>
      <c r="F19" s="23" t="n">
        <v>1216.8</v>
      </c>
      <c r="G19" s="20" t="inlineStr">
        <is>
          <t>2026-10-16</t>
        </is>
      </c>
      <c r="H19" s="39" t="inlineStr">
        <is>
          <t>分项不全，未合计</t>
        </is>
      </c>
      <c r="I19" s="10" t="inlineStr"/>
      <c r="J19" s="10" t="inlineStr">
        <is>
          <t>华泰期货 2026-10-16 日报；单耗 1.55 吨标煤/吨甲醇为工艺参数，非当期披露</t>
        </is>
      </c>
    </row>
    <row r="20">
      <c r="A20" s="40" t="n"/>
      <c r="B20" s="8" t="inlineStr">
        <is>
          <t>电、蒸汽、催化剂等加工费</t>
        </is>
      </c>
      <c r="C20" s="23" t="n">
        <v>1</v>
      </c>
      <c r="D20" s="21" t="inlineStr">
        <is>
          <t>吨</t>
        </is>
      </c>
      <c r="E20" s="23" t="n"/>
      <c r="F20" s="23" t="n"/>
      <c r="G20" s="20" t="inlineStr">
        <is>
          <t>2026-10-16</t>
        </is>
      </c>
      <c r="H20" s="22" t="inlineStr"/>
      <c r="I20" s="10" t="inlineStr"/>
      <c r="J20" s="10" t="inlineStr">
        <is>
          <t>未取得可引用的分项，故本路线总成本不计算</t>
        </is>
      </c>
    </row>
    <row r="21" ht="18" customHeight="1">
      <c r="A21" s="19" t="inlineStr">
        <is>
          <t>单耗 1.55 t 煤/t 甲醇是行业常见工艺参数（公开工艺资料），不是当期企业披露；加工费无可靠来源，因此不做总成本合计，只示范“原料成本可算、加工费须补”。</t>
        </is>
      </c>
    </row>
    <row r="22" ht="18" customHeight="1">
      <c r="A22" s="19" t="inlineStr">
        <is>
          <t>来源：工艺参数来自公开工艺资料，煤价来自华泰期货当期日报</t>
        </is>
      </c>
    </row>
    <row r="23">
      <c r="A23" s="6" t="inlineStr">
        <is>
          <t>天然气制（西南，仅原料成本）</t>
        </is>
      </c>
      <c r="B23" s="8" t="inlineStr">
        <is>
          <t>天然气</t>
        </is>
      </c>
      <c r="C23" s="23" t="n">
        <v>1050</v>
      </c>
      <c r="D23" s="21" t="inlineStr">
        <is>
          <t>方</t>
        </is>
      </c>
      <c r="E23" s="23" t="n">
        <v>2.35</v>
      </c>
      <c r="F23" s="23" t="n">
        <v>2.5</v>
      </c>
      <c r="G23" s="20" t="inlineStr">
        <is>
          <t>2026-10-09</t>
        </is>
      </c>
      <c r="H23" s="22" t="n">
        <v>2.5</v>
      </c>
      <c r="I23" s="10" t="inlineStr"/>
      <c r="J23" s="10" t="inlineStr">
        <is>
          <t>气头成本区间 2450–2500 / 单耗约 1000–1100 方为公开工艺参数</t>
        </is>
      </c>
    </row>
    <row r="24" ht="18" customHeight="1">
      <c r="A24" s="19" t="inlineStr">
        <is>
          <t>原料成本 ≈ 1050 方 × 2.35 元/方 ≈ 2468，与“气头成本 2450–2500”区间吻合；这只能说明口径自洽，不代表真实结算。</t>
        </is>
      </c>
    </row>
    <row r="25" ht="18" customHeight="1">
      <c r="A25" s="19" t="inlineStr">
        <is>
          <t>来源：创元期货 10 月月报 + 公开工艺参数</t>
        </is>
      </c>
    </row>
  </sheetData>
  <mergeCells count="10">
    <mergeCell ref="A1:J1"/>
    <mergeCell ref="A22:J22"/>
    <mergeCell ref="A17:J17"/>
    <mergeCell ref="A21:J21"/>
    <mergeCell ref="A4:J4"/>
    <mergeCell ref="A24:J24"/>
    <mergeCell ref="A2:J2"/>
    <mergeCell ref="A25:J25"/>
    <mergeCell ref="A19:A20"/>
    <mergeCell ref="A11:J1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tabColor rgb="002A4A72"/>
    <outlinePr summaryBelow="1" summaryRight="1"/>
    <pageSetUpPr fitToPage="1"/>
  </sheetPr>
  <dimension ref="A1:I19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6" customWidth="1" min="4" max="4"/>
    <col width="40" customWidth="1" min="5" max="5"/>
    <col width="16" customWidth="1" min="6" max="6"/>
    <col width="12" customWidth="1" min="7" max="7"/>
    <col width="46" customWidth="1" min="8" max="8"/>
    <col width="44" customWidth="1" min="9" max="9"/>
  </cols>
  <sheetData>
    <row r="1" ht="36" customHeight="1">
      <c r="A1" s="1" t="inlineStr">
        <is>
          <t>06 · 下游需求与开工</t>
        </is>
      </c>
    </row>
    <row r="2" ht="32" customHeight="1">
      <c r="A2" s="2" t="inlineStr">
        <is>
          <t>下游只列按工艺路线成立的需求项；开工率与产品价格都带日期。缺口留空并说明补齐方式，不估算。</t>
        </is>
      </c>
    </row>
    <row r="4" ht="32" customHeight="1">
      <c r="A4" s="5" t="inlineStr">
        <is>
          <t>下游品种/环节</t>
        </is>
      </c>
      <c r="B4" s="5" t="inlineStr">
        <is>
          <t>角色</t>
        </is>
      </c>
      <c r="C4" s="5" t="inlineStr">
        <is>
          <t>数值</t>
        </is>
      </c>
      <c r="D4" s="5" t="inlineStr">
        <is>
          <t>单位</t>
        </is>
      </c>
      <c r="E4" s="5" t="inlineStr">
        <is>
          <t>变化</t>
        </is>
      </c>
      <c r="F4" s="5" t="inlineStr">
        <is>
          <t>单耗</t>
        </is>
      </c>
      <c r="G4" s="5" t="inlineStr">
        <is>
          <t>日期</t>
        </is>
      </c>
      <c r="H4" s="5" t="inlineStr">
        <is>
          <t>传导逻辑</t>
        </is>
      </c>
      <c r="I4" s="5" t="inlineStr">
        <is>
          <t>来源</t>
        </is>
      </c>
    </row>
    <row r="5" ht="60" customHeight="1">
      <c r="A5" s="9" t="inlineStr">
        <is>
          <t>沿海 MTO（甲醇制烯烃）</t>
        </is>
      </c>
      <c r="B5" s="8" t="inlineStr">
        <is>
          <t>最大单一需求</t>
        </is>
      </c>
      <c r="C5" s="22" t="n">
        <v>76.69</v>
      </c>
      <c r="D5" s="21" t="inlineStr">
        <is>
          <t>%（MTO 开工率）</t>
        </is>
      </c>
      <c r="E5" s="10" t="inlineStr">
        <is>
          <t>10-14 79.69% → 10-16 76.69%（-3.01）；10 月下旬港口 MTO 全数停车，行业 C/MTO 开工由年初 81.65% 降至不足六成</t>
        </is>
      </c>
      <c r="F5" s="10" t="inlineStr">
        <is>
          <t>约 2.8–3.0 吨甲醇 / 吨烯烃（工艺参数）</t>
        </is>
      </c>
      <c r="G5" s="20" t="inlineStr">
        <is>
          <t>2026-10-16</t>
        </is>
      </c>
      <c r="H5" s="10" t="inlineStr">
        <is>
          <t>外采甲醇的 MTO 是价格弹性的主要来源：甲醇涨到 4000 以上时 MTO-PP 深度亏损（4 月 MTO-PP 月均亏 2095 元/吨），随后集中停车，反向打击甲醇需求——这就是本轮 10-09 到 10-19 的负反馈链条。</t>
        </is>
      </c>
      <c r="I5" s="10" t="inlineStr">
        <is>
          <t>华泰期货 2026-10-16；金联创 2026-10-19</t>
        </is>
      </c>
    </row>
    <row r="6" ht="45" customHeight="1">
      <c r="A6" s="9" t="inlineStr">
        <is>
          <t>甲醛</t>
        </is>
      </c>
      <c r="B6" s="13" t="inlineStr">
        <is>
          <t>传统下游</t>
        </is>
      </c>
      <c r="C6" s="26" t="n">
        <v>30.2</v>
      </c>
      <c r="D6" s="25" t="inlineStr">
        <is>
          <t>%（开工率）</t>
        </is>
      </c>
      <c r="E6" s="15" t="inlineStr">
        <is>
          <t>月环比 -12pct；山东甲醛 1950 元/吨（10-13）</t>
        </is>
      </c>
      <c r="F6" s="15" t="inlineStr">
        <is>
          <t>约 0.45 吨甲醇 / 吨甲醛（37% 溶液，工艺参数）</t>
        </is>
      </c>
      <c r="G6" s="24" t="inlineStr">
        <is>
          <t>2026-10-09</t>
        </is>
      </c>
      <c r="H6" s="15" t="inlineStr">
        <is>
          <t>板材/胶黏剂季节性走弱，对高价接受度低，按需采购。</t>
        </is>
      </c>
      <c r="I6" s="15" t="inlineStr">
        <is>
          <t>创元期货 10 月月报；光大期货 2026-10-13</t>
        </is>
      </c>
    </row>
    <row r="7" ht="45" customHeight="1">
      <c r="A7" s="14" t="inlineStr">
        <is>
          <t>醋酸</t>
        </is>
      </c>
      <c r="B7" s="8" t="inlineStr">
        <is>
          <t>传统下游</t>
        </is>
      </c>
      <c r="C7" s="22" t="n">
        <v>83.59999999999999</v>
      </c>
      <c r="D7" s="21" t="inlineStr">
        <is>
          <t>%（开工率）</t>
        </is>
      </c>
      <c r="E7" s="10" t="inlineStr">
        <is>
          <t>月环比 +1.8pct；江苏醋酸 4800–4900 元/吨（10-13）</t>
        </is>
      </c>
      <c r="F7" s="10" t="inlineStr">
        <is>
          <t>约 0.55 吨甲醇 / 吨醋酸（工艺参数）</t>
        </is>
      </c>
      <c r="G7" s="20" t="inlineStr">
        <is>
          <t>2026-10-09</t>
        </is>
      </c>
      <c r="H7" s="10" t="inlineStr">
        <is>
          <t>醋酸利润尚可、开工高位，是高价下少数仍有承接力的传统需求；赛拉尼斯有检修安排。</t>
        </is>
      </c>
      <c r="I7" s="10" t="inlineStr">
        <is>
          <t>创元期货 10 月月报；光大期货 2026-10-13</t>
        </is>
      </c>
    </row>
    <row r="8" ht="45" customHeight="1">
      <c r="A8" s="14" t="inlineStr">
        <is>
          <t>MTBE</t>
        </is>
      </c>
      <c r="B8" s="13" t="inlineStr">
        <is>
          <t>调油需求</t>
        </is>
      </c>
      <c r="C8" s="26" t="n">
        <v>61.3</v>
      </c>
      <c r="D8" s="25" t="inlineStr">
        <is>
          <t>%（开工率）</t>
        </is>
      </c>
      <c r="E8" s="15" t="inlineStr">
        <is>
          <t>月环比 +1.3pct；山东 MTBE 8275 元/吨（10-13）</t>
        </is>
      </c>
      <c r="F8" s="15" t="inlineStr">
        <is>
          <t>约 0.45 吨甲醇 / 吨 MTBE（工艺参数）</t>
        </is>
      </c>
      <c r="G8" s="24" t="inlineStr">
        <is>
          <t>2026-10-09</t>
        </is>
      </c>
      <c r="H8" s="15" t="inlineStr">
        <is>
          <t>受成品油与出口影响，开工盘整。</t>
        </is>
      </c>
      <c r="I8" s="15" t="inlineStr">
        <is>
          <t>创元期货 10 月月报；光大期货 2026-10-13</t>
        </is>
      </c>
    </row>
    <row r="9" ht="30" customHeight="1">
      <c r="A9" s="6" t="inlineStr">
        <is>
          <t>二甲醚 / DMF / 碳酸二甲酯 / BDO 等</t>
        </is>
      </c>
      <c r="B9" s="8" t="inlineStr">
        <is>
          <t>其他传统下游</t>
        </is>
      </c>
      <c r="C9" s="22" t="inlineStr">
        <is>
          <t>缺口</t>
        </is>
      </c>
      <c r="D9" s="21" t="inlineStr">
        <is>
          <t>—</t>
        </is>
      </c>
      <c r="E9" s="10" t="inlineStr">
        <is>
          <t>仅取得定性描述（按需采购、利润承压），未取得分品种开工率</t>
        </is>
      </c>
      <c r="F9" s="10" t="inlineStr">
        <is>
          <t>各自 0.3–0.9 吨甲醇/吨产品</t>
        </is>
      </c>
      <c r="G9" s="20" t="inlineStr">
        <is>
          <t>2026-10-19</t>
        </is>
      </c>
      <c r="H9" s="10" t="inlineStr">
        <is>
          <t>合计权重低于 MTO 与甲醛/醋酸，但决定“高价能不能传导”。</t>
        </is>
      </c>
      <c r="I9" s="10" t="inlineStr">
        <is>
          <t>隆众资讯周评 2026-10-16（定性）</t>
        </is>
      </c>
    </row>
    <row r="11" ht="26" customHeight="1">
      <c r="A11" s="28" t="inlineStr">
        <is>
          <t>产业链断点自证（凭什么说这两者是上下游）</t>
        </is>
      </c>
    </row>
    <row r="12" ht="32" customHeight="1">
      <c r="A12" s="5" t="inlineStr">
        <is>
          <t>关系</t>
        </is>
      </c>
      <c r="B12" s="5" t="inlineStr">
        <is>
          <t>从</t>
        </is>
      </c>
      <c r="C12" s="5" t="inlineStr">
        <is>
          <t>到</t>
        </is>
      </c>
      <c r="D12" s="5" t="inlineStr">
        <is>
          <t>单耗</t>
        </is>
      </c>
      <c r="E12" s="5" t="inlineStr">
        <is>
          <t>占比/规模</t>
        </is>
      </c>
      <c r="F12" s="5" t="inlineStr">
        <is>
          <t>工艺依据</t>
        </is>
      </c>
      <c r="G12" s="5" t="inlineStr">
        <is>
          <t>核对结论</t>
        </is>
      </c>
      <c r="H12" s="5" t="inlineStr">
        <is>
          <t>来源</t>
        </is>
      </c>
      <c r="I12" s="5" t="inlineStr"/>
    </row>
    <row r="13" ht="105" customHeight="1">
      <c r="A13" s="20" t="inlineStr">
        <is>
          <t>原料→产品</t>
        </is>
      </c>
      <c r="B13" s="6" t="inlineStr">
        <is>
          <t>动力煤 Q5500（鄂尔多斯）</t>
        </is>
      </c>
      <c r="C13" s="6" t="inlineStr">
        <is>
          <t>甲醇（煤制）</t>
        </is>
      </c>
      <c r="D13" s="10" t="inlineStr">
        <is>
          <t>1.55 吨/吨（工艺参数）</t>
        </is>
      </c>
      <c r="E13" s="10" t="inlineStr">
        <is>
          <t>国内甲醇产能以煤制为主，约七成以上（口径见注）</t>
        </is>
      </c>
      <c r="F13" s="10" t="inlineStr">
        <is>
          <t>煤制甲醇通过煤气化制合成气（CO+H2）后合成甲醇，属同一工艺路线；煤价与煤制利润同步变动已由期货日报披露。</t>
        </is>
      </c>
      <c r="G13" s="41" t="inlineStr">
        <is>
          <t>通过</t>
        </is>
      </c>
      <c r="H13" s="10" t="inlineStr">
        <is>
          <t>华泰期货 2026-10-16：Q5500 785 元/吨、内蒙煤制利润 1070 元/吨</t>
        </is>
      </c>
      <c r="I13" s="8" t="inlineStr"/>
    </row>
    <row r="14" ht="90" customHeight="1">
      <c r="A14" s="24" t="inlineStr">
        <is>
          <t>原料→产品</t>
        </is>
      </c>
      <c r="B14" s="11" t="inlineStr">
        <is>
          <t>天然气</t>
        </is>
      </c>
      <c r="C14" s="11" t="inlineStr">
        <is>
          <t>甲醇（天然气制）</t>
        </is>
      </c>
      <c r="D14" s="15" t="inlineStr">
        <is>
          <t>约 1000–1100 方/吨（工艺参数）</t>
        </is>
      </c>
      <c r="E14" s="15" t="inlineStr">
        <is>
          <t>西南气头产能占国内小部分</t>
        </is>
      </c>
      <c r="F14" s="15" t="inlineStr">
        <is>
          <t>天然气经蒸汽转化制合成气后合成甲醇；气头成本 2450–2500 元/吨的口径与单耗×气价自洽。</t>
        </is>
      </c>
      <c r="G14" s="41" t="inlineStr">
        <is>
          <t>通过</t>
        </is>
      </c>
      <c r="H14" s="15" t="inlineStr">
        <is>
          <t>创元期货 10 月月报</t>
        </is>
      </c>
      <c r="I14" s="13" t="inlineStr"/>
    </row>
    <row r="15" ht="75" customHeight="1">
      <c r="A15" s="20" t="inlineStr">
        <is>
          <t>原料→产品</t>
        </is>
      </c>
      <c r="B15" s="6" t="inlineStr">
        <is>
          <t>焦炉气</t>
        </is>
      </c>
      <c r="C15" s="6" t="inlineStr">
        <is>
          <t>甲醇（焦炉气制）</t>
        </is>
      </c>
      <c r="D15" s="10" t="inlineStr">
        <is>
          <t>—</t>
        </is>
      </c>
      <c r="E15" s="10" t="inlineStr">
        <is>
          <t>占比小但成本最低</t>
        </is>
      </c>
      <c r="F15" s="10" t="inlineStr">
        <is>
          <t>焦炉气经净化、转化后合成甲醇；沂州科技 15+15 万吨/年焦炉气装置出厂价可追踪。</t>
        </is>
      </c>
      <c r="G15" s="41" t="inlineStr">
        <is>
          <t>通过</t>
        </is>
      </c>
      <c r="H15" s="10" t="inlineStr">
        <is>
          <t>生意社商品情报 2026-10-16</t>
        </is>
      </c>
      <c r="I15" s="8" t="inlineStr"/>
    </row>
    <row r="16" ht="90" customHeight="1">
      <c r="A16" s="24" t="inlineStr">
        <is>
          <t>产品→下游</t>
        </is>
      </c>
      <c r="B16" s="11" t="inlineStr">
        <is>
          <t>甲醇</t>
        </is>
      </c>
      <c r="C16" s="11" t="inlineStr">
        <is>
          <t>烯烃（MTO/MTP）</t>
        </is>
      </c>
      <c r="D16" s="15" t="inlineStr">
        <is>
          <t>约 2.8–3.0 吨/吨（工艺参数）</t>
        </is>
      </c>
      <c r="E16" s="15" t="inlineStr">
        <is>
          <t>沿海甲醇需求的一半以上（口径见注）</t>
        </is>
      </c>
      <c r="F16" s="15" t="inlineStr">
        <is>
          <t>甲醇转烯烃（MTO）是国内沿海主要甲醇消费路径，本轮的停车—复产已直接反映在 MTO 开工率上。</t>
        </is>
      </c>
      <c r="G16" s="41" t="inlineStr">
        <is>
          <t>通过</t>
        </is>
      </c>
      <c r="H16" s="15" t="inlineStr">
        <is>
          <t>金联创 2026-10-19；华泰期货 2026-10-16 MTO 开工 76.69%</t>
        </is>
      </c>
      <c r="I16" s="13" t="inlineStr"/>
    </row>
    <row r="17" ht="90" customHeight="1">
      <c r="A17" s="20" t="inlineStr">
        <is>
          <t>产品→下游</t>
        </is>
      </c>
      <c r="B17" s="6" t="inlineStr">
        <is>
          <t>甲醇</t>
        </is>
      </c>
      <c r="C17" s="6" t="inlineStr">
        <is>
          <t>甲醛 / 醋酸 / MTBE</t>
        </is>
      </c>
      <c r="D17" s="10" t="inlineStr">
        <is>
          <t>0.45 / 0.55 / 0.45 吨/吨（工艺参数）</t>
        </is>
      </c>
      <c r="E17" s="10" t="inlineStr">
        <is>
          <t>传统需求合计次之</t>
        </is>
      </c>
      <c r="F17" s="10" t="inlineStr">
        <is>
          <t>三条路线均为甲醇氧化/羰基化/醚化，属直接下游；开工率与产品价格均已取得同日口径。</t>
        </is>
      </c>
      <c r="G17" s="41" t="inlineStr">
        <is>
          <t>通过</t>
        </is>
      </c>
      <c r="H17" s="10" t="inlineStr">
        <is>
          <t>创元期货 10 月月报；光大期货 2026-10-13</t>
        </is>
      </c>
      <c r="I17" s="8" t="inlineStr"/>
    </row>
    <row r="18" ht="105" customHeight="1">
      <c r="A18" s="24" t="inlineStr">
        <is>
          <t>区域→区域</t>
        </is>
      </c>
      <c r="B18" s="11" t="inlineStr">
        <is>
          <t>内蒙北线（产区）</t>
        </is>
      </c>
      <c r="C18" s="11" t="inlineStr">
        <is>
          <t>华东太仓（销区）</t>
        </is>
      </c>
      <c r="D18" s="15" t="inlineStr">
        <is>
          <t>—</t>
        </is>
      </c>
      <c r="E18" s="15" t="inlineStr">
        <is>
          <t>华东罐区部分货源靠内地套利物流</t>
        </is>
      </c>
      <c r="F18" s="15" t="inlineStr">
        <is>
          <t>产区与港口价差在 10-16 为 868 元/吨，可覆盖汽运/铁水联运；但套利窗口是否真打开要看运费与运力，本稿未取得运价。</t>
        </is>
      </c>
      <c r="G18" s="42" t="inlineStr">
        <is>
          <t>未通过（数字不可外引）</t>
        </is>
      </c>
      <c r="H18" s="15" t="inlineStr">
        <is>
          <t>华泰期货 2026-10-16</t>
        </is>
      </c>
      <c r="I18" s="13" t="inlineStr"/>
    </row>
    <row r="19" ht="150" customHeight="1">
      <c r="A19" s="20" t="inlineStr">
        <is>
          <t>进口→内贸</t>
        </is>
      </c>
      <c r="B19" s="6" t="inlineStr">
        <is>
          <t>CFR 中国（伊朗/中东货源）</t>
        </is>
      </c>
      <c r="C19" s="6" t="inlineStr">
        <is>
          <t>华东罐区进口货</t>
        </is>
      </c>
      <c r="D19" s="10" t="inlineStr">
        <is>
          <t>—</t>
        </is>
      </c>
      <c r="E19" s="10" t="inlineStr">
        <is>
          <t>华东罐区进口依赖度高</t>
        </is>
      </c>
      <c r="F19" s="10" t="inlineStr">
        <is>
          <t>伊朗货源经霍尔木兹海峡到华东，海峡通航量从常态 170 艘/日降至 8–20 艘/日，1–9 月伊朗对华输出跌幅近四成，链存在但价格传导受汇率、税费、船期影响，未完整取得。</t>
        </is>
      </c>
      <c r="G19" s="42" t="inlineStr">
        <is>
          <t>未通过（数字不可外引）</t>
        </is>
      </c>
      <c r="H19" s="10" t="inlineStr">
        <is>
          <t>金联创 2026-10-19</t>
        </is>
      </c>
      <c r="I19" s="8" t="inlineStr"/>
    </row>
  </sheetData>
  <mergeCells count="3">
    <mergeCell ref="A1:I1"/>
    <mergeCell ref="A2:I2"/>
    <mergeCell ref="A11:I1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tabColor rgb="002A4A72"/>
    <outlinePr summaryBelow="1" summaryRight="1"/>
    <pageSetUpPr fitToPage="1"/>
  </sheetPr>
  <dimension ref="A1:F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34" customWidth="1" min="4" max="4"/>
    <col width="34" customWidth="1" min="5" max="5"/>
    <col width="46" customWidth="1" min="6" max="6"/>
  </cols>
  <sheetData>
    <row r="1" ht="36" customHeight="1">
      <c r="A1" s="1" t="inlineStr">
        <is>
          <t>07 · 供给、库存与开工</t>
        </is>
      </c>
    </row>
    <row r="2" ht="32" customHeight="1">
      <c r="A2" s="2" t="inlineStr">
        <is>
          <t>同一指标两个口径时分列两条，不可相加、不可互相替代。这一节回答“为什么贵/为什么跌”。</t>
        </is>
      </c>
    </row>
    <row r="4" ht="32" customHeight="1">
      <c r="A4" s="5" t="inlineStr">
        <is>
          <t>指标</t>
        </is>
      </c>
      <c r="B4" s="5" t="inlineStr">
        <is>
          <t>数值</t>
        </is>
      </c>
      <c r="C4" s="5" t="inlineStr">
        <is>
          <t>日期</t>
        </is>
      </c>
      <c r="D4" s="5" t="inlineStr">
        <is>
          <t>环比/前值</t>
        </is>
      </c>
      <c r="E4" s="5" t="inlineStr">
        <is>
          <t>口径与样本</t>
        </is>
      </c>
      <c r="F4" s="5" t="inlineStr">
        <is>
          <t>来源</t>
        </is>
      </c>
    </row>
    <row r="5" ht="30" customHeight="1">
      <c r="A5" s="6" t="inlineStr">
        <is>
          <t>甲醇港口总库存（隆众口径）</t>
        </is>
      </c>
      <c r="B5" s="43" t="inlineStr">
        <is>
          <t>36.72 万吨</t>
        </is>
      </c>
      <c r="C5" s="20" t="inlineStr">
        <is>
          <t>2026-10-14</t>
        </is>
      </c>
      <c r="D5" s="8" t="inlineStr">
        <is>
          <t>周环比 +6.21 万吨（首度由降转累）</t>
        </is>
      </c>
      <c r="E5" s="10" t="inlineStr">
        <is>
          <t>华东+华南港口样本</t>
        </is>
      </c>
      <c r="F5" s="10" t="inlineStr">
        <is>
          <t>华泰期货 2026-10-16 日报（隆众数据）；金十期货 2026-10-14</t>
        </is>
      </c>
    </row>
    <row r="6" ht="30" customHeight="1">
      <c r="A6" s="11" t="inlineStr">
        <is>
          <t>港口库存：江苏 / 浙江 / 广东</t>
        </is>
      </c>
      <c r="B6" s="44" t="inlineStr">
        <is>
          <t>17.17 / 4.48 / 6.70 万吨</t>
        </is>
      </c>
      <c r="C6" s="24" t="inlineStr">
        <is>
          <t>2026-10-16</t>
        </is>
      </c>
      <c r="D6" s="13" t="inlineStr">
        <is>
          <t>江苏 -2.05、浙江 -1.11、广东 +3.55</t>
        </is>
      </c>
      <c r="E6" s="15" t="inlineStr">
        <is>
          <t>分区域样本</t>
        </is>
      </c>
      <c r="F6" s="15" t="inlineStr">
        <is>
          <t>华泰期货 2026-10-16 日报（隆众数据）</t>
        </is>
      </c>
    </row>
    <row r="7" ht="30" customHeight="1">
      <c r="A7" s="6" t="inlineStr">
        <is>
          <t>华东+华南港口社会库存（金联创口径）</t>
        </is>
      </c>
      <c r="B7" s="43" t="inlineStr">
        <is>
          <t>30.44 万吨</t>
        </is>
      </c>
      <c r="C7" s="20" t="inlineStr">
        <is>
          <t>2026-10-15</t>
        </is>
      </c>
      <c r="D7" s="8" t="inlineStr">
        <is>
          <t>周环比 +5.62 万吨</t>
        </is>
      </c>
      <c r="E7" s="10" t="inlineStr">
        <is>
          <t>金联创不完全统计</t>
        </is>
      </c>
      <c r="F7" s="10" t="inlineStr">
        <is>
          <t>上海中期期货日评 2026-10-16 转引金联创</t>
        </is>
      </c>
    </row>
    <row r="8" ht="16" customHeight="1">
      <c r="A8" s="11" t="inlineStr">
        <is>
          <t>内地工厂库存 / 西北工厂库存</t>
        </is>
      </c>
      <c r="B8" s="44" t="inlineStr">
        <is>
          <t>35.69 / 22.37 万吨</t>
        </is>
      </c>
      <c r="C8" s="24" t="inlineStr">
        <is>
          <t>2026-10-16</t>
        </is>
      </c>
      <c r="D8" s="13" t="inlineStr">
        <is>
          <t>内地 +3.46、西北 +1.95</t>
        </is>
      </c>
      <c r="E8" s="15" t="inlineStr">
        <is>
          <t>隆众样本企业</t>
        </is>
      </c>
      <c r="F8" s="15" t="inlineStr">
        <is>
          <t>华泰期货 2026-10-16 日报（隆众数据）</t>
        </is>
      </c>
    </row>
    <row r="9" ht="16" customHeight="1">
      <c r="A9" s="6" t="inlineStr">
        <is>
          <t>内地工厂待发订单 / 西北待发</t>
        </is>
      </c>
      <c r="B9" s="43" t="inlineStr">
        <is>
          <t>19.23 / 9.88 万吨</t>
        </is>
      </c>
      <c r="C9" s="20" t="inlineStr">
        <is>
          <t>2026-10-16</t>
        </is>
      </c>
      <c r="D9" s="8" t="inlineStr">
        <is>
          <t>待发 +0.56、西北待发 +1.58</t>
        </is>
      </c>
      <c r="E9" s="10" t="inlineStr">
        <is>
          <t>隆众样本企业</t>
        </is>
      </c>
      <c r="F9" s="10" t="inlineStr">
        <is>
          <t>华泰期货 2026-10-16 日报（隆众数据）</t>
        </is>
      </c>
    </row>
    <row r="10" ht="30" customHeight="1">
      <c r="A10" s="11" t="inlineStr">
        <is>
          <t>样本生产企业库存（隆众月报口径）</t>
        </is>
      </c>
      <c r="B10" s="44" t="inlineStr">
        <is>
          <t>28.17 万吨</t>
        </is>
      </c>
      <c r="C10" s="24" t="inlineStr">
        <is>
          <t>2026-09-30</t>
        </is>
      </c>
      <c r="D10" s="13" t="inlineStr">
        <is>
          <t>较上期 +1.65 万吨（+6.22%）</t>
        </is>
      </c>
      <c r="E10" s="15" t="inlineStr">
        <is>
          <t>与上面“内地工厂库存”样本范围不同，不可相加</t>
        </is>
      </c>
      <c r="F10" s="15" t="inlineStr">
        <is>
          <t>隆众资讯，经东方财富 2026-10-08 转引</t>
        </is>
      </c>
    </row>
    <row r="11" ht="30" customHeight="1">
      <c r="A11" s="6" t="inlineStr">
        <is>
          <t>沿海可流通货源</t>
        </is>
      </c>
      <c r="B11" s="43" t="inlineStr">
        <is>
          <t>9.90 万吨</t>
        </is>
      </c>
      <c r="C11" s="20" t="inlineStr">
        <is>
          <t>2026-09-17</t>
        </is>
      </c>
      <c r="D11" s="8" t="inlineStr">
        <is>
          <t>沿海库存 42.67 万吨，较 9-10 降 14.35 万吨（-25.17%），同比 -72.34%</t>
        </is>
      </c>
      <c r="E11" s="10" t="inlineStr">
        <is>
          <t>卓创/申万口径</t>
        </is>
      </c>
      <c r="F11" s="10" t="inlineStr">
        <is>
          <t>申银万国期货，经东方财富 2026-10-08 转引</t>
        </is>
      </c>
    </row>
    <row r="12" ht="16" customHeight="1">
      <c r="A12" s="11" t="inlineStr">
        <is>
          <t>甲醇行业开工率 / 周产量</t>
        </is>
      </c>
      <c r="B12" s="44" t="inlineStr">
        <is>
          <t>83.8% / 189.3 万吨</t>
        </is>
      </c>
      <c r="C12" s="24" t="inlineStr">
        <is>
          <t>2026-09-17</t>
        </is>
      </c>
      <c r="D12" s="13" t="inlineStr">
        <is>
          <t>周环比 +1.1pct</t>
        </is>
      </c>
      <c r="E12" s="15" t="inlineStr">
        <is>
          <t>全国周度</t>
        </is>
      </c>
      <c r="F12" s="15" t="inlineStr">
        <is>
          <t>生意社商品情报 2026-09-21</t>
        </is>
      </c>
    </row>
    <row r="13" ht="45" customHeight="1">
      <c r="A13" s="6" t="inlineStr">
        <is>
          <t>C/MTO 行业开工（年内区间）</t>
        </is>
      </c>
      <c r="B13" s="43" t="inlineStr">
        <is>
          <t>58.24%–84.88%；1–10 月均值 74.69%</t>
        </is>
      </c>
      <c r="C13" s="20" t="inlineStr">
        <is>
          <t>2026-10-19</t>
        </is>
      </c>
      <c r="D13" s="8" t="inlineStr">
        <is>
          <t>同比 -6.42pct；年初 81.65% → 8 月 64.12% → 9 月约 66% → 10 月下旬不足六成</t>
        </is>
      </c>
      <c r="E13" s="10" t="inlineStr">
        <is>
          <t>金联创 C/MTO 口径</t>
        </is>
      </c>
      <c r="F13" s="10" t="inlineStr">
        <is>
          <t>金联创《港口MTO目前全数停车》2026-10-19</t>
        </is>
      </c>
    </row>
    <row r="14" ht="30" customHeight="1">
      <c r="A14" s="11" t="inlineStr">
        <is>
          <t>伊朗甲醇装置开工</t>
        </is>
      </c>
      <c r="B14" s="44" t="inlineStr">
        <is>
          <t>三季度平均不足三成</t>
        </is>
      </c>
      <c r="C14" s="24" t="inlineStr">
        <is>
          <t>2026-10-19</t>
        </is>
      </c>
      <c r="D14" s="13" t="inlineStr">
        <is>
          <t>10-19 单点：Kaveh 230 万吨正常运行，Sabalan 165、Kimiya 165 维持停车</t>
        </is>
      </c>
      <c r="E14" s="15" t="inlineStr">
        <is>
          <t>伊朗合计产能约 1716 万吨</t>
        </is>
      </c>
      <c r="F14" s="15" t="inlineStr">
        <is>
          <t>金联创 2026-10-19；生意社商品情报 2026-10-19</t>
        </is>
      </c>
    </row>
    <row r="15" ht="16" customHeight="1">
      <c r="A15" s="6" t="inlineStr">
        <is>
          <t>霍尔木兹海峡日均通行船舶</t>
        </is>
      </c>
      <c r="B15" s="43" t="inlineStr">
        <is>
          <t>8–20 艘/日</t>
        </is>
      </c>
      <c r="C15" s="20" t="inlineStr">
        <is>
          <t>2026-10-19</t>
        </is>
      </c>
      <c r="D15" s="8" t="inlineStr">
        <is>
          <t>常态约 170 艘/日</t>
        </is>
      </c>
      <c r="E15" s="10" t="inlineStr">
        <is>
          <t>金联创统计</t>
        </is>
      </c>
      <c r="F15" s="10" t="inlineStr">
        <is>
          <t>金联创 2026-10-19</t>
        </is>
      </c>
    </row>
    <row r="16" ht="30" customHeight="1">
      <c r="A16" s="11" t="inlineStr">
        <is>
          <t>甲醇进口量</t>
        </is>
      </c>
      <c r="B16" s="44" t="inlineStr">
        <is>
          <t>8 月 81 万吨；9 月对华到港收缩至约 30 万吨</t>
        </is>
      </c>
      <c r="C16" s="24" t="inlineStr">
        <is>
          <t>2026-10-08</t>
        </is>
      </c>
      <c r="D16" s="13" t="inlineStr">
        <is>
          <t>1–6 月累计 378.09 万吨，同比 -29.69%</t>
        </is>
      </c>
      <c r="E16" s="15" t="inlineStr">
        <is>
          <t>海关+机构口径</t>
        </is>
      </c>
      <c r="F16" s="15" t="inlineStr">
        <is>
          <t>创元期货 10 月月报；广州期货 2026-10-08；生意社 2026-07-21</t>
        </is>
      </c>
    </row>
  </sheetData>
  <mergeCells count="2">
    <mergeCell ref="A2:F2"/>
    <mergeCell ref="A1:F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tabColor rgb="00C8892B"/>
    <outlinePr summaryBelow="1" summaryRight="1"/>
    <pageSetUpPr fitToPage="1"/>
  </sheetPr>
  <dimension ref="A1:J2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2" customWidth="1" min="4" max="4"/>
    <col width="12" customWidth="1" min="5" max="5"/>
    <col width="46" customWidth="1" min="6" max="6"/>
    <col width="46" customWidth="1" min="7" max="7"/>
    <col width="12" customWidth="1" min="8" max="8"/>
    <col width="12" customWidth="1" min="9" max="9"/>
    <col width="40" customWidth="1" min="10" max="10"/>
  </cols>
  <sheetData>
    <row r="1" ht="36" customHeight="1">
      <c r="A1" s="1" t="inlineStr">
        <is>
          <t>08 · 产业事件时间线（采购相关）</t>
        </is>
      </c>
    </row>
    <row r="2" ht="32" customHeight="1">
      <c r="A2" s="2" t="inlineStr">
        <is>
          <t>检修/复产/投产/库存/物流/政策/需求。每条标证据级别；同时给出“事件日”与“首个报价响应日”，不把先后说成因果。</t>
        </is>
      </c>
    </row>
    <row r="4" ht="32" customHeight="1">
      <c r="A4" s="5" t="inlineStr">
        <is>
          <t>事件日期</t>
        </is>
      </c>
      <c r="B4" s="5" t="inlineStr">
        <is>
          <t>类型</t>
        </is>
      </c>
      <c r="C4" s="5" t="inlineStr">
        <is>
          <t>事件</t>
        </is>
      </c>
      <c r="D4" s="5" t="inlineStr">
        <is>
          <t>对价格影响</t>
        </is>
      </c>
      <c r="E4" s="5" t="inlineStr">
        <is>
          <t>证据级别</t>
        </is>
      </c>
      <c r="F4" s="5" t="inlineStr">
        <is>
          <t>当时发生了什么</t>
        </is>
      </c>
      <c r="G4" s="5" t="inlineStr">
        <is>
          <t>之后的变化</t>
        </is>
      </c>
      <c r="H4" s="5" t="inlineStr">
        <is>
          <t>首个报价响应日</t>
        </is>
      </c>
      <c r="I4" s="5" t="inlineStr">
        <is>
          <t>当日报价</t>
        </is>
      </c>
      <c r="J4" s="5" t="inlineStr">
        <is>
          <t>来源</t>
        </is>
      </c>
    </row>
    <row r="5" ht="45" customHeight="1">
      <c r="A5" s="20" t="inlineStr">
        <is>
          <t>2026-07-09</t>
        </is>
      </c>
      <c r="B5" s="20" t="inlineStr">
        <is>
          <t>物流</t>
        </is>
      </c>
      <c r="C5" s="6" t="inlineStr">
        <is>
          <t>霍尔木兹海峡通航近乎停滞，美方空袭后临时停火协议濒临破裂</t>
        </is>
      </c>
      <c r="D5" s="37" t="inlineStr">
        <is>
          <t>利多（对价格，事后）</t>
        </is>
      </c>
      <c r="E5" s="20" t="inlineStr">
        <is>
          <t>公开报道</t>
        </is>
      </c>
      <c r="F5" s="10" t="inlineStr">
        <is>
          <t>海峡通航船只大多改走伊朗许可的北部航道，仅 1 艘受制裁超大型油轮驶出波斯湾；Kpler 称海峡开放后三周内商船日均通行 34 艘、峰值 59 艘。</t>
        </is>
      </c>
      <c r="G5" s="10" t="inlineStr">
        <is>
          <t>7 月中旬太仓 2690 → 8 月上行，港口库存从 5 月高位 79.68 万吨持续去化。</t>
        </is>
      </c>
      <c r="H5" s="20" t="inlineStr"/>
      <c r="I5" s="23" t="n"/>
      <c r="J5" s="10" t="inlineStr">
        <is>
          <t>生意社商品情报 2026-07-09；华泰期货日报</t>
        </is>
      </c>
    </row>
    <row r="6" ht="30" customHeight="1">
      <c r="A6" s="24" t="inlineStr">
        <is>
          <t>2026-08-26</t>
        </is>
      </c>
      <c r="B6" s="24" t="inlineStr">
        <is>
          <t>价格</t>
        </is>
      </c>
      <c r="C6" s="11" t="inlineStr">
        <is>
          <t>甲醇期货单日 -5.33%（2925→2769），为 7 月以来最大单日跌幅</t>
        </is>
      </c>
      <c r="D6" s="45" t="inlineStr">
        <is>
          <t>利空（对价格，事后）</t>
        </is>
      </c>
      <c r="E6" s="24" t="inlineStr">
        <is>
          <t>公开报道</t>
        </is>
      </c>
      <c r="F6" s="15" t="inlineStr">
        <is>
          <t>当日未见公开归因；同期港口库存仍在去化、进口到港偏低。</t>
        </is>
      </c>
      <c r="G6" s="15" t="inlineStr">
        <is>
          <t>随后 8-31 起连续上行，9-02 收 3183。</t>
        </is>
      </c>
      <c r="H6" s="24" t="inlineStr">
        <is>
          <t>2026-07-16</t>
        </is>
      </c>
      <c r="I6" s="27" t="n">
        <v>2690</v>
      </c>
      <c r="J6" s="15" t="inlineStr">
        <is>
          <t>郑商所 MA 主连日线；归因：未取得可靠来源</t>
        </is>
      </c>
    </row>
    <row r="7" ht="45" customHeight="1">
      <c r="A7" s="20" t="inlineStr">
        <is>
          <t>2026-09-05</t>
        </is>
      </c>
      <c r="B7" s="20" t="inlineStr">
        <is>
          <t>检修</t>
        </is>
      </c>
      <c r="C7" s="6" t="inlineStr">
        <is>
          <t>内蒙古荣信一期 90 万吨/年甲醇装置停车检修，计划 25 天</t>
        </is>
      </c>
      <c r="D7" s="37" t="inlineStr">
        <is>
          <t>利多（对价格，事后）</t>
        </is>
      </c>
      <c r="E7" s="20" t="inlineStr">
        <is>
          <t>公开报道</t>
        </is>
      </c>
      <c r="F7" s="10" t="inlineStr">
        <is>
          <t>一期 9-05 停车、二期维持运行；同期新疆新业、和宁化学、内蒙古国泰、神华西来峰、重庆卡贝乐先后检修。</t>
        </is>
      </c>
      <c r="G7" s="10" t="inlineStr">
        <is>
          <t>9-01 至 9-10 期货从 3069 涨至 3430。</t>
        </is>
      </c>
      <c r="H7" s="20" t="inlineStr">
        <is>
          <t>2026-07-16</t>
        </is>
      </c>
      <c r="I7" s="23" t="n">
        <v>2690</v>
      </c>
      <c r="J7" s="10" t="inlineStr">
        <is>
          <t>生意社商品情报 2026-09-10、2026-09-17</t>
        </is>
      </c>
    </row>
    <row r="8" ht="45" customHeight="1">
      <c r="A8" s="24" t="inlineStr">
        <is>
          <t>2026-09-17</t>
        </is>
      </c>
      <c r="B8" s="24" t="inlineStr">
        <is>
          <t>进口</t>
        </is>
      </c>
      <c r="C8" s="11" t="inlineStr">
        <is>
          <t>9 月中旬周度到港仅 13–14 万吨，沿海库存降至 42.67 万吨</t>
        </is>
      </c>
      <c r="D8" s="37" t="inlineStr">
        <is>
          <t>利多（对价格，事后）</t>
        </is>
      </c>
      <c r="E8" s="24" t="inlineStr">
        <is>
          <t>机构观点</t>
        </is>
      </c>
      <c r="F8" s="15" t="inlineStr">
        <is>
          <t>马来西亚 Petronas 2 号 170 万吨/年装置停车检修，中东货源分流至印度与东南亚；沿海可流通货源约 9.9 万吨。</t>
        </is>
      </c>
      <c r="G8" s="15" t="inlineStr">
        <is>
          <t>9-17 起期货 2995，9-30 收 2972，节后跳涨。</t>
        </is>
      </c>
      <c r="H8" s="24" t="inlineStr">
        <is>
          <t>2026-09-16</t>
        </is>
      </c>
      <c r="I8" s="27" t="n">
        <v>3790</v>
      </c>
      <c r="J8" s="15" t="inlineStr">
        <is>
          <t>生意社商品情报 2026-09-17；申银万国 2026-10-08</t>
        </is>
      </c>
    </row>
    <row r="9" ht="30" customHeight="1">
      <c r="A9" s="20" t="inlineStr">
        <is>
          <t>2026-10-08</t>
        </is>
      </c>
      <c r="B9" s="20" t="inlineStr">
        <is>
          <t>价格</t>
        </is>
      </c>
      <c r="C9" s="6" t="inlineStr">
        <is>
          <t>节后首日甲醇主力合约涨停（+9.02%，报 3625）</t>
        </is>
      </c>
      <c r="D9" s="37" t="inlineStr">
        <is>
          <t>利多（对价格，事后）</t>
        </is>
      </c>
      <c r="E9" s="20" t="inlineStr">
        <is>
          <t>公开报道</t>
        </is>
      </c>
      <c r="F9" s="10" t="inlineStr">
        <is>
          <t>同日纯苯、LPG 等能化品种同步涨停；节中外盘与中东局势未缓解，港口低库存叠加进口收缩。</t>
        </is>
      </c>
      <c r="G9" s="10" t="inlineStr">
        <is>
          <t>10-09 再涨 4.31% 收 3338，10-09 太仓现货达 4880。</t>
        </is>
      </c>
      <c r="H9" s="20" t="inlineStr">
        <is>
          <t>2026-09-30</t>
        </is>
      </c>
      <c r="I9" s="23" t="n">
        <v>3650</v>
      </c>
      <c r="J9" s="10" t="inlineStr">
        <is>
          <t>证券时报 2026-10-08；郑商所 MA 主连日线</t>
        </is>
      </c>
    </row>
    <row r="10" ht="30" customHeight="1">
      <c r="A10" s="24" t="inlineStr">
        <is>
          <t>2026-10-09</t>
        </is>
      </c>
      <c r="B10" s="24" t="inlineStr">
        <is>
          <t>检修</t>
        </is>
      </c>
      <c r="C10" s="11" t="inlineStr">
        <is>
          <t>兖矿国宏 64 万吨煤制装置计划 10-10 起检修 14 天；新乡中新 30 万吨进入检修</t>
        </is>
      </c>
      <c r="D10" s="37" t="inlineStr">
        <is>
          <t>利多（对价格，事后）</t>
        </is>
      </c>
      <c r="E10" s="24" t="inlineStr">
        <is>
          <t>公开报道</t>
        </is>
      </c>
      <c r="F10" s="15" t="inlineStr">
        <is>
          <t>同期 7–9 月检修装置陆续重启，国内整体开工回升至 89% 附近。</t>
        </is>
      </c>
      <c r="G10" s="15" t="inlineStr">
        <is>
          <t>10-09 当日为现货最高点（太仓 4880、生意社基准价 4846）。</t>
        </is>
      </c>
      <c r="H10" s="24" t="inlineStr">
        <is>
          <t>2026-10-09</t>
        </is>
      </c>
      <c r="I10" s="27" t="n">
        <v>4880</v>
      </c>
      <c r="J10" s="15" t="inlineStr">
        <is>
          <t>生意社商品情报 2026-10-09（机构快讯）</t>
        </is>
      </c>
    </row>
    <row r="11" ht="30" customHeight="1">
      <c r="A11" s="20" t="inlineStr">
        <is>
          <t>2026-10-10</t>
        </is>
      </c>
      <c r="B11" s="20" t="inlineStr">
        <is>
          <t>需求</t>
        </is>
      </c>
      <c r="C11" s="6" t="inlineStr">
        <is>
          <t>天津渤化、联泓格润二期 MTO 停车；太仓小单最低价较前日高点回落 550</t>
        </is>
      </c>
      <c r="D11" s="45" t="inlineStr">
        <is>
          <t>利空（对价格，事后）</t>
        </is>
      </c>
      <c r="E11" s="20" t="inlineStr">
        <is>
          <t>公开报道</t>
        </is>
      </c>
      <c r="F11" s="10" t="inlineStr">
        <is>
          <t>沿海外采型 MTO 因甲醇高价深度亏损陆续停车降负；产区 200 元下调仍流拍。</t>
        </is>
      </c>
      <c r="G11" s="10" t="inlineStr">
        <is>
          <t>10-10 太仓小单 4400，10-12 期货开盘跳水。</t>
        </is>
      </c>
      <c r="H11" s="20" t="inlineStr">
        <is>
          <t>2026-10-10</t>
        </is>
      </c>
      <c r="I11" s="23" t="n">
        <v>4670</v>
      </c>
      <c r="J11" s="10" t="inlineStr">
        <is>
          <t>华泰期货 2026-10-16；Mysteel 转述隆众 2026-10-10；生意社情报 2026-10-14</t>
        </is>
      </c>
    </row>
    <row r="12" ht="45" customHeight="1">
      <c r="A12" s="24" t="inlineStr">
        <is>
          <t>2026-10-12</t>
        </is>
      </c>
      <c r="B12" s="24" t="inlineStr">
        <is>
          <t>需求</t>
        </is>
      </c>
      <c r="C12" s="11" t="inlineStr">
        <is>
          <t>周末多家沿海 MTO 停车、现货拍卖流拍，甲醇主力日内一度跌 7%</t>
        </is>
      </c>
      <c r="D12" s="45" t="inlineStr">
        <is>
          <t>利空（对价格，事后）</t>
        </is>
      </c>
      <c r="E12" s="24" t="inlineStr">
        <is>
          <t>公开报道</t>
        </is>
      </c>
      <c r="F12" s="15" t="inlineStr">
        <is>
          <t>负反馈由预期落地：渤化、联泓等停车，太仓价格从 4880 快速回落；同日传美方接受部分重开霍尔木兹条件（新华社），地缘溢价边际松动。</t>
        </is>
      </c>
      <c r="G12" s="15" t="inlineStr">
        <is>
          <t>10-13 收 3235，两日累计回落超 600 元/吨（光大期货口径）。</t>
        </is>
      </c>
      <c r="H12" s="24" t="inlineStr">
        <is>
          <t>2026-10-10</t>
        </is>
      </c>
      <c r="I12" s="27" t="n">
        <v>4670</v>
      </c>
      <c r="J12" s="15" t="inlineStr">
        <is>
          <t>东方财富 2026-10-12；光大期货 2026-10-13；新华网 2026-10-12</t>
        </is>
      </c>
    </row>
    <row r="13" ht="45" customHeight="1">
      <c r="A13" s="20" t="inlineStr">
        <is>
          <t>2026-10-13</t>
        </is>
      </c>
      <c r="B13" s="20" t="inlineStr">
        <is>
          <t>价格</t>
        </is>
      </c>
      <c r="C13" s="6" t="inlineStr">
        <is>
          <t>甲醇两日回落超 600 元/吨，太仓 3730–3960</t>
        </is>
      </c>
      <c r="D13" s="45" t="inlineStr">
        <is>
          <t>利空（对价格，事后）</t>
        </is>
      </c>
      <c r="E13" s="20" t="inlineStr">
        <is>
          <t>机构观点</t>
        </is>
      </c>
      <c r="F13" s="10" t="inlineStr">
        <is>
          <t>光大期货：高价甲醇导致下游深度亏损，渤化、联泓等多套 MTO 停车或计划降负，需求负反馈由预期落地。</t>
        </is>
      </c>
      <c r="G13" s="10" t="inlineStr">
        <is>
          <t>10-13 期货收 3235（较 10-09 高点 3338 回落 3.1%）。</t>
        </is>
      </c>
      <c r="H13" s="20" t="inlineStr">
        <is>
          <t>2026-10-13</t>
        </is>
      </c>
      <c r="I13" s="23" t="n">
        <v>3845</v>
      </c>
      <c r="J13" s="10" t="inlineStr">
        <is>
          <t>光大期货 2026-10-13；Mysteel 转述隆众</t>
        </is>
      </c>
    </row>
    <row r="14" ht="30" customHeight="1">
      <c r="A14" s="24" t="inlineStr">
        <is>
          <t>2026-10-14</t>
        </is>
      </c>
      <c r="B14" s="24" t="inlineStr">
        <is>
          <t>供给</t>
        </is>
      </c>
      <c r="C14" s="11" t="inlineStr">
        <is>
          <t>宁夏宝丰四期 280 万吨/年甲醇装置计划 10 月中下旬出合格品</t>
        </is>
      </c>
      <c r="D14" s="45" t="inlineStr">
        <is>
          <t>利空（对价格，事后）</t>
        </is>
      </c>
      <c r="E14" s="24" t="inlineStr">
        <is>
          <t>机构观点</t>
        </is>
      </c>
      <c r="F14" s="15" t="inlineStr">
        <is>
          <t>初期部分甲醇外售、12 月配套烯烃投产；辽宁华锦阿美 40 万吨甲醇装置预期 11 月投产。</t>
        </is>
      </c>
      <c r="G14" s="15" t="inlineStr">
        <is>
          <t>10-14 太仓 3845（-230），港口库存首度转累 30.51 万吨。</t>
        </is>
      </c>
      <c r="H14" s="24" t="inlineStr">
        <is>
          <t>2026-10-14</t>
        </is>
      </c>
      <c r="I14" s="27" t="n">
        <v>4025</v>
      </c>
      <c r="J14" s="15" t="inlineStr">
        <is>
          <t>生意社商品情报 2026-10-14（机构快讯）</t>
        </is>
      </c>
    </row>
    <row r="15" ht="30" customHeight="1">
      <c r="A15" s="20" t="inlineStr">
        <is>
          <t>2026-10-15</t>
        </is>
      </c>
      <c r="B15" s="20" t="inlineStr">
        <is>
          <t>成本</t>
        </is>
      </c>
      <c r="C15" s="6" t="inlineStr">
        <is>
          <t>煤炭：CCTD 环渤海 5500 报 1015 元/吨，10-16 升至 1025，年涨幅 47.27%</t>
        </is>
      </c>
      <c r="D15" s="37" t="inlineStr">
        <is>
          <t>利多（对成本）</t>
        </is>
      </c>
      <c r="E15" s="20" t="inlineStr">
        <is>
          <t>公开报道</t>
        </is>
      </c>
      <c r="F15" s="10" t="inlineStr">
        <is>
          <t>晋北 5500 855、榆林 5800 905、鄂尔多斯 5500 825；冬储补库叠加山西复产偏慢。</t>
        </is>
      </c>
      <c r="G15" s="10" t="inlineStr">
        <is>
          <t>煤价上行提供成本支撑，但甲醇盘面同期仍回落。</t>
        </is>
      </c>
      <c r="H15" s="20" t="inlineStr">
        <is>
          <t>2026-10-15</t>
        </is>
      </c>
      <c r="I15" s="23" t="n">
        <v>3982.5</v>
      </c>
      <c r="J15" s="10" t="inlineStr">
        <is>
          <t>上海证券报 2026-10-15；证券日报 2026-10-19</t>
        </is>
      </c>
    </row>
    <row r="16" ht="45" customHeight="1">
      <c r="A16" s="24" t="inlineStr">
        <is>
          <t>2026-10-16</t>
        </is>
      </c>
      <c r="B16" s="24" t="inlineStr">
        <is>
          <t>政策</t>
        </is>
      </c>
      <c r="C16" s="11" t="inlineStr">
        <is>
          <t>发改委、能源局在山西召开加快煤矿复产增产保供推进会</t>
        </is>
      </c>
      <c r="D16" s="45" t="inlineStr">
        <is>
          <t>利空（对成本）</t>
        </is>
      </c>
      <c r="E16" s="24" t="inlineStr">
        <is>
          <t>公开报道</t>
        </is>
      </c>
      <c r="F16" s="15" t="inlineStr">
        <is>
          <t>要求山西“一矿一策”制定复产计划、推动临时停产煤矿加快复产、尽快达产满产，并组建工作组赴产煤地市督导。</t>
        </is>
      </c>
      <c r="G16" s="15" t="inlineStr">
        <is>
          <t>该日为数据截止前最后一个完整交易周的周五；对煤价的后续影响未在数据期内体现。</t>
        </is>
      </c>
      <c r="H16" s="24" t="inlineStr">
        <is>
          <t>2026-10-16</t>
        </is>
      </c>
      <c r="I16" s="27" t="n">
        <v>3960</v>
      </c>
      <c r="J16" s="15" t="inlineStr">
        <is>
          <t>界面新闻 2026-10-16</t>
        </is>
      </c>
    </row>
    <row r="17" ht="45" customHeight="1">
      <c r="A17" s="20" t="inlineStr">
        <is>
          <t>2026-10-16</t>
        </is>
      </c>
      <c r="B17" s="20" t="inlineStr">
        <is>
          <t>库存</t>
        </is>
      </c>
      <c r="C17" s="6" t="inlineStr">
        <is>
          <t>港口总库存 36.72 万吨周增 6.21 万吨，为本轮首度累库；江苏仍去库</t>
        </is>
      </c>
      <c r="D17" s="45" t="inlineStr">
        <is>
          <t>利空（对价格，事后）</t>
        </is>
      </c>
      <c r="E17" s="20" t="inlineStr">
        <is>
          <t>公开报道</t>
        </is>
      </c>
      <c r="F17" s="10" t="inlineStr">
        <is>
          <t>江苏 17.17（-2.05）、浙江 4.48（-1.11）、广东 6.70（+3.55）；内地工厂库存 35.69 万吨（+3.46）。高价下提货意愿差，广东福建累库加快。</t>
        </is>
      </c>
      <c r="G17" s="10" t="inlineStr">
        <is>
          <t>10-16 太仓 3983（-42），广东 3815（-205），广东-华东价差 -348。</t>
        </is>
      </c>
      <c r="H17" s="20" t="inlineStr">
        <is>
          <t>2026-10-16</t>
        </is>
      </c>
      <c r="I17" s="23" t="n">
        <v>3960</v>
      </c>
      <c r="J17" s="10" t="inlineStr">
        <is>
          <t>华泰期货《甲醇港口基差再度反弹》2026-10-16</t>
        </is>
      </c>
    </row>
    <row r="18" ht="30" customHeight="1">
      <c r="A18" s="24" t="inlineStr">
        <is>
          <t>2026-10-17</t>
        </is>
      </c>
      <c r="B18" s="24" t="inlineStr">
        <is>
          <t>物流</t>
        </is>
      </c>
      <c r="C18" s="11" t="inlineStr">
        <is>
          <t>一艘超级油轮在霍尔木兹海峡触雷爆炸起火</t>
        </is>
      </c>
      <c r="D18" s="37" t="inlineStr">
        <is>
          <t>利多（地缘溢价）</t>
        </is>
      </c>
      <c r="E18" s="24" t="inlineStr">
        <is>
          <t>公开报道</t>
        </is>
      </c>
      <c r="F18" s="15" t="inlineStr">
        <is>
          <t>伊朗革命卫队海军声明；欧亚集团将波斯湾冲突升级概率由 35% 上调至 65%；油轮运费与保险创新高。</t>
        </is>
      </c>
      <c r="G18" s="15" t="inlineStr">
        <is>
          <t>10-19 布伦特仍在 109 美元/桶附近，WTI 跌破 99。</t>
        </is>
      </c>
      <c r="H18" s="24" t="inlineStr">
        <is>
          <t>2026-10-16</t>
        </is>
      </c>
      <c r="I18" s="27" t="n">
        <v>3960</v>
      </c>
      <c r="J18" s="15" t="inlineStr">
        <is>
          <t>证券时报 2026-10-17；中新经纬 2026-10-19</t>
        </is>
      </c>
    </row>
    <row r="19" ht="45" customHeight="1">
      <c r="A19" s="20" t="inlineStr">
        <is>
          <t>2026-10-18</t>
        </is>
      </c>
      <c r="B19" s="20" t="inlineStr">
        <is>
          <t>需求</t>
        </is>
      </c>
      <c r="C19" s="6" t="inlineStr">
        <is>
          <t>南京诚志 MTO 装置停车（10-18 至 10-19），港口 MTO 全数停车</t>
        </is>
      </c>
      <c r="D19" s="45" t="inlineStr">
        <is>
          <t>利空（对价格，事后）</t>
        </is>
      </c>
      <c r="E19" s="20" t="inlineStr">
        <is>
          <t>公开报道</t>
        </is>
      </c>
      <c r="F19" s="10" t="inlineStr">
        <is>
          <t>金联创：10 月下旬随南京诚志装置停车，港口 MTO 已全数停车，烯烃行业开工不足六成；MTO-PP 4 月月均亏 2095 元/吨，而 CTO-PP 同期盈利 2674 元/吨。</t>
        </is>
      </c>
      <c r="G19" s="10" t="inlineStr">
        <is>
          <t>10-19 期货收 3143（-1.54%），为 8 月末以来新低区间。</t>
        </is>
      </c>
      <c r="H19" s="20" t="inlineStr">
        <is>
          <t>2026-10-16</t>
        </is>
      </c>
      <c r="I19" s="23" t="n">
        <v>3960</v>
      </c>
      <c r="J19" s="10" t="inlineStr">
        <is>
          <t>金联创 2026-10-19</t>
        </is>
      </c>
    </row>
    <row r="20" ht="45" customHeight="1">
      <c r="A20" s="24" t="inlineStr">
        <is>
          <t>2026-10-19</t>
        </is>
      </c>
      <c r="B20" s="24" t="inlineStr">
        <is>
          <t>价格</t>
        </is>
      </c>
      <c r="C20" s="11" t="inlineStr">
        <is>
          <t>兖矿国宏竞拍成交 3230（10-16 为 3330–3335）；山东明泉 3450（-100）</t>
        </is>
      </c>
      <c r="D20" s="45" t="inlineStr">
        <is>
          <t>利空（对价格，事后）</t>
        </is>
      </c>
      <c r="E20" s="24" t="inlineStr">
        <is>
          <t>公开报道</t>
        </is>
      </c>
      <c r="F20" s="15" t="inlineStr">
        <is>
          <t>兖矿国宏 64 万吨煤制装置双炉运行；榆林兖矿起拍 3050、8000 吨大部分成交；山东联盟终端 3480（-70）。产业户通过竞拍把挂牌价的下行兑现为成交价。</t>
        </is>
      </c>
      <c r="G20" s="15" t="inlineStr">
        <is>
          <t>生意社基准价 10-19 持平于 3966.67，罐区区间价未取得。</t>
        </is>
      </c>
      <c r="H20" s="24" t="inlineStr">
        <is>
          <t>2026-10-16</t>
        </is>
      </c>
      <c r="I20" s="27" t="n">
        <v>3960</v>
      </c>
      <c r="J20" s="15" t="inlineStr">
        <is>
          <t>生意社商品情报 2026-10-19 13:53–13:55</t>
        </is>
      </c>
    </row>
    <row r="22" ht="26" customHeight="1">
      <c r="A22" s="16" t="inlineStr">
        <is>
          <t>未采纳消息（仅传闻/待确认，未进入时间线）</t>
        </is>
      </c>
    </row>
    <row r="23" ht="32" customHeight="1">
      <c r="A23" s="5" t="inlineStr">
        <is>
          <t>日期</t>
        </is>
      </c>
      <c r="B23" s="5" t="inlineStr">
        <is>
          <t>类型</t>
        </is>
      </c>
      <c r="C23" s="5" t="inlineStr">
        <is>
          <t>消息</t>
        </is>
      </c>
      <c r="D23" s="5" t="inlineStr">
        <is>
          <t>证据级别</t>
        </is>
      </c>
      <c r="E23" s="5" t="inlineStr"/>
      <c r="F23" s="5" t="inlineStr">
        <is>
          <t>为什么没采纳</t>
        </is>
      </c>
      <c r="G23" s="5" t="inlineStr"/>
      <c r="H23" s="5" t="inlineStr"/>
      <c r="I23" s="5" t="inlineStr"/>
      <c r="J23" s="5" t="inlineStr">
        <is>
          <t>来源</t>
        </is>
      </c>
    </row>
    <row r="24" ht="60" customHeight="1">
      <c r="A24" s="20" t="inlineStr">
        <is>
          <t>2026-10-19</t>
        </is>
      </c>
      <c r="B24" s="20" t="inlineStr">
        <is>
          <t>传闻</t>
        </is>
      </c>
      <c r="C24" s="8" t="inlineStr">
        <is>
          <t>市场流传 Kaveh 230 万吨装置“恢复满负荷”</t>
        </is>
      </c>
      <c r="D24" s="46" t="inlineStr">
        <is>
          <t>传闻</t>
        </is>
      </c>
      <c r="E24" s="20" t="inlineStr"/>
      <c r="F24" s="10" t="inlineStr">
        <is>
          <t>生意社当日快讯写的是“伊朗 kaveh 230 万吨/年甲醇装置正常运行”，并未确认满负荷；另有 10-19 第三方文章称其恢复。两种说法指向“在运行”，但具体负荷未证实。</t>
        </is>
      </c>
      <c r="G24" s="8" t="inlineStr"/>
      <c r="H24" s="8" t="inlineStr"/>
      <c r="I24" s="8" t="inlineStr"/>
      <c r="J24" s="10" t="inlineStr">
        <is>
          <t>生意社商品情报 2026-10-19 14:42</t>
        </is>
      </c>
    </row>
    <row r="25" ht="45" customHeight="1">
      <c r="A25" s="24" t="inlineStr">
        <is>
          <t>2026-10-19</t>
        </is>
      </c>
      <c r="B25" s="24" t="inlineStr">
        <is>
          <t>传闻</t>
        </is>
      </c>
      <c r="C25" s="13" t="inlineStr">
        <is>
          <t>市场流传“部分船舶已获准通过霍尔木兹海峡”</t>
        </is>
      </c>
      <c r="D25" s="47" t="inlineStr">
        <is>
          <t>待确认</t>
        </is>
      </c>
      <c r="E25" s="24" t="inlineStr"/>
      <c r="F25" s="15" t="inlineStr">
        <is>
          <t>10-19 凌晨伊朗革命卫队称一艘违规油轮在南部触雷爆炸起火，并警告关闭导航识别系统的船只将受严惩；未取得官方确认的“重开”信息。</t>
        </is>
      </c>
      <c r="G25" s="13" t="inlineStr"/>
      <c r="H25" s="13" t="inlineStr"/>
      <c r="I25" s="13" t="inlineStr"/>
      <c r="J25" s="15" t="inlineStr">
        <is>
          <t>中新经纬 2026-10-19</t>
        </is>
      </c>
    </row>
  </sheetData>
  <mergeCells count="3">
    <mergeCell ref="A22:J22"/>
    <mergeCell ref="A1:J1"/>
    <mergeCell ref="A2:J2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tabColor rgb="001E7A54"/>
    <outlinePr summaryBelow="1" summaryRight="1"/>
    <pageSetUpPr fitToPage="1"/>
  </sheetPr>
  <dimension ref="A1:F3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46" customWidth="1" min="4" max="4"/>
    <col width="40" customWidth="1" min="5" max="5"/>
    <col width="70" customWidth="1" min="6" max="6"/>
  </cols>
  <sheetData>
    <row r="1" ht="36" customHeight="1">
      <c r="A1" s="1" t="inlineStr">
        <is>
          <t>09 · 采购可用事实 与 供应商常见问答</t>
        </is>
      </c>
    </row>
    <row r="2" ht="32" customHeight="1">
      <c r="A2" s="2" t="inlineStr">
        <is>
          <t>每条事实都能回溯到来源；问答只含事实，不含方向判断。可直接复制到微信/邮件。</t>
        </is>
      </c>
    </row>
    <row r="4" ht="26" customHeight="1">
      <c r="A4" s="48" t="inlineStr">
        <is>
          <t>A. 可用事实（对外可引用）</t>
        </is>
      </c>
    </row>
    <row r="5" ht="32" customHeight="1">
      <c r="A5" s="5" t="inlineStr">
        <is>
          <t>类别</t>
        </is>
      </c>
      <c r="B5" s="5" t="inlineStr">
        <is>
          <t>事实</t>
        </is>
      </c>
      <c r="C5" s="5" t="inlineStr">
        <is>
          <t>数值</t>
        </is>
      </c>
      <c r="D5" s="5" t="inlineStr">
        <is>
          <t>补充说明</t>
        </is>
      </c>
      <c r="E5" s="5" t="inlineStr">
        <is>
          <t>来源</t>
        </is>
      </c>
      <c r="F5" s="5" t="inlineStr"/>
    </row>
    <row r="6" ht="45" customHeight="1">
      <c r="A6" s="20" t="inlineStr">
        <is>
          <t>价格（锚）</t>
        </is>
      </c>
      <c r="B6" s="6" t="inlineStr">
        <is>
          <t>当前价（华东太仓）</t>
        </is>
      </c>
      <c r="C6" s="49" t="n">
        <v>3983</v>
      </c>
      <c r="D6" s="10" t="inlineStr">
        <is>
          <t>2026-10-16 · 含税 · 含税现汇 · 罐区自提/库提</t>
        </is>
      </c>
      <c r="E6" s="10" t="inlineStr">
        <is>
          <t>华泰期货《甲醇港口基差再度反弹》2026-10-16（隆众数据）；东方财富期货早餐 2026-10-19 转引隆众</t>
        </is>
      </c>
      <c r="F6" s="8" t="inlineStr"/>
    </row>
    <row r="7" ht="30" customHeight="1">
      <c r="A7" s="20" t="inlineStr">
        <is>
          <t>价格</t>
        </is>
      </c>
      <c r="B7" s="6" t="inlineStr">
        <is>
          <t>太仓罐区 10-16 主流价</t>
        </is>
      </c>
      <c r="C7" s="6" t="inlineStr">
        <is>
          <t>3890–4030 元/吨（含税现汇，区间中值 3960）</t>
        </is>
      </c>
      <c r="D7" s="10" t="inlineStr">
        <is>
          <t>同口径 10-14 为 3950–4100；10-09 高点 4880。</t>
        </is>
      </c>
      <c r="E7" s="10" t="inlineStr">
        <is>
          <t>Mysteel 转述隆众；华泰期货；创元期货</t>
        </is>
      </c>
      <c r="F7" s="8" t="inlineStr"/>
    </row>
    <row r="8" ht="30" customHeight="1">
      <c r="A8" s="24" t="inlineStr">
        <is>
          <t>价格</t>
        </is>
      </c>
      <c r="B8" s="11" t="inlineStr">
        <is>
          <t>生意社基准价（江苏，进口太仓）</t>
        </is>
      </c>
      <c r="C8" s="11" t="inlineStr">
        <is>
          <t>3966.67 元/吨（10-19 16:00）</t>
        </is>
      </c>
      <c r="D8" s="15" t="inlineStr">
        <is>
          <t>10-16 为 3990；10-09 高点 4846.67；三个月均价 3450.47、最高 4846.67、最低 2531.67。</t>
        </is>
      </c>
      <c r="E8" s="15" t="inlineStr">
        <is>
          <t>生意社《甲醇基准价》详情页 2026-10-19</t>
        </is>
      </c>
      <c r="F8" s="13" t="inlineStr"/>
    </row>
    <row r="9" ht="45" customHeight="1">
      <c r="A9" s="20" t="inlineStr">
        <is>
          <t>价格</t>
        </is>
      </c>
      <c r="B9" s="6" t="inlineStr">
        <is>
          <t>期货主连（郑商所 MA）</t>
        </is>
      </c>
      <c r="C9" s="6" t="inlineStr">
        <is>
          <t>3143 元/吨（10-19 收盘，不含税）</t>
        </is>
      </c>
      <c r="D9" s="10" t="inlineStr">
        <is>
          <t>不含税、含交割成本；同期太仓含税现货 3960–4030，期货贴水现货，说明盘面比现货更早反映需求负反馈。</t>
        </is>
      </c>
      <c r="E9" s="10" t="inlineStr">
        <is>
          <t>郑商所日线（新浪财经期货接口）</t>
        </is>
      </c>
      <c r="F9" s="8" t="inlineStr"/>
    </row>
    <row r="10" ht="30" customHeight="1">
      <c r="A10" s="24" t="inlineStr">
        <is>
          <t>价格</t>
        </is>
      </c>
      <c r="B10" s="11" t="inlineStr">
        <is>
          <t>华东进口价差（CFR 折算）</t>
        </is>
      </c>
      <c r="C10" s="11" t="inlineStr">
        <is>
          <t>298 元/吨（10-16，前值 +173）</t>
        </is>
      </c>
      <c r="D10" s="15" t="inlineStr">
        <is>
          <t>期货公司口径的进口到岸与港口现货之差，包含汇率与税费；不能与人民币现货直接比。</t>
        </is>
      </c>
      <c r="E10" s="15" t="inlineStr">
        <is>
          <t>华泰期货 2026-10-16</t>
        </is>
      </c>
      <c r="F10" s="13" t="inlineStr"/>
    </row>
    <row r="11" ht="30" customHeight="1">
      <c r="A11" s="20" t="inlineStr">
        <is>
          <t>价格</t>
        </is>
      </c>
      <c r="B11" s="6" t="inlineStr">
        <is>
          <t>产区出厂价</t>
        </is>
      </c>
      <c r="C11" s="6" t="inlineStr">
        <is>
          <t>内蒙北线 3115（-85）· 河南 3285（-80）· 河北 3350（-25）</t>
        </is>
      </c>
      <c r="D11" s="10" t="inlineStr">
        <is>
          <t>10-16，含税现汇厂提。</t>
        </is>
      </c>
      <c r="E11" s="10" t="inlineStr">
        <is>
          <t>华泰期货 2026-10-16</t>
        </is>
      </c>
      <c r="F11" s="8" t="inlineStr"/>
    </row>
    <row r="12" ht="30" customHeight="1">
      <c r="A12" s="24" t="inlineStr">
        <is>
          <t>价格</t>
        </is>
      </c>
      <c r="B12" s="11" t="inlineStr">
        <is>
          <t>厂商竞拍真实成交</t>
        </is>
      </c>
      <c r="C12" s="11" t="inlineStr">
        <is>
          <t>兖矿国宏 3230 元/吨（10-19，厂提现汇）</t>
        </is>
      </c>
      <c r="D12" s="15" t="inlineStr">
        <is>
          <t>10-16 为 3330–3335；竞拍成交价是厂商挂牌价的下沿验证。</t>
        </is>
      </c>
      <c r="E12" s="15" t="inlineStr">
        <is>
          <t>生意社商品情报 2026-10-19</t>
        </is>
      </c>
      <c r="F12" s="13" t="inlineStr"/>
    </row>
    <row r="13" ht="30" customHeight="1">
      <c r="A13" s="20" t="inlineStr">
        <is>
          <t>成本</t>
        </is>
      </c>
      <c r="B13" s="6" t="inlineStr">
        <is>
          <t>煤价</t>
        </is>
      </c>
      <c r="C13" s="6" t="inlineStr">
        <is>
          <t>鄂尔多斯 Q5500 785 元/吨；环渤海 Q5500 1025（10-16）</t>
        </is>
      </c>
      <c r="D13" s="10" t="inlineStr">
        <is>
          <t>环渤海破千为 2023 年 10 月中旬以来首次；内蒙煤制完全成本 2638 元/吨、利润 1070–1288 元/吨。</t>
        </is>
      </c>
      <c r="E13" s="10" t="inlineStr">
        <is>
          <t>华泰期货 2026-10-16；证券日报 2026-10-19；创元期货</t>
        </is>
      </c>
      <c r="F13" s="8" t="inlineStr"/>
    </row>
    <row r="14" ht="30" customHeight="1">
      <c r="A14" s="24" t="inlineStr">
        <is>
          <t>库存</t>
        </is>
      </c>
      <c r="B14" s="11" t="inlineStr">
        <is>
          <t>港口总库存</t>
        </is>
      </c>
      <c r="C14" s="11" t="inlineStr">
        <is>
          <t>36.72 万吨（10-14），周增 6.21 万吨</t>
        </is>
      </c>
      <c r="D14" s="15" t="inlineStr">
        <is>
          <t>本轮首度由降转累；江苏 17.17、浙江 4.48、广东 6.70（10-16）。</t>
        </is>
      </c>
      <c r="E14" s="15" t="inlineStr">
        <is>
          <t>华泰期货 2026-10-16（隆众数据）</t>
        </is>
      </c>
      <c r="F14" s="13" t="inlineStr"/>
    </row>
    <row r="15" ht="16" customHeight="1">
      <c r="A15" s="20" t="inlineStr">
        <is>
          <t>库存</t>
        </is>
      </c>
      <c r="B15" s="6" t="inlineStr">
        <is>
          <t>内地工厂库存</t>
        </is>
      </c>
      <c r="C15" s="6" t="inlineStr">
        <is>
          <t>35.69 万吨（10-16），西北 22.37 万吨</t>
        </is>
      </c>
      <c r="D15" s="10" t="inlineStr">
        <is>
          <t>待发订单 19.23 万吨（+0.56）；卖家在降价出货。</t>
        </is>
      </c>
      <c r="E15" s="10" t="inlineStr">
        <is>
          <t>华泰期货 2026-10-16（隆众数据）</t>
        </is>
      </c>
      <c r="F15" s="8" t="inlineStr"/>
    </row>
    <row r="16" ht="30" customHeight="1">
      <c r="A16" s="24" t="inlineStr">
        <is>
          <t>需求</t>
        </is>
      </c>
      <c r="B16" s="11" t="inlineStr">
        <is>
          <t>MTO 开工率</t>
        </is>
      </c>
      <c r="C16" s="11" t="inlineStr">
        <is>
          <t>76.69%（10-16，-3.01pct）</t>
        </is>
      </c>
      <c r="D16" s="15" t="inlineStr">
        <is>
          <t>10 月下旬港口 MTO 全数停车；C/MTO 1–10 月均值 74.69%、同比 -6.42pct。</t>
        </is>
      </c>
      <c r="E16" s="15" t="inlineStr">
        <is>
          <t>华泰期货 2026-10-16；金联创 2026-10-19</t>
        </is>
      </c>
      <c r="F16" s="13" t="inlineStr"/>
    </row>
    <row r="17" ht="30" customHeight="1">
      <c r="A17" s="20" t="inlineStr">
        <is>
          <t>供给</t>
        </is>
      </c>
      <c r="B17" s="6" t="inlineStr">
        <is>
          <t>进口</t>
        </is>
      </c>
      <c r="C17" s="6" t="inlineStr">
        <is>
          <t>8 月 81 万吨；9 月到港收缩至约 30 万吨</t>
        </is>
      </c>
      <c r="D17" s="10" t="inlineStr">
        <is>
          <t>伊朗三季度平均开工不足三成；霍尔木兹通航 8–20 艘/日。</t>
        </is>
      </c>
      <c r="E17" s="10" t="inlineStr">
        <is>
          <t>创元期货；广州期货；金联创</t>
        </is>
      </c>
      <c r="F17" s="8" t="inlineStr"/>
    </row>
    <row r="18" ht="30" customHeight="1">
      <c r="A18" s="24" t="inlineStr">
        <is>
          <t>市场结构</t>
        </is>
      </c>
      <c r="B18" s="11" t="inlineStr">
        <is>
          <t>太仓-内蒙 价差</t>
        </is>
      </c>
      <c r="C18" s="11" t="inlineStr">
        <is>
          <t>868 元/吨（10-16）</t>
        </is>
      </c>
      <c r="D18" s="15" t="inlineStr">
        <is>
          <t>可覆盖运费但套利窗口是否真打开需运价数据，本稿未取得（已标缺口）。</t>
        </is>
      </c>
      <c r="E18" s="15" t="inlineStr">
        <is>
          <t>华泰期货 2026-10-16（自算，同日同口径）</t>
        </is>
      </c>
      <c r="F18" s="13" t="inlineStr"/>
    </row>
    <row r="20" ht="26" customHeight="1">
      <c r="A20" s="48" t="inlineStr">
        <is>
          <t>B. 供应商常见问答（只含事实）</t>
        </is>
      </c>
    </row>
    <row r="21" ht="32" customHeight="1">
      <c r="A21" s="5" t="inlineStr">
        <is>
          <t>#</t>
        </is>
      </c>
      <c r="B21" s="5" t="inlineStr">
        <is>
          <t>供应商可能问</t>
        </is>
      </c>
      <c r="C21" s="5" t="inlineStr">
        <is>
          <t>你可以这样答</t>
        </is>
      </c>
      <c r="D21" s="5" t="inlineStr"/>
      <c r="E21" s="5" t="inlineStr"/>
      <c r="F21" s="5" t="inlineStr"/>
    </row>
    <row r="22" ht="30" customHeight="1">
      <c r="A22" s="20" t="n">
        <v>1</v>
      </c>
      <c r="B22" s="6" t="inlineStr">
        <is>
          <t>现在太仓什么价？给我们个准数。</t>
        </is>
      </c>
      <c r="C22" s="8" t="inlineStr">
        <is>
          <t>10-16 太仓罐区主流区间 3890–4030 元/吨，含税现汇、罐区自提，区间中值 3960；同日隆众现货指数口径是 3960、期货公司日报口径是 3983。三个数都是含税罐区价，差异来自取样时点和小单/大单区别。10-19 当日罐区区间价我这边没有拿到，标成缺口，不替您估。您要哪一档，我按您平时的提货量去问当天价。</t>
        </is>
      </c>
    </row>
    <row r="23" ht="30" customHeight="1">
      <c r="A23" s="20" t="n">
        <v>2</v>
      </c>
      <c r="B23" s="6" t="inlineStr">
        <is>
          <t>都说跌了，到底跌了多少？</t>
        </is>
      </c>
      <c r="C23" s="8" t="inlineStr">
        <is>
          <t>按同期口径：10-09 高点 4880 → 10-16 的 3890–4030，区间中值从 4880 回到 3960，6 个交易日（间隔）回落约 19%。期货同期从 3338（10-09）到 3143（10-19），跌 5.8%。注意现货跌幅远大于期货——因为现货此前涨得更多，而且期货贴水现货。</t>
        </is>
      </c>
    </row>
    <row r="24" ht="45" customHeight="1">
      <c r="A24" s="20" t="n">
        <v>3</v>
      </c>
      <c r="B24" s="6" t="inlineStr">
        <is>
          <t>还能不能更便宜？什么时候补货合适？</t>
        </is>
      </c>
      <c r="C24" s="8" t="inlineStr">
        <is>
          <t>价格位置我能给：当前处近 90 天样本的上沿回落阶段，10-16 的区间中值是近 90 天窗口内的高位区间；成本端煤价在 785–1025 元/吨的高位，内蒙煤制完全成本 2638 元/吨。至于再往下走多少，我不做预测——这不属于事实。我能做的是：把您现在的库存天数、月用量和我的三档报价（当日/周度/月度）摆在一起，让您自己比。</t>
        </is>
      </c>
    </row>
    <row r="25" ht="30" customHeight="1">
      <c r="A25" s="20" t="n">
        <v>4</v>
      </c>
      <c r="B25" s="6" t="inlineStr">
        <is>
          <t>为什么港口比内蒙贵这么多？</t>
        </is>
      </c>
      <c r="C25" s="8" t="inlineStr">
        <is>
          <t>10-16 太仓 3983 对 内蒙北线 3115，差 868 元/吨（含税现汇，均为隆众同日口径）。这个差里面包含汽运/铁水联运运费、罐租、地区升贴水和品质差。我这边没有同期的运价数据（已标缺口），所以不能把它说成“纯地区溢价”。如果您的量大且能接受较慢到货，内蒙直发是可以谈的方向，但要把运费和到货周期一起算。</t>
        </is>
      </c>
    </row>
    <row r="26" ht="30" customHeight="1">
      <c r="A26" s="20" t="n">
        <v>5</v>
      </c>
      <c r="B26" s="6" t="inlineStr">
        <is>
          <t>你们为什么不能按期货价给我？</t>
        </is>
      </c>
      <c r="C26" s="8" t="inlineStr">
        <is>
          <t>期货 3143 是不含税、含交割成本的主连价，现货 3960–4030 是含税罐区价。按 13% 增值税粗算，3143 含税约 3552，仍低于现货，这个差就是基差（10-16 太仓基差 629 元/吨，前值 +77）。基差波动本身也是风险，所以不能简单按期货价成交。如果要锁价，我们可以谈“期货价 + 固定基差”的定价公式。</t>
        </is>
      </c>
    </row>
    <row r="27" ht="60" customHeight="1">
      <c r="A27" s="20" t="n">
        <v>6</v>
      </c>
      <c r="B27" s="6" t="inlineStr">
        <is>
          <t>听说伊朗装置开了、海峡要通了，价格是不是要下来了？</t>
        </is>
      </c>
      <c r="C27" s="8" t="inlineStr">
        <is>
          <t>10-19 能确认的是：生意社快讯写“伊朗 Kaveh 230 万吨/年装置正常运行”，Sabalan 165、Kimiya 165 仍停车；海峡方面，10-19 凌晨有一艘违规油轮在南部触雷爆炸起火，官方没有发布“重开”确认。所以“恢复满负荷”和“海峡放开”目前都还是传闻，我没有把它们写进事件时间线，只放在“未采纳消息”里。能确认的是：伊朗三季度平均开工不足三成，1–9 月对华输出跌幅近四成。</t>
        </is>
      </c>
    </row>
    <row r="29" ht="26" customHeight="1">
      <c r="A29" s="48" t="inlineStr">
        <is>
          <t>C. 我方采购参数（库存/用量/商务条件）</t>
        </is>
      </c>
    </row>
    <row r="30">
      <c r="A30" s="46" t="inlineStr">
        <is>
          <t>库存天数</t>
        </is>
      </c>
      <c r="B30" s="8" t="n">
        <v>12</v>
      </c>
    </row>
    <row r="31">
      <c r="A31" s="46" t="inlineStr">
        <is>
          <t>库存可支撑至</t>
        </is>
      </c>
      <c r="B31" s="8" t="inlineStr">
        <is>
          <t>2026-10-28</t>
        </is>
      </c>
    </row>
    <row r="32">
      <c r="A32" s="46" t="inlineStr">
        <is>
          <t>月度用量（吨）</t>
        </is>
      </c>
      <c r="B32" s="8" t="n">
        <v>3000</v>
      </c>
    </row>
    <row r="33">
      <c r="A33" s="46" t="inlineStr">
        <is>
          <t>补单频率</t>
        </is>
      </c>
      <c r="B33" s="8" t="inlineStr">
        <is>
          <t>每周一次集中补单，单笔 3–5 车</t>
        </is>
      </c>
    </row>
    <row r="34">
      <c r="A34" s="46" t="inlineStr">
        <is>
          <t>当前货源点</t>
        </is>
      </c>
      <c r="B34" s="8" t="inlineStr">
        <is>
          <t>华东太仓、常州</t>
        </is>
      </c>
    </row>
    <row r="35">
      <c r="A35" s="46" t="inlineStr">
        <is>
          <t>商务条件</t>
        </is>
      </c>
      <c r="B35" s="8" t="inlineStr">
        <is>
          <t>含税现汇，罐区自提；可谈 30 天账期（+30~40 元/吨，属账期成本，非价格）</t>
        </is>
      </c>
    </row>
    <row r="36">
      <c r="A36" s="46" t="inlineStr">
        <is>
          <t>说明</t>
        </is>
      </c>
      <c r="B36" s="8" t="inlineStr">
        <is>
          <t>库存天数与月用量为示例假设值（本稿无企业实际数据），使用时请替换为真实值；替换后“可支撑到哪一天”会自动重算。</t>
        </is>
      </c>
    </row>
  </sheetData>
  <mergeCells count="18">
    <mergeCell ref="C22:F22"/>
    <mergeCell ref="A2:F2"/>
    <mergeCell ref="B30:F30"/>
    <mergeCell ref="C23:F23"/>
    <mergeCell ref="B32:F32"/>
    <mergeCell ref="B34:F34"/>
    <mergeCell ref="B33:F33"/>
    <mergeCell ref="A1:F1"/>
    <mergeCell ref="C26:F26"/>
    <mergeCell ref="C27:F27"/>
    <mergeCell ref="B31:F31"/>
    <mergeCell ref="A4:F4"/>
    <mergeCell ref="C25:F25"/>
    <mergeCell ref="A20:F20"/>
    <mergeCell ref="B36:F36"/>
    <mergeCell ref="C24:F24"/>
    <mergeCell ref="A29:F29"/>
    <mergeCell ref="B35:F35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tabColor rgb="00B23A48"/>
    <outlinePr summaryBelow="1" summaryRight="1"/>
    <pageSetUpPr fitToPage="1"/>
  </sheetPr>
  <dimension ref="A1:E3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6" customWidth="1" min="3" max="3"/>
    <col width="40" customWidth="1" min="4" max="4"/>
    <col width="40" customWidth="1" min="5" max="5"/>
  </cols>
  <sheetData>
    <row r="1" ht="36" customHeight="1">
      <c r="A1" s="1" t="inlineStr">
        <is>
          <t>10 · 数据缺口、口径冲突与来源清单</t>
        </is>
      </c>
    </row>
    <row r="2" ht="32" customHeight="1">
      <c r="A2" s="2" t="inlineStr">
        <is>
          <t>缺口清单比结论更重要：它决定这份底稿能不能直接拿去做采购决策。</t>
        </is>
      </c>
    </row>
    <row r="4" ht="26" customHeight="1">
      <c r="A4" s="16" t="inlineStr">
        <is>
          <t>A. 数据缺口 / 口径冲突 / 待更新</t>
        </is>
      </c>
    </row>
    <row r="5" ht="32" customHeight="1">
      <c r="A5" s="5" t="inlineStr">
        <is>
          <t>项目</t>
        </is>
      </c>
      <c r="B5" s="5" t="inlineStr">
        <is>
          <t>状态</t>
        </is>
      </c>
      <c r="C5" s="5" t="inlineStr">
        <is>
          <t>具体情况</t>
        </is>
      </c>
      <c r="D5" s="5" t="inlineStr">
        <is>
          <t>对采购的影响</t>
        </is>
      </c>
      <c r="E5" s="5" t="inlineStr">
        <is>
          <t>补齐路径</t>
        </is>
      </c>
    </row>
    <row r="6" ht="18" customHeight="1">
      <c r="A6" s="19" t="inlineStr">
        <is>
          <t>缺口共 8 条（状态：口径冲突、待更新、缺口）。</t>
        </is>
      </c>
    </row>
    <row r="7" ht="30" customHeight="1">
      <c r="A7" s="6" t="inlineStr">
        <is>
          <t>10-19 当日华东罐区区间价</t>
        </is>
      </c>
      <c r="B7" s="42" t="inlineStr">
        <is>
          <t>缺口</t>
        </is>
      </c>
      <c r="C7" s="8" t="inlineStr">
        <is>
          <t>10-19 只取得生意社基准价 3966.67（持平）与厂商出厂/竞拍价，未取得当日隆众/Mysteel 太仓区间报价。</t>
        </is>
      </c>
      <c r="D7" s="10" t="inlineStr">
        <is>
          <t>锚价只能用 10-16 的 3890–4030；若当日市价已明显变动，首屏会滞后。</t>
        </is>
      </c>
      <c r="E7" s="10" t="inlineStr">
        <is>
          <t>订阅隆众/卓创日评或加入 Mysteel 数据源，每日 17:00 前抓取太仓区间。</t>
        </is>
      </c>
    </row>
    <row r="8" ht="45" customHeight="1">
      <c r="A8" s="11" t="inlineStr">
        <is>
          <t>太仓罐区日度连续序列（90 天逐日）</t>
        </is>
      </c>
      <c r="B8" s="42" t="inlineStr">
        <is>
          <t>缺口</t>
        </is>
      </c>
      <c r="C8" s="13" t="inlineStr">
        <is>
          <t>公开渠道只拿到 07-16、09-16、09-30、10-09、10-10、10-13/14/15/16 共 9 个日期；生意社价格走势图的数据被前端 packer 加密且带未知基准偏移，无法在服务端还原。</t>
        </is>
      </c>
      <c r="D8" s="15" t="inlineStr">
        <is>
          <t>90 天分位只有 9 个样本点，不能当作逐日连续行情；区间高低点仍可信，分位只作参考。</t>
        </is>
      </c>
      <c r="E8" s="15" t="inlineStr">
        <is>
          <t>接入付费资讯（隆众/卓创）日度库，或每日定时抓取 Mysteel 太仓区间价累积样本。</t>
        </is>
      </c>
    </row>
    <row r="9" ht="30" customHeight="1">
      <c r="A9" s="6" t="inlineStr">
        <is>
          <t>内蒙→华东 汽运/铁水联运价</t>
        </is>
      </c>
      <c r="B9" s="42" t="inlineStr">
        <is>
          <t>缺口</t>
        </is>
      </c>
      <c r="C9" s="8" t="inlineStr">
        <is>
          <t>未取得同期运价与运力情况，只拿到“运价走高”的定性描述。</t>
        </is>
      </c>
      <c r="D9" s="10" t="inlineStr">
        <is>
          <t>868 元/吨的产港价差无法拆成“运费+升贴水”，也无法判断套利窗口是否真的打开。</t>
        </is>
      </c>
      <c r="E9" s="10" t="inlineStr">
        <is>
          <t>向 2 家物流商询同期吨公里价，或采用地方政府物流指数。</t>
        </is>
      </c>
    </row>
    <row r="10" ht="30" customHeight="1">
      <c r="A10" s="11" t="inlineStr">
        <is>
          <t>MTO 理论毛利（华东外采型）</t>
        </is>
      </c>
      <c r="B10" s="42" t="inlineStr">
        <is>
          <t>缺口</t>
        </is>
      </c>
      <c r="C10" s="13" t="inlineStr">
        <is>
          <t>只取得金联创 4 月 MTO-PP 月均亏损 2095 元/吨、CTO-PP 盈利 2674 元/吨，未取得 10 月当期的华东 MTO 单体利润。</t>
        </is>
      </c>
      <c r="D10" s="15" t="inlineStr">
        <is>
          <t>无法量化“甲醇再涨多少 MTO 会再停一套”，只能用停车事实反推。</t>
        </is>
      </c>
      <c r="E10" s="15" t="inlineStr">
        <is>
          <t>补 PP/PE 现货与 MTO 加工费口径，按月复算。</t>
        </is>
      </c>
    </row>
    <row r="11" ht="30" customHeight="1">
      <c r="A11" s="6" t="inlineStr">
        <is>
          <t>传统下游分品种开工（二甲醚、DMF、DMC、BDO）</t>
        </is>
      </c>
      <c r="B11" s="42" t="inlineStr">
        <is>
          <t>缺口</t>
        </is>
      </c>
      <c r="C11" s="8" t="inlineStr">
        <is>
          <t>只取得甲醛 30.2%、醋酸 83.6%、MTBE 61.3% 三个品种，其余只有定性描述。</t>
        </is>
      </c>
      <c r="D11" s="10" t="inlineStr">
        <is>
          <t>传统需求的总量贡献无法完整核算。</t>
        </is>
      </c>
      <c r="E11" s="10" t="inlineStr">
        <is>
          <t>补隆众周度下游开工表。</t>
        </is>
      </c>
    </row>
    <row r="12" ht="60" customHeight="1">
      <c r="A12" s="11" t="inlineStr">
        <is>
          <t>样本口径不一致的库存数据</t>
        </is>
      </c>
      <c r="B12" s="50" t="inlineStr">
        <is>
          <t>口径冲突</t>
        </is>
      </c>
      <c r="C12" s="13" t="inlineStr">
        <is>
          <t>港口库存有两个口径：隆众“港口总库存 36.72 万吨（10-14）”、金联创“华东+华南社会库存 30.44 万吨（10-15）”；内地工厂库存也有“35.69 万吨（隆众样本）”与“28.17 万吨（月报样本）”两套。</t>
        </is>
      </c>
      <c r="D12" s="15" t="inlineStr">
        <is>
          <t>不能相加、也不能混比，否则会误判累库速度。</t>
        </is>
      </c>
      <c r="E12" s="15" t="inlineStr">
        <is>
          <t>报告内按口径分列，注明来源与样本范围；跨口径比较前先确认样本表。</t>
        </is>
      </c>
    </row>
    <row r="13" ht="30" customHeight="1">
      <c r="A13" s="6" t="inlineStr">
        <is>
          <t>伊朗装置“正常运行”的具体负荷</t>
        </is>
      </c>
      <c r="B13" s="46" t="inlineStr">
        <is>
          <t>待更新</t>
        </is>
      </c>
      <c r="C13" s="8" t="inlineStr">
        <is>
          <t>10-19 快讯只说 Kaveh 正常运行，未给负荷率；第三方文章称“恢复满负荷”。</t>
        </is>
      </c>
      <c r="D13" s="10" t="inlineStr">
        <is>
          <t>影响对 11 月进口恢复程度的判断（本稿不做预测，只影响缺口说明）。</t>
        </is>
      </c>
      <c r="E13" s="10" t="inlineStr">
        <is>
          <t>跟踪生意社每周伊朗装置汇总快讯。</t>
        </is>
      </c>
    </row>
    <row r="14" ht="30" customHeight="1">
      <c r="A14" s="11" t="inlineStr">
        <is>
          <t>采购方自身成本口径</t>
        </is>
      </c>
      <c r="B14" s="42" t="inlineStr">
        <is>
          <t>缺口</t>
        </is>
      </c>
      <c r="C14" s="13" t="inlineStr">
        <is>
          <t>procurement 里的库存天数（12 天）、月用量（3000 吨）为示例假设值，非企业实际数据。</t>
        </is>
      </c>
      <c r="D14" s="15" t="inlineStr">
        <is>
          <t>“库存可支撑到哪一天”是按假设算的，不能直接用于停产风险评估。</t>
        </is>
      </c>
      <c r="E14" s="15" t="inlineStr">
        <is>
          <t>替换为 ERP 中的实际库存与月用量。</t>
        </is>
      </c>
    </row>
    <row r="16" ht="26" customHeight="1">
      <c r="A16" s="18" t="inlineStr">
        <is>
          <t>B. 来源清单</t>
        </is>
      </c>
    </row>
    <row r="17" ht="32" customHeight="1">
      <c r="A17" s="5" t="inlineStr">
        <is>
          <t>来源名称</t>
        </is>
      </c>
      <c r="B17" s="5" t="inlineStr">
        <is>
          <t>日期</t>
        </is>
      </c>
      <c r="C17" s="5" t="inlineStr">
        <is>
          <t>类型</t>
        </is>
      </c>
      <c r="D17" s="5" t="inlineStr">
        <is>
          <t>链接</t>
        </is>
      </c>
      <c r="E17" s="5" t="inlineStr">
        <is>
          <t>备注</t>
        </is>
      </c>
    </row>
    <row r="18" ht="45" customHeight="1">
      <c r="A18" s="8" t="inlineStr">
        <is>
          <t>华泰期货《甲醇港口基差再度反弹》（2026-10-16，陈莉）</t>
        </is>
      </c>
      <c r="B18" s="20" t="inlineStr">
        <is>
          <t>2026-10-16</t>
        </is>
      </c>
      <c r="C18" s="20" t="inlineStr">
        <is>
          <t>研究报告</t>
        </is>
      </c>
      <c r="D18" s="51" t="inlineStr">
        <is>
          <t>https://finance.sina.com.cn/money/future/roll/2026-10-16/doc-inivmvku1480492.shtml</t>
        </is>
      </c>
      <c r="E18" s="8" t="inlineStr"/>
    </row>
    <row r="19" ht="30" customHeight="1">
      <c r="A19" s="13" t="inlineStr">
        <is>
          <t>创元期货《甲醇 10 月月报：供应回升与进口收缩并存》</t>
        </is>
      </c>
      <c r="B19" s="24" t="inlineStr">
        <is>
          <t>2026-10-12</t>
        </is>
      </c>
      <c r="C19" s="24" t="inlineStr">
        <is>
          <t>研究报告</t>
        </is>
      </c>
      <c r="D19" s="15" t="inlineStr">
        <is>
          <t>未取得原链接</t>
        </is>
      </c>
      <c r="E19" s="13" t="inlineStr"/>
    </row>
    <row r="20" ht="45" customHeight="1">
      <c r="A20" s="8" t="inlineStr">
        <is>
          <t>光大期货《甲醇两日大幅回落 开启下跌走势了吗？》（东方财富转载）</t>
        </is>
      </c>
      <c r="B20" s="20" t="inlineStr">
        <is>
          <t>2026-10-13</t>
        </is>
      </c>
      <c r="C20" s="20" t="inlineStr">
        <is>
          <t>研究报告</t>
        </is>
      </c>
      <c r="D20" s="51" t="inlineStr">
        <is>
          <t>https://futures.eastmoney.com/a/202610133894217262.html</t>
        </is>
      </c>
      <c r="E20" s="8" t="inlineStr"/>
    </row>
    <row r="21" ht="45" customHeight="1">
      <c r="A21" s="13" t="inlineStr">
        <is>
          <t>金联创《利润不足叠加原料供应问题 港口MTO目前全数停车》（东方财富转载）</t>
        </is>
      </c>
      <c r="B21" s="24" t="inlineStr">
        <is>
          <t>2026-10-19</t>
        </is>
      </c>
      <c r="C21" s="24" t="inlineStr">
        <is>
          <t>产业数据</t>
        </is>
      </c>
      <c r="D21" s="52" t="inlineStr">
        <is>
          <t>https://futures.eastmoney.com/a/202610193899894216.html</t>
        </is>
      </c>
      <c r="E21" s="13" t="inlineStr"/>
    </row>
    <row r="22" ht="45" customHeight="1">
      <c r="A22" s="8" t="inlineStr">
        <is>
          <t>隆众资讯《烯烃集中检修 供需矛盾突出 甲醇大幅走跌》（新浪财经转载，2026-10-17）</t>
        </is>
      </c>
      <c r="B22" s="20" t="inlineStr">
        <is>
          <t>2026-10-17</t>
        </is>
      </c>
      <c r="C22" s="20" t="inlineStr">
        <is>
          <t>产业数据</t>
        </is>
      </c>
      <c r="D22" s="51" t="inlineStr">
        <is>
          <t>https://finance.sina.com.cn/money/future/roll/2026-10-17/doc-inivnvku1480492.shtml</t>
        </is>
      </c>
      <c r="E22" s="8" t="inlineStr"/>
    </row>
    <row r="23" ht="30" customHeight="1">
      <c r="A23" s="13" t="inlineStr">
        <is>
          <t>上海中期期货日评（东方财富转载，2026-10-16）</t>
        </is>
      </c>
      <c r="B23" s="24" t="inlineStr">
        <is>
          <t>2026-10-16</t>
        </is>
      </c>
      <c r="C23" s="24" t="inlineStr">
        <is>
          <t>研究报告</t>
        </is>
      </c>
      <c r="D23" s="52" t="inlineStr">
        <is>
          <t>https://futures.eastmoney.com/a/202610163897602458.html</t>
        </is>
      </c>
      <c r="E23" s="13" t="inlineStr"/>
    </row>
    <row r="24" ht="30" customHeight="1">
      <c r="A24" s="8" t="inlineStr">
        <is>
          <t>东方财富期货早餐（2026-10-19，转引隆众现货价格指数）</t>
        </is>
      </c>
      <c r="B24" s="20" t="inlineStr">
        <is>
          <t>2026-10-19</t>
        </is>
      </c>
      <c r="C24" s="20" t="inlineStr">
        <is>
          <t>行情数据</t>
        </is>
      </c>
      <c r="D24" s="51" t="inlineStr">
        <is>
          <t>https://futures.eastmoney.com/a/202610183899144834.html</t>
        </is>
      </c>
      <c r="E24" s="8" t="inlineStr"/>
    </row>
    <row r="25" ht="30" customHeight="1">
      <c r="A25" s="13" t="inlineStr">
        <is>
          <t>生意社《甲醇基准价》详情页与商品情报（价格/装置/厂商报价）</t>
        </is>
      </c>
      <c r="B25" s="24" t="inlineStr">
        <is>
          <t>2026-10-19</t>
        </is>
      </c>
      <c r="C25" s="24" t="inlineStr">
        <is>
          <t>行情数据</t>
        </is>
      </c>
      <c r="D25" s="52" t="inlineStr">
        <is>
          <t>https://www.100ppi.com/rawmex/detail-817.html</t>
        </is>
      </c>
      <c r="E25" s="13" t="inlineStr"/>
    </row>
    <row r="26" ht="45" customHeight="1">
      <c r="A26" s="8" t="inlineStr">
        <is>
          <t>证券日报《动力煤价格重返千元上方》（CCTD 环渤海 5500 报 1025）</t>
        </is>
      </c>
      <c r="B26" s="20" t="inlineStr">
        <is>
          <t>2026-10-19</t>
        </is>
      </c>
      <c r="C26" s="20" t="inlineStr">
        <is>
          <t>现货日报</t>
        </is>
      </c>
      <c r="D26" s="51" t="inlineStr">
        <is>
          <t>https://finance.eastmoney.com/a/202610193899221638.html</t>
        </is>
      </c>
      <c r="E26" s="8" t="inlineStr"/>
    </row>
    <row r="27" ht="45" customHeight="1">
      <c r="A27" s="13" t="inlineStr">
        <is>
          <t>上海证券报《动力煤现货站上千元关口》（2026-10-15，CCTD 1015 元/吨与产地价）</t>
        </is>
      </c>
      <c r="B27" s="24" t="inlineStr">
        <is>
          <t>2026-10-15</t>
        </is>
      </c>
      <c r="C27" s="24" t="inlineStr">
        <is>
          <t>现货日报</t>
        </is>
      </c>
      <c r="D27" s="52" t="inlineStr">
        <is>
          <t>https://finance.eastmoney.com/a/202610153896135534.html</t>
        </is>
      </c>
      <c r="E27" s="13" t="inlineStr"/>
    </row>
    <row r="28" ht="45" customHeight="1">
      <c r="A28" s="8" t="inlineStr">
        <is>
          <t>界面新闻《发改委、能源局在山西召开加快煤矿复产增产保供工作推进会》</t>
        </is>
      </c>
      <c r="B28" s="20" t="inlineStr">
        <is>
          <t>2026-10-16</t>
        </is>
      </c>
      <c r="C28" s="20" t="inlineStr">
        <is>
          <t>政策公告</t>
        </is>
      </c>
      <c r="D28" s="51" t="inlineStr">
        <is>
          <t>https://finance.eastmoney.com/a/202610163898377537.html</t>
        </is>
      </c>
      <c r="E28" s="8" t="inlineStr"/>
    </row>
    <row r="29" ht="30" customHeight="1">
      <c r="A29" s="13" t="inlineStr">
        <is>
          <t>证券时报《超级油轮在霍尔木兹海峡触雷爆炸》</t>
        </is>
      </c>
      <c r="B29" s="24" t="inlineStr">
        <is>
          <t>2026-10-17</t>
        </is>
      </c>
      <c r="C29" s="24" t="inlineStr">
        <is>
          <t>公开报道</t>
        </is>
      </c>
      <c r="D29" s="52" t="inlineStr">
        <is>
          <t>https://finance.eastmoney.com/a/202610173899044468.html</t>
        </is>
      </c>
      <c r="E29" s="13" t="inlineStr"/>
    </row>
    <row r="30" ht="30" customHeight="1">
      <c r="A30" s="8" t="inlineStr">
        <is>
          <t>中新经纬《霍尔木兹海峡船只屡遭袭击，国际油价短线跳水》</t>
        </is>
      </c>
      <c r="B30" s="20" t="inlineStr">
        <is>
          <t>2026-10-19</t>
        </is>
      </c>
      <c r="C30" s="20" t="inlineStr">
        <is>
          <t>公开报道</t>
        </is>
      </c>
      <c r="D30" s="51" t="inlineStr">
        <is>
          <t>https://finance.eastmoney.com/a/202610193899244964.html</t>
        </is>
      </c>
      <c r="E30" s="8" t="inlineStr"/>
    </row>
    <row r="31" ht="30" customHeight="1">
      <c r="A31" s="13" t="inlineStr">
        <is>
          <t>证券时报《甲醇期货主力合约涨停 涨幅9.02%》</t>
        </is>
      </c>
      <c r="B31" s="24" t="inlineStr">
        <is>
          <t>2026-10-08</t>
        </is>
      </c>
      <c r="C31" s="24" t="inlineStr">
        <is>
          <t>公开报道</t>
        </is>
      </c>
      <c r="D31" s="52" t="inlineStr">
        <is>
          <t>https://futures.eastmoney.com/a/202610083889325610.html</t>
        </is>
      </c>
      <c r="E31" s="13" t="inlineStr"/>
    </row>
    <row r="32" ht="45" customHeight="1">
      <c r="A32" s="8" t="inlineStr">
        <is>
          <t>东方财富研究中心《甲醇：国庆假期外盘甲醇高位运行》（转引申万、广州期货、隆众库存）</t>
        </is>
      </c>
      <c r="B32" s="20" t="inlineStr">
        <is>
          <t>2026-10-08</t>
        </is>
      </c>
      <c r="C32" s="20" t="inlineStr">
        <is>
          <t>研究报告</t>
        </is>
      </c>
      <c r="D32" s="51" t="inlineStr">
        <is>
          <t>https://futures.eastmoney.com/a/202610083889073846.html</t>
        </is>
      </c>
      <c r="E32" s="8" t="inlineStr"/>
    </row>
    <row r="33" ht="45" customHeight="1">
      <c r="A33" s="13" t="inlineStr">
        <is>
          <t>财联社/涂多多转引隆众《甲醇现货继续大幅走跌 市场采买积极性弱》</t>
        </is>
      </c>
      <c r="B33" s="24" t="inlineStr">
        <is>
          <t>2026-10-13</t>
        </is>
      </c>
      <c r="C33" s="24" t="inlineStr">
        <is>
          <t>现货日报</t>
        </is>
      </c>
      <c r="D33" s="52" t="inlineStr">
        <is>
          <t>https://futures.eastmoney.com/a/202610133893421022.html</t>
        </is>
      </c>
      <c r="E33" s="13" t="inlineStr"/>
    </row>
    <row r="34" ht="45" customHeight="1">
      <c r="A34" s="8" t="inlineStr">
        <is>
          <t>郑商所 MA 主连日线（新浪财经期货接口 InnerFuturesNewService.getDailyKLine）</t>
        </is>
      </c>
      <c r="B34" s="20" t="inlineStr">
        <is>
          <t>2026-10-19</t>
        </is>
      </c>
      <c r="C34" s="20" t="inlineStr">
        <is>
          <t>行情数据</t>
        </is>
      </c>
      <c r="D34" s="51" t="inlineStr">
        <is>
          <t>https://stock.finance.sina.com.cn/futures/api/jsonp.php/var%20t=/InnerFuturesNewService.getDailyKLine?symbol=MA0</t>
        </is>
      </c>
      <c r="E34" s="8" t="inlineStr"/>
    </row>
  </sheetData>
  <mergeCells count="5">
    <mergeCell ref="A4:E4"/>
    <mergeCell ref="A2:E2"/>
    <mergeCell ref="A16:E16"/>
    <mergeCell ref="A1:E1"/>
    <mergeCell ref="A6:E6"/>
  </mergeCells>
  <hyperlinks>
    <hyperlink xmlns:r="http://schemas.openxmlformats.org/officeDocument/2006/relationships" ref="D18" r:id="rId1"/>
    <hyperlink xmlns:r="http://schemas.openxmlformats.org/officeDocument/2006/relationships" ref="D20" r:id="rId2"/>
    <hyperlink xmlns:r="http://schemas.openxmlformats.org/officeDocument/2006/relationships" ref="D21" r:id="rId3"/>
    <hyperlink xmlns:r="http://schemas.openxmlformats.org/officeDocument/2006/relationships" ref="D22" r:id="rId4"/>
    <hyperlink xmlns:r="http://schemas.openxmlformats.org/officeDocument/2006/relationships" ref="D23" r:id="rId5"/>
    <hyperlink xmlns:r="http://schemas.openxmlformats.org/officeDocument/2006/relationships" ref="D24" r:id="rId6"/>
    <hyperlink xmlns:r="http://schemas.openxmlformats.org/officeDocument/2006/relationships" ref="D25" r:id="rId7"/>
    <hyperlink xmlns:r="http://schemas.openxmlformats.org/officeDocument/2006/relationships" ref="D26" r:id="rId8"/>
    <hyperlink xmlns:r="http://schemas.openxmlformats.org/officeDocument/2006/relationships" ref="D27" r:id="rId9"/>
    <hyperlink xmlns:r="http://schemas.openxmlformats.org/officeDocument/2006/relationships" ref="D28" r:id="rId10"/>
    <hyperlink xmlns:r="http://schemas.openxmlformats.org/officeDocument/2006/relationships" ref="D29" r:id="rId11"/>
    <hyperlink xmlns:r="http://schemas.openxmlformats.org/officeDocument/2006/relationships" ref="D30" r:id="rId12"/>
    <hyperlink xmlns:r="http://schemas.openxmlformats.org/officeDocument/2006/relationships" ref="D31" r:id="rId13"/>
    <hyperlink xmlns:r="http://schemas.openxmlformats.org/officeDocument/2006/relationships" ref="D32" r:id="rId14"/>
    <hyperlink xmlns:r="http://schemas.openxmlformats.org/officeDocument/2006/relationships" ref="D33" r:id="rId15"/>
    <hyperlink xmlns:r="http://schemas.openxmlformats.org/officeDocument/2006/relationships" ref="D34" r:id="rId16"/>
  </hyperlink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tabColor rgb="006B7A90"/>
    <outlinePr summaryBelow="1" summaryRight="1"/>
    <pageSetUpPr fitToPage="1"/>
  </sheetPr>
  <dimension ref="A1:B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36" customHeight="1">
      <c r="A1" s="1" t="inlineStr">
        <is>
          <t>99 · 方法与字段口径</t>
        </is>
      </c>
    </row>
    <row r="2" ht="32" customHeight="1">
      <c r="A2" s="2" t="inlineStr">
        <is>
          <t>这份工作簿是怎么算出来的、每个字段什么意思、哪些数不能互相运算。</t>
        </is>
      </c>
    </row>
    <row r="4" ht="32" customHeight="1">
      <c r="A4" s="5" t="inlineStr">
        <is>
          <t>项目</t>
        </is>
      </c>
      <c r="B4" s="5" t="inlineStr">
        <is>
          <t>说明</t>
        </is>
      </c>
    </row>
    <row r="5" ht="16" customHeight="1">
      <c r="A5" s="6" t="inlineStr">
        <is>
          <t>数据主线</t>
        </is>
      </c>
      <c r="B5" s="8" t="inlineStr">
        <is>
          <t>现货报价序列（采购点维度）。期货仅在 00 表作为对照，不参与首屏结论。</t>
        </is>
      </c>
    </row>
    <row r="6" ht="30" customHeight="1">
      <c r="A6" s="53" t="inlineStr">
        <is>
          <t>【六项口径】</t>
        </is>
      </c>
      <c r="B6" s="13" t="inlineStr">
        <is>
          <t>每一条现货报价必须同时具备：采购点 point、规格 spec、含税 tax、提货方式 basis、日期 date、来源 src。缺一项即视为“不可比”。</t>
        </is>
      </c>
    </row>
    <row r="7" ht="30" customHeight="1">
      <c r="A7" s="6" t="inlineStr">
        <is>
          <t>区间涨跌</t>
        </is>
      </c>
      <c r="B7" s="8" t="inlineStr">
        <is>
          <t>基准日 = 窗口起点之前在序列中的最后一个真实报价日；不插值、不取月初月初对齐。实际天数与期间报价点一并列出。</t>
        </is>
      </c>
    </row>
    <row r="8" ht="30" customHeight="1">
      <c r="A8" s="11" t="inlineStr">
        <is>
          <t>历史分位</t>
        </is>
      </c>
      <c r="B8" s="13" t="inlineStr">
        <is>
          <t>窗口内报价中值 ≤ 当前价的个数 / 样本数。样本 &lt; 3 不计算。它衡量“在这几次报价里算高还是低”，不是连续概率。</t>
        </is>
      </c>
    </row>
    <row r="9" ht="16" customHeight="1">
      <c r="A9" s="6" t="inlineStr">
        <is>
          <t>区间位置</t>
        </is>
      </c>
      <c r="B9" s="8" t="inlineStr">
        <is>
          <t>(当前价 − 区间低点) / (高点 − 低点)。与分位不同，它反映离上下沿的距离。</t>
        </is>
      </c>
    </row>
    <row r="10" ht="16" customHeight="1">
      <c r="A10" s="11" t="inlineStr">
        <is>
          <t>区域价差</t>
        </is>
      </c>
      <c r="B10" s="13" t="inlineStr">
        <is>
          <t>只在同一天比较两个采购点。价差里含运费、仓储、升贴水与提货方式差异，不能直接叫“地区溢价”。</t>
        </is>
      </c>
    </row>
    <row r="11" ht="30" customHeight="1">
      <c r="A11" s="6" t="inlineStr">
        <is>
          <t>原料成本</t>
        </is>
      </c>
      <c r="B11" s="8" t="inlineStr">
        <is>
          <t>单耗 × 单价（单位统一到吨/千标方/千度）。单耗必须来自公开工艺参数或企业披露，并在“说明”列注明来源性质。</t>
        </is>
      </c>
    </row>
    <row r="12" ht="16" customHeight="1">
      <c r="A12" s="11" t="inlineStr">
        <is>
          <t>完全/现金/原料成本</t>
        </is>
      </c>
      <c r="B12" s="13" t="inlineStr">
        <is>
          <t>三种口径不能混用，也不能相加。表内“类型”列已标注。</t>
        </is>
      </c>
    </row>
    <row r="13" ht="30" customHeight="1">
      <c r="A13" s="6" t="inlineStr">
        <is>
          <t>库存口径</t>
        </is>
      </c>
      <c r="B13" s="8" t="inlineStr">
        <is>
          <t>不同资讯商的库存样本不同（如“港口总库存”与“社会库存”），表内分列并注明样本范围，禁止相加。</t>
        </is>
      </c>
    </row>
    <row r="14" ht="30" customHeight="1">
      <c r="A14" s="11" t="inlineStr">
        <is>
          <t>事件证据级别</t>
        </is>
      </c>
      <c r="B14" s="13" t="inlineStr">
        <is>
          <t>公开报道（可回溯到媒体原文）&gt; 机构观点（资讯商/期货公司研判）&gt; 传闻（只进“未采纳消息”）&gt; 待确认。</t>
        </is>
      </c>
    </row>
    <row r="15" ht="16" customHeight="1">
      <c r="A15" s="6" t="inlineStr">
        <is>
          <t>先后与因果</t>
        </is>
      </c>
      <c r="B15" s="8" t="inlineStr">
        <is>
          <t>事件日期先于价格变化，只说明“同期发生”，不构成因果。表内同时给出事件日与首个报价响应日。</t>
        </is>
      </c>
    </row>
    <row r="16" ht="16" customHeight="1">
      <c r="A16" s="53" t="inlineStr">
        <is>
          <t>禁止事项</t>
        </is>
      </c>
      <c r="B16" s="13" t="inlineStr">
        <is>
          <t>不预测价格、不给买卖时点建议、不编造数字、不把缺失值当 0、不把不同口径的数放进同一个减法。</t>
        </is>
      </c>
    </row>
  </sheetData>
  <mergeCells count="2">
    <mergeCell ref="A2:B2"/>
    <mergeCell ref="A1:B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2026-10-19T11:42:33Z</dcterms:created>
  <dcterms:modified xmlns:dcterms="http://purl.org/dc/terms/" xmlns:xsi="http://www.w3.org/2001/XMLSchema-instance" xsi:type="dcterms:W3CDTF">2026-10-19T11:42:33Z</dcterms:modified>
</cp:coreProperties>
</file>
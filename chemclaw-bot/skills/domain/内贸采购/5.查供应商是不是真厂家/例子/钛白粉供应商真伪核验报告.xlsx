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核验总表" sheetId="2" state="visible" r:id="rId2"/>
    <sheet xmlns:r="http://schemas.openxmlformats.org/officeDocument/2006/relationships" name="02_直接生产证据" sheetId="3" state="visible" r:id="rId3"/>
    <sheet xmlns:r="http://schemas.openxmlformats.org/officeDocument/2006/relationships" name="03_间接业务证据" sheetId="4" state="visible" r:id="rId4"/>
    <sheet xmlns:r="http://schemas.openxmlformats.org/officeDocument/2006/relationships" name="04_不构成证据" sheetId="5" state="visible" r:id="rId5"/>
    <sheet xmlns:r="http://schemas.openxmlformats.org/officeDocument/2006/relationships" name="05_评分模型" sheetId="6" state="visible" r:id="rId6"/>
    <sheet xmlns:r="http://schemas.openxmlformats.org/officeDocument/2006/relationships" name="06_待索取材料" sheetId="7" state="visible" r:id="rId7"/>
    <sheet xmlns:r="http://schemas.openxmlformats.org/officeDocument/2006/relationships" name="07_现场验厂" sheetId="8" state="visible" r:id="rId8"/>
    <sheet xmlns:r="http://schemas.openxmlformats.org/officeDocument/2006/relationships" name="08_案例对照" sheetId="9" state="visible" r:id="rId9"/>
    <sheet xmlns:r="http://schemas.openxmlformats.org/officeDocument/2006/relationships" name="09_数据来源" sheetId="10" state="visible" r:id="rId10"/>
  </sheets>
  <definedNames>
    <definedName name="_xlnm._FilterDatabase" localSheetId="1" hidden="1">'01_核验总表'!$A$4:$O$7</definedName>
    <definedName name="_xlnm.Print_Titles" localSheetId="1">'01_核验总表'!$4:$4</definedName>
    <definedName name="_xlnm._FilterDatabase" localSheetId="2" hidden="1">'02_直接生产证据'!$A$4:$K$8</definedName>
    <definedName name="_xlnm.Print_Titles" localSheetId="2">'02_直接生产证据'!$4:$4</definedName>
    <definedName name="_xlnm._FilterDatabase" localSheetId="3" hidden="1">'03_间接业务证据'!$A$4:$K$11</definedName>
    <definedName name="_xlnm.Print_Titles" localSheetId="3">'03_间接业务证据'!$4:$4</definedName>
    <definedName name="_xlnm._FilterDatabase" localSheetId="4" hidden="1">'04_不构成证据'!$A$4:$F$15</definedName>
    <definedName name="_xlnm.Print_Titles" localSheetId="4">'04_不构成证据'!$4:$4</definedName>
    <definedName name="_xlnm.Print_Titles" localSheetId="5">'05_评分模型'!$4:$4</definedName>
    <definedName name="_xlnm._FilterDatabase" localSheetId="6" hidden="1">'06_待索取材料'!$A$4:$H$14</definedName>
    <definedName name="_xlnm.Print_Titles" localSheetId="6">'06_待索取材料'!$4:$4</definedName>
    <definedName name="_xlnm.Print_Titles" localSheetId="7">'07_现场验厂'!$4:$4</definedName>
    <definedName name="_xlnm.Print_Titles" localSheetId="8">'08_案例对照'!$4:$4</definedName>
    <definedName name="_xlnm._FilterDatabase" localSheetId="9" hidden="1">'09_数据来源'!$A$4:$F$10</definedName>
    <definedName name="_xlnm.Print_Titles" localSheetId="9">'09_数据来源'!$4:$4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6">
    <font>
      <name val="Calibri"/>
      <family val="2"/>
      <color theme="1"/>
      <sz val="11"/>
      <scheme val="minor"/>
    </font>
    <font>
      <name val="微软雅黑"/>
      <b val="1"/>
      <color rgb="00FFFFFF"/>
      <sz val="22"/>
    </font>
    <font>
      <name val="微软雅黑"/>
      <color rgb="00334155"/>
      <sz val="11"/>
    </font>
    <font>
      <name val="Consolas"/>
      <color rgb="0094A3B8"/>
      <sz val="9"/>
    </font>
    <font>
      <name val="微软雅黑"/>
      <b val="1"/>
      <color rgb="000B1F33"/>
      <sz val="12"/>
    </font>
    <font>
      <name val="微软雅黑"/>
      <color rgb="00334155"/>
      <sz val="9.6"/>
    </font>
    <font>
      <name val="Consolas"/>
      <b val="1"/>
      <color rgb="00B8892B"/>
      <sz val="10"/>
    </font>
    <font>
      <name val="微软雅黑"/>
      <b val="1"/>
      <color rgb="000F7B5F"/>
      <sz val="10"/>
    </font>
    <font>
      <name val="微软雅黑"/>
      <color rgb="00334155"/>
      <sz val="9.4"/>
    </font>
    <font>
      <name val="微软雅黑"/>
      <color rgb="00475569"/>
      <sz val="9.199999999999999"/>
    </font>
    <font>
      <name val="微软雅黑"/>
      <b val="1"/>
      <color rgb="0016324F"/>
      <sz val="10"/>
    </font>
    <font>
      <name val="微软雅黑"/>
      <b val="1"/>
      <color rgb="0094A3B8"/>
      <sz val="10"/>
    </font>
    <font>
      <name val="微软雅黑"/>
      <b val="1"/>
      <color rgb="00FFFFFF"/>
      <sz val="9"/>
    </font>
    <font>
      <name val="Consolas"/>
      <b val="1"/>
      <color rgb="00B8892B"/>
      <sz val="9"/>
    </font>
    <font>
      <name val="微软雅黑"/>
      <b val="1"/>
      <color rgb="0016283C"/>
      <sz val="9.199999999999999"/>
    </font>
    <font>
      <name val="微软雅黑"/>
      <color rgb="00475569"/>
      <sz val="9"/>
    </font>
    <font>
      <name val="微软雅黑"/>
      <color rgb="00334155"/>
      <sz val="9"/>
    </font>
    <font>
      <name val="微软雅黑"/>
      <b val="1"/>
      <color rgb="000F7B5F"/>
      <sz val="9.4"/>
    </font>
    <font>
      <name val="微软雅黑"/>
      <color rgb="00475569"/>
      <sz val="8.800000000000001"/>
    </font>
    <font>
      <name val="微软雅黑"/>
      <b val="1"/>
      <color rgb="00B7791F"/>
      <sz val="9.4"/>
    </font>
    <font>
      <name val="微软雅黑"/>
      <b val="1"/>
      <color rgb="00B23A2E"/>
      <sz val="9.4"/>
    </font>
    <font>
      <name val="微软雅黑"/>
      <b val="1"/>
      <color rgb="00475569"/>
      <sz val="9.4"/>
    </font>
    <font>
      <name val="微软雅黑"/>
      <color rgb="0094A3B8"/>
      <sz val="8.800000000000001"/>
    </font>
    <font>
      <name val="微软雅黑"/>
      <b val="1"/>
      <color rgb="00FFFFFF"/>
      <sz val="18"/>
    </font>
    <font>
      <name val="微软雅黑"/>
      <color rgb="00475569"/>
      <sz val="10.5"/>
    </font>
    <font>
      <name val="微软雅黑"/>
      <b val="1"/>
      <color rgb="00FFFFFF"/>
      <sz val="9.5"/>
    </font>
    <font>
      <name val="微软雅黑"/>
      <color rgb="0016283C"/>
      <sz val="9.199999999999999"/>
    </font>
    <font>
      <name val="微软雅黑"/>
      <b val="1"/>
      <color rgb="000F7B5F"/>
      <sz val="9.199999999999999"/>
    </font>
    <font>
      <name val="微软雅黑"/>
      <b val="1"/>
      <color rgb="0016283C"/>
      <sz val="9.4"/>
    </font>
    <font>
      <name val="Consolas"/>
      <b val="1"/>
      <color rgb="000B1F33"/>
      <sz val="11"/>
    </font>
    <font>
      <name val="微软雅黑"/>
      <b val="1"/>
      <color rgb="00B23A2E"/>
      <sz val="9.199999999999999"/>
    </font>
    <font>
      <name val="微软雅黑"/>
      <b val="1"/>
      <color rgb="00475569"/>
      <sz val="9.199999999999999"/>
    </font>
    <font>
      <name val="微软雅黑"/>
      <b val="1"/>
      <color rgb="000F7B5F"/>
      <sz val="8.6"/>
    </font>
    <font>
      <name val="Consolas"/>
      <b val="1"/>
      <color rgb="000B1F33"/>
      <sz val="9"/>
    </font>
    <font>
      <name val="Consolas"/>
      <color rgb="000F5C8C"/>
      <sz val="8"/>
      <u val="single"/>
    </font>
    <font>
      <name val="微软雅黑"/>
      <color rgb="00475569"/>
      <sz val="8.6"/>
    </font>
    <font>
      <name val="微软雅黑"/>
      <b val="1"/>
      <color rgb="00B7791F"/>
      <sz val="8.6"/>
    </font>
    <font>
      <name val="微软雅黑"/>
      <b val="1"/>
      <color rgb="0064748B"/>
      <sz val="8.6"/>
    </font>
    <font>
      <name val="Consolas"/>
      <b val="1"/>
      <color rgb="0094A3B8"/>
      <sz val="9"/>
    </font>
    <font>
      <name val="Consolas"/>
      <color rgb="0016283C"/>
      <sz val="10.5"/>
    </font>
    <font>
      <name val="Consolas"/>
      <color rgb="0064748B"/>
      <sz val="9.5"/>
    </font>
    <font>
      <name val="微软雅黑"/>
      <b val="1"/>
      <color rgb="000B1F33"/>
      <sz val="10"/>
    </font>
    <font>
      <name val="Consolas"/>
      <b val="1"/>
      <color rgb="000B1F33"/>
      <sz val="12"/>
    </font>
    <font>
      <name val="微软雅黑"/>
      <b val="1"/>
      <color rgb="000F7B5F"/>
      <sz val="8.800000000000001"/>
    </font>
    <font>
      <name val="微软雅黑"/>
      <b val="1"/>
      <color rgb="00B23A2E"/>
      <sz val="8.800000000000001"/>
    </font>
    <font>
      <name val="微软雅黑"/>
      <b val="1"/>
      <color rgb="00475569"/>
      <sz val="8.800000000000001"/>
    </font>
    <font>
      <name val="微软雅黑"/>
      <b val="1"/>
      <color rgb="000B1F33"/>
      <sz val="9"/>
    </font>
    <font>
      <name val="微软雅黑"/>
      <b val="1"/>
      <color rgb="00B8892B"/>
      <sz val="9.5"/>
    </font>
    <font>
      <name val="Consolas"/>
      <b val="1"/>
      <color rgb="00B23A2E"/>
      <sz val="9.5"/>
    </font>
    <font>
      <name val="Consolas"/>
      <b val="1"/>
      <color rgb="00B7791F"/>
      <sz val="9.5"/>
    </font>
    <font>
      <name val="Consolas"/>
      <b val="1"/>
      <color rgb="0064748B"/>
      <sz val="9.5"/>
    </font>
    <font>
      <name val="微软雅黑"/>
      <color rgb="00B23A2E"/>
      <sz val="8.800000000000001"/>
    </font>
    <font>
      <name val="微软雅黑"/>
      <b val="1"/>
      <color rgb="000F7B5F"/>
      <sz val="9"/>
    </font>
    <font>
      <name val="微软雅黑"/>
      <b val="1"/>
      <color rgb="00B23A2E"/>
      <sz val="9"/>
    </font>
    <font>
      <name val="微软雅黑"/>
      <b val="1"/>
      <color rgb="00475569"/>
      <sz val="9"/>
    </font>
    <font>
      <name val="Consolas"/>
      <color rgb="000F5C8C"/>
      <sz val="7.8"/>
      <u val="single"/>
    </font>
  </fonts>
  <fills count="12">
    <fill>
      <patternFill/>
    </fill>
    <fill>
      <patternFill patternType="gray125"/>
    </fill>
    <fill>
      <patternFill patternType="solid">
        <fgColor rgb="000B1F33"/>
        <bgColor rgb="000B1F33"/>
      </patternFill>
    </fill>
    <fill>
      <patternFill patternType="solid">
        <fgColor rgb="00FBF4E4"/>
        <bgColor rgb="00FBF4E4"/>
      </patternFill>
    </fill>
    <fill>
      <patternFill patternType="solid">
        <fgColor rgb="00FBFCFD"/>
        <bgColor rgb="00FBFCFD"/>
      </patternFill>
    </fill>
    <fill>
      <patternFill patternType="solid">
        <fgColor rgb="0016324F"/>
        <bgColor rgb="0016324F"/>
      </patternFill>
    </fill>
    <fill>
      <patternFill patternType="solid">
        <fgColor rgb="00EAF6F1"/>
        <bgColor rgb="00EAF6F1"/>
      </patternFill>
    </fill>
    <fill>
      <patternFill patternType="solid">
        <fgColor rgb="00FDF4E3"/>
        <bgColor rgb="00FDF4E3"/>
      </patternFill>
    </fill>
    <fill>
      <patternFill patternType="solid">
        <fgColor rgb="00FBEDEA"/>
        <bgColor rgb="00FBEDEA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  <fill>
      <patternFill patternType="solid">
        <fgColor rgb="00F7F9FB"/>
        <bgColor rgb="00F7F9FB"/>
      </patternFill>
    </fill>
  </fills>
  <borders count="6">
    <border>
      <left/>
      <right/>
      <top/>
      <bottom/>
      <diagonal/>
    </border>
    <border>
      <left style="thin">
        <color rgb="00E1E7ED"/>
      </left>
      <right style="thin">
        <color rgb="00E1E7ED"/>
      </right>
      <top style="thin">
        <color rgb="00E1E7ED"/>
      </top>
      <bottom style="thin">
        <color rgb="00E1E7ED"/>
      </bottom>
    </border>
    <border>
      <left/>
      <right/>
      <top style="thin">
        <color rgb="00E1E7ED"/>
      </top>
      <bottom/>
      <diagonal/>
    </border>
    <border>
      <left/>
      <right style="thin">
        <color rgb="00E1E7ED"/>
      </right>
      <top style="thin">
        <color rgb="00E1E7ED"/>
      </top>
      <bottom/>
      <diagonal/>
    </border>
    <border>
      <left/>
      <right/>
      <top style="thin">
        <color rgb="00E1E7ED"/>
      </top>
      <bottom style="thin">
        <color rgb="00E1E7ED"/>
      </bottom>
      <diagonal/>
    </border>
    <border>
      <left/>
      <right style="thin">
        <color rgb="00E1E7ED"/>
      </right>
      <top style="thin">
        <color rgb="00E1E7ED"/>
      </top>
      <bottom style="thin">
        <color rgb="00E1E7ED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 indent="1"/>
    </xf>
    <xf numFmtId="0" fontId="6" fillId="0" borderId="0" applyAlignment="1" pivotButton="0" quotePrefix="0" xfId="0">
      <alignment horizontal="left" vertical="top" indent="1"/>
    </xf>
    <xf numFmtId="0" fontId="0" fillId="4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 indent="1"/>
    </xf>
    <xf numFmtId="0" fontId="23" fillId="2" borderId="0" applyAlignment="1" pivotButton="0" quotePrefix="0" xfId="0">
      <alignment horizontal="left" vertical="center" indent="1"/>
    </xf>
    <xf numFmtId="0" fontId="24" fillId="10" borderId="0" applyAlignment="1" pivotButton="0" quotePrefix="0" xfId="0">
      <alignment horizontal="left" vertical="center" indent="1"/>
    </xf>
    <xf numFmtId="0" fontId="3" fillId="10" borderId="0" applyAlignment="1" pivotButton="0" quotePrefix="0" xfId="0">
      <alignment horizontal="left" vertical="center" indent="1"/>
    </xf>
    <xf numFmtId="0" fontId="25" fillId="5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top" wrapText="1"/>
    </xf>
    <xf numFmtId="0" fontId="26" fillId="0" borderId="1" applyAlignment="1" pivotButton="0" quotePrefix="0" xfId="0">
      <alignment horizontal="left" vertical="top" wrapText="1"/>
    </xf>
    <xf numFmtId="0" fontId="27" fillId="6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28" fillId="11" borderId="1" applyAlignment="1" pivotButton="0" quotePrefix="0" xfId="0">
      <alignment horizontal="left" vertical="top" wrapText="1"/>
    </xf>
    <xf numFmtId="0" fontId="26" fillId="11" borderId="1" applyAlignment="1" pivotButton="0" quotePrefix="0" xfId="0">
      <alignment horizontal="left" vertical="top" wrapText="1"/>
    </xf>
    <xf numFmtId="0" fontId="30" fillId="8" borderId="1" applyAlignment="1" pivotButton="0" quotePrefix="0" xfId="0">
      <alignment horizontal="center" vertical="center" wrapText="1"/>
    </xf>
    <xf numFmtId="0" fontId="29" fillId="11" borderId="1" applyAlignment="1" pivotButton="0" quotePrefix="0" xfId="0">
      <alignment horizontal="center" vertical="center" wrapText="1"/>
    </xf>
    <xf numFmtId="0" fontId="31" fillId="9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left" vertical="top" wrapText="1"/>
    </xf>
    <xf numFmtId="0" fontId="32" fillId="6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top" wrapText="1"/>
    </xf>
    <xf numFmtId="0" fontId="35" fillId="0" borderId="1" applyAlignment="1" pivotButton="0" quotePrefix="0" xfId="0">
      <alignment horizontal="center" vertical="center" wrapText="1"/>
    </xf>
    <xf numFmtId="0" fontId="33" fillId="11" borderId="1" applyAlignment="1" pivotButton="0" quotePrefix="0" xfId="0">
      <alignment horizontal="center" vertical="center" wrapText="1"/>
    </xf>
    <xf numFmtId="0" fontId="34" fillId="11" borderId="1" applyAlignment="1" pivotButton="0" quotePrefix="0" xfId="0">
      <alignment horizontal="left" vertical="top" wrapText="1"/>
    </xf>
    <xf numFmtId="0" fontId="18" fillId="11" borderId="1" applyAlignment="1" pivotButton="0" quotePrefix="0" xfId="0">
      <alignment horizontal="left" vertical="top" wrapText="1"/>
    </xf>
    <xf numFmtId="0" fontId="35" fillId="11" borderId="1" applyAlignment="1" pivotButton="0" quotePrefix="0" xfId="0">
      <alignment horizontal="center" vertical="center" wrapText="1"/>
    </xf>
    <xf numFmtId="0" fontId="36" fillId="7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top" wrapText="1"/>
    </xf>
    <xf numFmtId="0" fontId="38" fillId="11" borderId="1" applyAlignment="1" pivotButton="0" quotePrefix="0" xfId="0">
      <alignment horizontal="center" vertical="center" wrapText="1"/>
    </xf>
    <xf numFmtId="0" fontId="31" fillId="11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40" fillId="0" borderId="1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top" wrapText="1"/>
    </xf>
    <xf numFmtId="0" fontId="40" fillId="11" borderId="1" applyAlignment="1" pivotButton="0" quotePrefix="0" xfId="0">
      <alignment horizontal="center" vertical="center" wrapText="1"/>
    </xf>
    <xf numFmtId="0" fontId="39" fillId="11" borderId="1" applyAlignment="1" pivotButton="0" quotePrefix="0" xfId="0">
      <alignment horizontal="center" vertical="center" wrapText="1"/>
    </xf>
    <xf numFmtId="0" fontId="41" fillId="3" borderId="1" applyAlignment="1" pivotButton="0" quotePrefix="0" xfId="0">
      <alignment horizontal="left" vertical="center" wrapText="1" indent="1"/>
    </xf>
    <xf numFmtId="0" fontId="41" fillId="3" borderId="1" applyAlignment="1" pivotButton="0" quotePrefix="0" xfId="0">
      <alignment horizontal="center" vertical="center" wrapText="1"/>
    </xf>
    <xf numFmtId="0" fontId="42" fillId="3" borderId="1" applyAlignment="1" pivotButton="0" quotePrefix="0" xfId="0">
      <alignment horizontal="center" vertical="center" wrapText="1"/>
    </xf>
    <xf numFmtId="0" fontId="46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center" vertical="center" wrapText="1"/>
    </xf>
    <xf numFmtId="0" fontId="43" fillId="6" borderId="1" applyAlignment="1" pivotButton="0" quotePrefix="0" xfId="0">
      <alignment horizontal="center" vertical="center" wrapText="1"/>
    </xf>
    <xf numFmtId="0" fontId="44" fillId="8" borderId="1" applyAlignment="1" pivotButton="0" quotePrefix="0" xfId="0">
      <alignment horizontal="center" vertical="center" wrapText="1"/>
    </xf>
    <xf numFmtId="0" fontId="45" fillId="9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left" vertical="top" indent="1"/>
    </xf>
    <xf numFmtId="0" fontId="15" fillId="0" borderId="0" applyAlignment="1" pivotButton="0" quotePrefix="0" xfId="0">
      <alignment horizontal="left" vertical="top" wrapText="1"/>
    </xf>
    <xf numFmtId="0" fontId="48" fillId="8" borderId="1" applyAlignment="1" pivotButton="0" quotePrefix="0" xfId="0">
      <alignment horizontal="center" vertical="center" wrapText="1"/>
    </xf>
    <xf numFmtId="0" fontId="49" fillId="7" borderId="1" applyAlignment="1" pivotButton="0" quotePrefix="0" xfId="0">
      <alignment horizontal="center" vertical="center" wrapText="1"/>
    </xf>
    <xf numFmtId="0" fontId="50" fillId="9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top" wrapText="1"/>
    </xf>
    <xf numFmtId="0" fontId="51" fillId="11" borderId="1" applyAlignment="1" pivotButton="0" quotePrefix="0" xfId="0">
      <alignment horizontal="left" vertical="top" wrapText="1"/>
    </xf>
    <xf numFmtId="0" fontId="52" fillId="6" borderId="1" applyAlignment="1" pivotButton="0" quotePrefix="0" xfId="0">
      <alignment horizontal="center" vertical="center" wrapText="1"/>
    </xf>
    <xf numFmtId="0" fontId="42" fillId="0" borderId="1" applyAlignment="1" pivotButton="0" quotePrefix="0" xfId="0">
      <alignment horizontal="center" vertical="center" wrapText="1"/>
    </xf>
    <xf numFmtId="0" fontId="53" fillId="8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54" fillId="9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top" wrapText="1"/>
    </xf>
    <xf numFmtId="0" fontId="55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b val="1"/>
        <color rgb="000F7B5F"/>
      </font>
      <fill>
        <patternFill patternType="solid">
          <fgColor rgb="00EAF6F1"/>
          <bgColor rgb="00EAF6F1"/>
        </patternFill>
      </fill>
    </dxf>
    <dxf>
      <font>
        <b val="1"/>
        <color rgb="00B7791F"/>
      </font>
      <fill>
        <patternFill patternType="solid">
          <fgColor rgb="00FDF4E3"/>
          <bgColor rgb="00FDF4E3"/>
        </patternFill>
      </fill>
    </dxf>
    <dxf>
      <font>
        <b val="1"/>
        <color rgb="00B23A2E"/>
      </font>
      <fill>
        <patternFill patternType="solid">
          <fgColor rgb="00FBEDEA"/>
          <bgColor rgb="00FBEDEA"/>
        </patternFill>
      </fill>
    </dxf>
    <dxf>
      <font>
        <b val="1"/>
        <color rgb="00475569"/>
      </font>
      <fill>
        <patternFill patternType="solid">
          <fgColor rgb="00F2F5F8"/>
          <bgColor rgb="00F2F5F8"/>
        </patternFill>
      </fill>
    </dxf>
    <dxf>
      <font>
        <color rgb="00B45309"/>
      </font>
      <fill>
        <patternFill patternType="solid">
          <fgColor rgb="00FFF7E6"/>
          <bgColor rgb="00FFF7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stcn.com/article/detail/1690591.html" TargetMode="External" Id="rId1"/><Relationship Type="http://schemas.openxmlformats.org/officeDocument/2006/relationships/hyperlink" Target="http://static.cninfo.com.cn/finalpage/2026-08-27/1225513320.PDF" TargetMode="External" Id="rId2"/><Relationship Type="http://schemas.openxmlformats.org/officeDocument/2006/relationships/hyperlink" Target="https://www.lomonbillions.com/" TargetMode="External" Id="rId3"/><Relationship Type="http://schemas.openxmlformats.org/officeDocument/2006/relationships/hyperlink" Target="https://www.lomonbillions.com/mnews/10911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tcn.com/article/detail/1690591.html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url" TargetMode="External" Id="rId1"/><Relationship Type="http://schemas.openxmlformats.org/officeDocument/2006/relationships/hyperlink" Target="url" TargetMode="External" Id="rId2"/><Relationship Type="http://schemas.openxmlformats.org/officeDocument/2006/relationships/hyperlink" Target="url" TargetMode="External" Id="rId3"/><Relationship Type="http://schemas.openxmlformats.org/officeDocument/2006/relationships/hyperlink" Target="url" TargetMode="External" Id="rId4"/><Relationship Type="http://schemas.openxmlformats.org/officeDocument/2006/relationships/hyperlink" Target="url" TargetMode="External" Id="rId5"/><Relationship Type="http://schemas.openxmlformats.org/officeDocument/2006/relationships/hyperlink" Target="url" TargetMode="External" Id="rId6"/></Relationships>
</file>

<file path=xl/worksheets/sheet1.xml><?xml version="1.0" encoding="utf-8"?>
<worksheet xmlns="http://schemas.openxmlformats.org/spreadsheetml/2006/main">
  <sheetPr>
    <tabColor rgb="000B1F33"/>
    <outlinePr summaryBelow="1" summaryRight="1"/>
    <pageSetUpPr fitToPage="1"/>
  </sheetPr>
  <dimension ref="A1:H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30" customWidth="1" min="4" max="4"/>
    <col width="30" customWidth="1" min="5" max="5"/>
    <col width="22" customWidth="1" min="6" max="6"/>
    <col width="18" customWidth="1" min="7" max="7"/>
    <col width="14" customWidth="1" min="8" max="8"/>
  </cols>
  <sheetData>
    <row r="1" ht="56" customHeight="1">
      <c r="A1" s="1" t="inlineStr">
        <is>
          <t>供应商真伪核验工作簿 · 钛白粉（二氧化钛 TiO₂）</t>
        </is>
      </c>
    </row>
    <row r="2" ht="28" customHeight="1">
      <c r="A2" s="2" t="inlineStr">
        <is>
          <t>查供应商是不是真厂家：直接生产证据 / 间接业务证据 / 不构成证据 三分法 + 四类结论 + 10 项索取清单</t>
        </is>
      </c>
    </row>
    <row r="3" ht="22" customHeight="1">
      <c r="A3" s="3" t="inlineStr">
        <is>
          <t>报告编号 SV-2026-CN-TIO2-001    产品 钛白粉（二氧化钛 TiO₂）    规格 金红石型 R-996 等牌号；GB/T 1706；涂料级 / 塑料级 / 造纸级    数据截止 2026-10-19    版本 v1.0</t>
        </is>
      </c>
    </row>
    <row r="5"/>
    <row r="6" ht="28" customHeight="1">
      <c r="A6" s="4" t="inlineStr">
        <is>
          <t>一、这份表解决什么问题</t>
        </is>
      </c>
    </row>
    <row r="7" ht="30" customHeight="1">
      <c r="B7" s="5" t="inlineStr">
        <is>
          <t>内贸采购最怕把贸易商当厂家：报价、账期都谈成了，最后发现对方只是调货，质量、交期、发票主体全都对不上。本工作簿不靠“经营范围”和“厂家直销”下结论，而是把材料分成三组：能直接指向装置的硬证据、只能说明在做生意的旁证、以及最容易被误采信的材料。</t>
        </is>
      </c>
    </row>
    <row r="8" ht="20" customHeight="1">
      <c r="B8" s="5" t="inlineStr">
        <is>
          <t>3 个案例演示同一套方法的不同落点：龙佰集团（生产厂家）、贸易样例（贸易经销）、证据不足样例（证据不足暂无法确认）。</t>
        </is>
      </c>
    </row>
    <row r="9"/>
    <row r="10" ht="28" customHeight="1">
      <c r="A10" s="4" t="inlineStr">
        <is>
          <t>二、五步使用法</t>
        </is>
      </c>
    </row>
    <row r="11" ht="20" customHeight="1">
      <c r="A11" s="6" t="inlineStr">
        <is>
          <t>STEP 1</t>
        </is>
      </c>
      <c r="B11" s="5" t="inlineStr">
        <is>
          <t>录入企业与产品：企业全名、统一社会信用代码、目标产品与规格（金红石型 R-996 等牌号；GB/T 1706；涂料级 / 塑料级 / 造纸级）。</t>
        </is>
      </c>
    </row>
    <row r="12" ht="30" customHeight="1">
      <c r="A12" s="6" t="inlineStr">
        <is>
          <t>STEP 2</t>
        </is>
      </c>
      <c r="B12" s="5" t="inlineStr">
        <is>
          <t>跑直接证据：排污许可证（行业类别：颜料制造 C2643）；钛白粉项目环评批复 + 竣工环保验收（产品方案、产能、硫酸法/氯化法）；项目备案 / 产能置换 / 等量替代（硫酸法属限制类，新增产能受产业政策约束）；上市公司产量、非计划停产公告。</t>
        </is>
      </c>
    </row>
    <row r="13" ht="20" customHeight="1">
      <c r="A13" s="6" t="inlineStr">
        <is>
          <t>STEP 3</t>
        </is>
      </c>
      <c r="B13" s="5" t="inlineStr">
        <is>
          <t>补间接证据：官网产品页、自营商城、交易所交割厂库、协会名录、原料采购、生产岗位招聘、专利、行业报道。</t>
        </is>
      </c>
    </row>
    <row r="14" ht="20" customHeight="1">
      <c r="A14" s="6" t="inlineStr">
        <is>
          <t>STEP 4</t>
        </is>
      </c>
      <c r="B14" s="5" t="inlineStr">
        <is>
          <t>剔除伪证据：把营业执照经营范围、“厂家直销”、注册资本、可大量供货、单张照片单独归入“不构成证据”，不计分。</t>
        </is>
      </c>
    </row>
    <row r="15" ht="20" customHeight="1">
      <c r="A15" s="6" t="inlineStr">
        <is>
          <t>STEP 5</t>
        </is>
      </c>
      <c r="B15" s="5" t="inlineStr">
        <is>
          <t>按 Q1→Q4 判定，输出四类结论之一；证据不足就写“暂无法确认”，并按 06 表发索取清单。</t>
        </is>
      </c>
    </row>
    <row r="17" ht="28" customHeight="1">
      <c r="A17" s="4" t="inlineStr">
        <is>
          <t>三、证据三分法</t>
        </is>
      </c>
    </row>
    <row r="18" ht="46" customHeight="1">
      <c r="A18" s="7" t="n"/>
      <c r="B18" s="8" t="inlineStr">
        <is>
          <t>A 直接生产证据</t>
        </is>
      </c>
      <c r="C18" s="9" t="inlineStr">
        <is>
          <t>能独立指向“装置存在且在运行”</t>
        </is>
      </c>
      <c r="D18" s="7" t="n"/>
      <c r="E18" s="10" t="inlineStr">
        <is>
          <t>排污许可证（行业类别：颜料制造 C2643）；环评批复与验收、项目备案/产能置换、上市公司产量、非计划停产公告</t>
        </is>
      </c>
      <c r="F18" s="7" t="n"/>
      <c r="G18" s="7" t="n"/>
      <c r="H18" s="7" t="n"/>
    </row>
    <row r="19" ht="46" customHeight="1">
      <c r="A19" s="7" t="n"/>
      <c r="B19" s="11" t="inlineStr">
        <is>
          <t>B 间接业务证据</t>
        </is>
      </c>
      <c r="C19" s="9" t="inlineStr">
        <is>
          <t>说明在做这门生意，不能单独证明自产</t>
        </is>
      </c>
      <c r="D19" s="7" t="n"/>
      <c r="E19" s="10" t="inlineStr">
        <is>
          <t>官网产品页、自营商城、交易所交割厂库、协会名录、原料采购、生产岗位招聘、专利、行业报道</t>
        </is>
      </c>
      <c r="F19" s="7" t="n"/>
      <c r="G19" s="7" t="n"/>
      <c r="H19" s="7" t="n"/>
    </row>
    <row r="20" ht="46" customHeight="1">
      <c r="A20" s="7" t="n"/>
      <c r="B20" s="12" t="inlineStr">
        <is>
          <t>C 不构成证据</t>
        </is>
      </c>
      <c r="C20" s="9" t="inlineStr">
        <is>
          <t>容易被误采信，采信会出错</t>
        </is>
      </c>
      <c r="D20" s="7" t="n"/>
      <c r="E20" s="10" t="inlineStr">
        <is>
          <t>营业执照经营范围、“厂家直销”、注册资本、可大量供货、单张无定位照片、口头承诺</t>
        </is>
      </c>
      <c r="F20" s="7" t="n"/>
      <c r="G20" s="7" t="n"/>
      <c r="H20" s="7" t="n"/>
    </row>
    <row r="22" ht="28" customHeight="1">
      <c r="A22" s="4" t="inlineStr">
        <is>
          <t>四、判定顺序（不能跳步）</t>
        </is>
      </c>
    </row>
    <row r="23" ht="24" customHeight="1">
      <c r="A23" s="13" t="n"/>
      <c r="B23" s="13" t="inlineStr">
        <is>
          <t>步骤</t>
        </is>
      </c>
      <c r="C23" s="13" t="inlineStr">
        <is>
          <t>问题</t>
        </is>
      </c>
      <c r="D23" s="13" t="inlineStr">
        <is>
          <t>判定依据（命中任一即可）</t>
        </is>
      </c>
      <c r="E23" s="14" t="n"/>
      <c r="F23" s="15" t="n"/>
      <c r="G23" s="13" t="inlineStr">
        <is>
          <t>是 →</t>
        </is>
      </c>
      <c r="H23" s="13" t="inlineStr">
        <is>
          <t>否 →</t>
        </is>
      </c>
    </row>
    <row r="24" ht="44" customHeight="1">
      <c r="A24" s="16" t="inlineStr"/>
      <c r="B24" s="17" t="inlineStr">
        <is>
          <t>Q1</t>
        </is>
      </c>
      <c r="C24" s="18" t="inlineStr">
        <is>
          <t>是否存在以该企业为主体的目标产品生产硬证据？</t>
        </is>
      </c>
      <c r="D24" s="19" t="inlineStr">
        <is>
          <t>排污许可证（对应行业类别）；或环评批复/验收载明该产品与产能；或项目备案/产能置换公示载明该企业为主体；危化品/食品/农药等另有法定许可</t>
        </is>
      </c>
      <c r="E24" s="16" t="n"/>
      <c r="F24" s="16" t="n"/>
      <c r="G24" s="20" t="inlineStr">
        <is>
          <t>进入 Q2</t>
        </is>
      </c>
      <c r="H24" s="20" t="inlineStr">
        <is>
          <t>进入 Q3</t>
        </is>
      </c>
    </row>
    <row r="25" ht="44" customHeight="1">
      <c r="A25" s="16" t="inlineStr"/>
      <c r="B25" s="17" t="inlineStr">
        <is>
          <t>Q2</t>
        </is>
      </c>
      <c r="C25" s="18" t="inlineStr">
        <is>
          <t>公开产能、产量、厂址与许可是否自洽？</t>
        </is>
      </c>
      <c r="D25" s="19" t="inlineStr">
        <is>
          <t>产能与产量量级匹配、厂址与许可地址一致、工艺路线能解释原料与副产品、产品规格对得上</t>
        </is>
      </c>
      <c r="E25" s="16" t="n"/>
      <c r="F25" s="16" t="n"/>
      <c r="G25" s="20" t="inlineStr">
        <is>
          <t>判定：生产厂家</t>
        </is>
      </c>
      <c r="H25" s="20" t="inlineStr">
        <is>
          <t>判定：生产厂家（待现场核验）</t>
        </is>
      </c>
    </row>
    <row r="26" ht="44" customHeight="1">
      <c r="A26" s="16" t="inlineStr"/>
      <c r="B26" s="17" t="inlineStr">
        <is>
          <t>Q3</t>
        </is>
      </c>
      <c r="C26" s="18" t="inlineStr">
        <is>
          <t>是否存在分装/复配特征？</t>
        </is>
      </c>
      <c r="D26" s="19" t="inlineStr">
        <is>
          <t>仅持有分装类许可；无合成/反应/精馏/结晶主装置；设备为粉碎、筛分、混合、稀释、包装；外购成品或半成品</t>
        </is>
      </c>
      <c r="E26" s="16" t="n"/>
      <c r="F26" s="16" t="n"/>
      <c r="G26" s="20" t="inlineStr">
        <is>
          <t>判定：分装或复配</t>
        </is>
      </c>
      <c r="H26" s="20" t="inlineStr">
        <is>
          <t>进入 Q4</t>
        </is>
      </c>
    </row>
    <row r="27" ht="44" customHeight="1">
      <c r="A27" s="16" t="inlineStr"/>
      <c r="B27" s="17" t="inlineStr">
        <is>
          <t>Q4</t>
        </is>
      </c>
      <c r="C27" s="18" t="inlineStr">
        <is>
          <t>是否存在贸易经销特征？</t>
        </is>
      </c>
      <c r="D27" s="19" t="inlineStr">
        <is>
          <t>交易所贸易商厂库、生产厂代理授权、无生产装置与排污许可、注册地为写字楼、以调货为主</t>
        </is>
      </c>
      <c r="E27" s="16" t="n"/>
      <c r="F27" s="16" t="n"/>
      <c r="G27" s="20" t="inlineStr">
        <is>
          <t>判定：贸易经销</t>
        </is>
      </c>
      <c r="H27" s="20" t="inlineStr">
        <is>
          <t>判定：证据不足，暂无法确认</t>
        </is>
      </c>
    </row>
    <row r="29" ht="28" customHeight="1">
      <c r="A29" s="4" t="inlineStr">
        <is>
          <t>五、四类结论与含义</t>
        </is>
      </c>
    </row>
    <row r="30">
      <c r="A30" s="13" t="n"/>
      <c r="B30" s="13" t="inlineStr">
        <is>
          <t>结论</t>
        </is>
      </c>
      <c r="C30" s="13" t="inlineStr">
        <is>
          <t>含义</t>
        </is>
      </c>
      <c r="D30" s="14" t="n"/>
      <c r="E30" s="15" t="n"/>
      <c r="F30" s="13" t="inlineStr">
        <is>
          <t>典型证据</t>
        </is>
      </c>
      <c r="G30" s="14" t="n"/>
      <c r="H30" s="15" t="n"/>
    </row>
    <row r="31" ht="40" customHeight="1">
      <c r="A31" s="16" t="n"/>
      <c r="B31" s="21" t="inlineStr">
        <is>
          <t>生产厂家</t>
        </is>
      </c>
      <c r="C31" s="22" t="inlineStr">
        <is>
          <t>以自有装置完成目标化学品的合成/提纯，可开出厂价、可验厂</t>
        </is>
      </c>
      <c r="D31" s="14" t="n"/>
      <c r="E31" s="15" t="n"/>
      <c r="F31" s="23" t="inlineStr">
        <is>
          <t>排污许可证（行业类别：颜料制造 C2643）；钛白粉项目环评批复 + 竣工环保验收（产品方案、产能、硫酸法/氯化法）</t>
        </is>
      </c>
      <c r="G31" s="14" t="n"/>
      <c r="H31" s="15" t="n"/>
    </row>
    <row r="32" ht="40" customHeight="1">
      <c r="A32" s="16" t="n"/>
      <c r="B32" s="24" t="inlineStr">
        <is>
          <t>分装或复配</t>
        </is>
      </c>
      <c r="C32" s="22" t="inlineStr">
        <is>
          <t>不合成目标产品，仅做破碎、筛分、混合、稀释、小包装或复配</t>
        </is>
      </c>
      <c r="D32" s="14" t="n"/>
      <c r="E32" s="15" t="n"/>
      <c r="F32" s="23" t="inlineStr">
        <is>
          <t>分装类许可/备案 + 后处理设备清单 + 外购成品发票</t>
        </is>
      </c>
      <c r="G32" s="14" t="n"/>
      <c r="H32" s="15" t="n"/>
    </row>
    <row r="33" ht="40" customHeight="1">
      <c r="A33" s="16" t="n"/>
      <c r="B33" s="25" t="inlineStr">
        <is>
          <t>贸易经销</t>
        </is>
      </c>
      <c r="C33" s="22" t="inlineStr">
        <is>
          <t>以调货、代理、仓储交割为主，无自有生产装置</t>
        </is>
      </c>
      <c r="D33" s="14" t="n"/>
      <c r="E33" s="15" t="n"/>
      <c r="F33" s="23" t="inlineStr">
        <is>
          <t>贸易商厂库/代理授权 + 无排污许可 + 背靠背发票</t>
        </is>
      </c>
      <c r="G33" s="14" t="n"/>
      <c r="H33" s="15" t="n"/>
    </row>
    <row r="34" ht="40" customHeight="1">
      <c r="A34" s="16" t="n"/>
      <c r="B34" s="26" t="inlineStr">
        <is>
          <t>证据不足暂无法确认</t>
        </is>
      </c>
      <c r="C34" s="22" t="inlineStr">
        <is>
          <t>公开可核证据不足以支撑任何一类判断，需补材料或现场核验</t>
        </is>
      </c>
      <c r="D34" s="14" t="n"/>
      <c r="E34" s="15" t="n"/>
      <c r="F34" s="23" t="inlineStr">
        <is>
          <t>仅有执照、报价单、无定位照片；既无硬证据也无贸易侧证</t>
        </is>
      </c>
      <c r="G34" s="14" t="n"/>
      <c r="H34" s="15" t="n"/>
    </row>
    <row r="36" ht="40" customHeight="1">
      <c r="A36" s="27" t="inlineStr">
        <is>
          <t>免责：本工作簿为采购尽调辅助工具，不构成法律意见；“证据充分度”衡量证据链完整度，不代表企业信用或产品质量。脱敏样例不对应任何真实企业。数据截止 2026-10-19，正式签约前应重新核验许可与名单。</t>
        </is>
      </c>
    </row>
  </sheetData>
  <mergeCells count="37">
    <mergeCell ref="D27:F27"/>
    <mergeCell ref="F33:H33"/>
    <mergeCell ref="C31:E31"/>
    <mergeCell ref="F32:H32"/>
    <mergeCell ref="A36:H36"/>
    <mergeCell ref="B15:H15"/>
    <mergeCell ref="A1:H1"/>
    <mergeCell ref="A6:H6"/>
    <mergeCell ref="C20:D20"/>
    <mergeCell ref="E18:H18"/>
    <mergeCell ref="F31:H31"/>
    <mergeCell ref="F30:H30"/>
    <mergeCell ref="B7:H7"/>
    <mergeCell ref="D25:F25"/>
    <mergeCell ref="C32:E32"/>
    <mergeCell ref="D24:F24"/>
    <mergeCell ref="A3:H3"/>
    <mergeCell ref="D23:F23"/>
    <mergeCell ref="A2:H2"/>
    <mergeCell ref="B12:H12"/>
    <mergeCell ref="E20:H20"/>
    <mergeCell ref="D26:F26"/>
    <mergeCell ref="B11:H11"/>
    <mergeCell ref="E19:H19"/>
    <mergeCell ref="C30:E30"/>
    <mergeCell ref="C34:E34"/>
    <mergeCell ref="A22:H22"/>
    <mergeCell ref="A17:H17"/>
    <mergeCell ref="F34:H34"/>
    <mergeCell ref="B8:H8"/>
    <mergeCell ref="B14:H14"/>
    <mergeCell ref="C33:E33"/>
    <mergeCell ref="A29:H29"/>
    <mergeCell ref="B13:H13"/>
    <mergeCell ref="C19:D19"/>
    <mergeCell ref="A10:H10"/>
    <mergeCell ref="C18:D18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0F7B5F"/>
    <outlinePr summaryBelow="1" summaryRight="1"/>
    <pageSetUpPr fitToPage="1"/>
  </sheetPr>
  <dimension ref="A1:O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16" customWidth="1" min="4" max="4"/>
    <col width="9" customWidth="1" min="5" max="5"/>
    <col width="7" customWidth="1" min="6" max="6"/>
    <col width="30" customWidth="1" min="7" max="7"/>
    <col width="25" customWidth="1" min="8" max="8"/>
    <col width="15" customWidth="1" min="9" max="9"/>
    <col width="8" customWidth="1" min="10" max="10"/>
    <col width="8" customWidth="1" min="11" max="11"/>
    <col width="7" customWidth="1" min="12" max="12"/>
    <col width="38" customWidth="1" min="13" max="13"/>
    <col width="38" customWidth="1" min="14" max="14"/>
    <col width="11" customWidth="1" min="15" max="15"/>
  </cols>
  <sheetData>
    <row r="1" ht="44" customHeight="1">
      <c r="A1" s="28" t="inlineStr">
        <is>
          <t>01 · 核验总表</t>
        </is>
      </c>
    </row>
    <row r="2" ht="26" customHeight="1">
      <c r="A2" s="29" t="inlineStr">
        <is>
          <t>3 家供应商的核验结论与证据计数（钛白粉（二氧化钛 TiO₂））；计数列由 02/03/04 三张明细表自动汇总。</t>
        </is>
      </c>
    </row>
    <row r="3" ht="20" customHeight="1">
      <c r="A3" s="30" t="inlineStr">
        <is>
          <t>报告编号 SV-2026-CN-TIO2-001    数据截止 2026-10-19    ★ 可直接在空白行套用：填企业名 → 明细表打标签 → 计数与分数自动更新</t>
        </is>
      </c>
    </row>
    <row r="4" ht="34" customHeight="1">
      <c r="A4" s="31" t="inlineStr">
        <is>
          <t>序号</t>
        </is>
      </c>
      <c r="B4" s="31" t="inlineStr">
        <is>
          <t>企业名称</t>
        </is>
      </c>
      <c r="C4" s="31" t="inlineStr">
        <is>
          <t>产品 / 规格</t>
        </is>
      </c>
      <c r="D4" s="31" t="inlineStr">
        <is>
          <t>核验结论</t>
        </is>
      </c>
      <c r="E4" s="31" t="inlineStr">
        <is>
          <t>证据充分度</t>
        </is>
      </c>
      <c r="F4" s="31" t="inlineStr">
        <is>
          <t>置信度</t>
        </is>
      </c>
      <c r="G4" s="31" t="inlineStr">
        <is>
          <t>生产地址（公开）</t>
        </is>
      </c>
      <c r="H4" s="31" t="inlineStr">
        <is>
          <t>公开产能</t>
        </is>
      </c>
      <c r="I4" s="31" t="inlineStr">
        <is>
          <t>工艺路线</t>
        </is>
      </c>
      <c r="J4" s="31" t="inlineStr">
        <is>
          <t>直接证据</t>
        </is>
      </c>
      <c r="K4" s="31" t="inlineStr">
        <is>
          <t>间接证据</t>
        </is>
      </c>
      <c r="L4" s="31" t="inlineStr">
        <is>
          <t>排除项</t>
        </is>
      </c>
      <c r="M4" s="31" t="inlineStr">
        <is>
          <t>关键缺口 / 风险</t>
        </is>
      </c>
      <c r="N4" s="31" t="inlineStr">
        <is>
          <t>建议动作</t>
        </is>
      </c>
      <c r="O4" s="31" t="inlineStr">
        <is>
          <t>报告日期</t>
        </is>
      </c>
    </row>
    <row r="5" ht="76" customHeight="1">
      <c r="A5" s="32" t="n">
        <v>1</v>
      </c>
      <c r="B5" s="33" t="inlineStr">
        <is>
          <t>龙佰集团股份有限公司</t>
        </is>
      </c>
      <c r="C5" s="34" t="inlineStr">
        <is>
          <t>钛白粉（金红石型）</t>
        </is>
      </c>
      <c r="D5" s="35" t="inlineStr">
        <is>
          <t>生产厂家</t>
        </is>
      </c>
      <c r="E5" s="36">
        <f>'05_评分模型'!C10</f>
        <v/>
      </c>
      <c r="F5" s="32" t="inlineStr">
        <is>
          <t>高</t>
        </is>
      </c>
      <c r="G5" s="34" t="inlineStr">
        <is>
          <t>河南省焦作市（总部）；四川攀枝花、德阳等生产基地</t>
        </is>
      </c>
      <c r="H5" s="34" t="inlineStr">
        <is>
          <t>钛白粉 151 万吨/年；海绵钛 8 万吨/年</t>
        </is>
      </c>
      <c r="I5" s="34" t="inlineStr">
        <is>
          <t>硫酸法 + 氯化法</t>
        </is>
      </c>
      <c r="J5" s="32">
        <f>COUNTIFS('02_直接生产证据'!$B$4:$B$200,$B5)</f>
        <v/>
      </c>
      <c r="K5" s="32">
        <f>COUNTIFS('03_间接业务证据'!$B$4:$B$200,$B5)</f>
        <v/>
      </c>
      <c r="L5" s="32">
        <f>COUNTIFS('04_不构成证据'!$B$4:$B$200,$B5)</f>
        <v/>
      </c>
      <c r="M5" s="34" t="inlineStr">
        <is>
          <t>排污许可证正副本（行业类别应为“颜料制造”，含主要生产设施与排放口页）</t>
        </is>
      </c>
      <c r="N5" s="34" t="inlineStr">
        <is>
          <t>先索取排污许可与环评核对“颜料制造”及分线产能，再视频验厂走酸解—水解—煅烧—表面处理—包装；合同写明“生产商=发票销售方=发货地”，并约定检修期保供。</t>
        </is>
      </c>
      <c r="O5" s="32" t="inlineStr">
        <is>
          <t>2026-10-19</t>
        </is>
      </c>
    </row>
    <row r="6" ht="47.59999999999999" customHeight="1">
      <c r="A6" s="37" t="n">
        <v>2</v>
      </c>
      <c r="B6" s="38" t="inlineStr">
        <is>
          <t>某钛白粉贸易有限公司（脱敏样例）</t>
        </is>
      </c>
      <c r="C6" s="39" t="inlineStr">
        <is>
          <t>钛白粉（金红石型）</t>
        </is>
      </c>
      <c r="D6" s="40" t="inlineStr">
        <is>
          <t>贸易经销</t>
        </is>
      </c>
      <c r="E6" s="41">
        <f>'05_评分模型'!D10</f>
        <v/>
      </c>
      <c r="F6" s="37" t="inlineStr">
        <is>
          <t>中高</t>
        </is>
      </c>
      <c r="G6" s="39" t="inlineStr">
        <is>
          <t>华东某写字楼（脱敏）</t>
        </is>
      </c>
      <c r="H6" s="39" t="inlineStr">
        <is>
          <t>无自有钛白粉装置</t>
        </is>
      </c>
      <c r="I6" s="39" t="inlineStr">
        <is>
          <t>代理 + 调货 + 仓储分销</t>
        </is>
      </c>
      <c r="J6" s="37">
        <f>COUNTIFS('02_直接生产证据'!$B$4:$B$200,$B6)</f>
        <v/>
      </c>
      <c r="K6" s="37">
        <f>COUNTIFS('03_间接业务证据'!$B$4:$B$200,$B6)</f>
        <v/>
      </c>
      <c r="L6" s="37">
        <f>COUNTIFS('04_不构成证据'!$B$4:$B$200,$B6)</f>
        <v/>
      </c>
      <c r="M6" s="39" t="inlineStr">
        <is>
          <t>生产厂出具的经销授权书原件与授权链</t>
        </is>
      </c>
      <c r="N6" s="39" t="inlineStr">
        <is>
          <t>可以按分销商合作，但合同必须写明“实际生产商”，附授权链；要求发票由生产厂直开或提供完整背靠背链条。</t>
        </is>
      </c>
      <c r="O6" s="37" t="inlineStr">
        <is>
          <t>2026-10-19</t>
        </is>
      </c>
    </row>
    <row r="7" ht="47.59999999999999" customHeight="1">
      <c r="A7" s="32" t="n">
        <v>3</v>
      </c>
      <c r="B7" s="33" t="inlineStr">
        <is>
          <t>某“厂家直销”供应商（脱敏样例）</t>
        </is>
      </c>
      <c r="C7" s="34" t="inlineStr">
        <is>
          <t>钛白粉（金红石型）</t>
        </is>
      </c>
      <c r="D7" s="42" t="inlineStr">
        <is>
          <t>证据不足暂无法确认</t>
        </is>
      </c>
      <c r="E7" s="36">
        <f>'05_评分模型'!E10</f>
        <v/>
      </c>
      <c r="F7" s="32" t="inlineStr">
        <is>
          <t>低</t>
        </is>
      </c>
      <c r="G7" s="34" t="inlineStr">
        <is>
          <t>未披露</t>
        </is>
      </c>
      <c r="H7" s="34" t="inlineStr">
        <is>
          <t>自称 10 万吨/年</t>
        </is>
      </c>
      <c r="I7" s="34" t="inlineStr">
        <is>
          <t>未披露</t>
        </is>
      </c>
      <c r="J7" s="32">
        <f>COUNTIFS('02_直接生产证据'!$B$4:$B$200,$B7)</f>
        <v/>
      </c>
      <c r="K7" s="32">
        <f>COUNTIFS('03_间接业务证据'!$B$4:$B$200,$B7)</f>
        <v/>
      </c>
      <c r="L7" s="32">
        <f>COUNTIFS('04_不构成证据'!$B$4:$B$200,$B7)</f>
        <v/>
      </c>
      <c r="M7" s="34" t="inlineStr">
        <is>
          <t>营业执照（核对主体与注册地址）</t>
        </is>
      </c>
      <c r="N7" s="34" t="inlineStr">
        <is>
          <t>先按“未认证供应商”处理：不预付、不做长协；补齐 P0 材料后再复核，或直接转向已核验的钛白粉厂/授权经销商。</t>
        </is>
      </c>
      <c r="O7" s="32" t="inlineStr">
        <is>
          <t>2026-10-19</t>
        </is>
      </c>
    </row>
  </sheetData>
  <autoFilter ref="A4:O7"/>
  <mergeCells count="3">
    <mergeCell ref="A1:O1"/>
    <mergeCell ref="A3:O3"/>
    <mergeCell ref="A2:O2"/>
  </mergeCells>
  <conditionalFormatting sqref="D5:D40">
    <cfRule type="expression" priority="1" dxfId="0">
      <formula>$D5="生产厂家"</formula>
    </cfRule>
    <cfRule type="expression" priority="2" dxfId="1">
      <formula>$D5="分装或复配"</formula>
    </cfRule>
    <cfRule type="expression" priority="3" dxfId="2">
      <formula>$D5="贸易经销"</formula>
    </cfRule>
    <cfRule type="expression" priority="4" dxfId="3">
      <formula>$D5="证据不足暂无法确认"</formula>
    </cfRule>
  </conditionalFormatting>
  <conditionalFormatting sqref="E5:E40">
    <cfRule type="dataBar" priority="5">
      <dataBar showValue="1">
        <cfvo type="num" val="0"/>
        <cfvo type="num" val="100"/>
        <color rgb="005B8DB8"/>
      </dataBar>
    </cfRule>
  </conditionalFormatting>
  <dataValidations count="1">
    <dataValidation sqref="D5:D40" showDropDown="0" showInputMessage="0" showErrorMessage="0" allowBlank="1" errorTitle="结论不规范" error="请选择四类结论之一" type="list">
      <formula1>"生产厂家,分装或复配,贸易经销,证据不足暂无法确认"</formula1>
    </dataValidation>
  </dataValidations>
  <printOptions horizontalCentered="1"/>
  <pageMargins left="0.3" right="0.3" top="0.45" bottom="0.4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0F7B5F"/>
    <outlinePr summaryBelow="1" summaryRight="1"/>
    <pageSetUpPr fitToPage="1"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30" customWidth="1" min="4" max="4"/>
    <col width="52" customWidth="1" min="5" max="5"/>
    <col width="24" customWidth="1" min="6" max="6"/>
    <col width="40" customWidth="1" min="7" max="7"/>
    <col width="13" customWidth="1" min="8" max="8"/>
    <col width="9" customWidth="1" min="9" max="9"/>
    <col width="44" customWidth="1" min="10" max="10"/>
    <col width="14" customWidth="1" min="11" max="11"/>
  </cols>
  <sheetData>
    <row r="1" ht="44" customHeight="1">
      <c r="A1" s="28" t="inlineStr">
        <is>
          <t>02 · 直接生产证据</t>
        </is>
      </c>
    </row>
    <row r="2" ht="26" customHeight="1">
      <c r="A2" s="29" t="inlineStr">
        <is>
          <t>只有这一组能独立支撑“装置存在且在运行”。判定时只看 A 组；B 组用于交叉，C 组不计分。</t>
        </is>
      </c>
    </row>
    <row r="3" ht="20" customHeight="1">
      <c r="A3" s="30" t="inlineStr">
        <is>
          <t>报告编号 SV-2026-CN-TIO2-001    数据截止 2026-10-19    证据强度：●●● 强 / ●●○ 中 / ●○○ 弱</t>
        </is>
      </c>
    </row>
    <row r="4" ht="34" customHeight="1">
      <c r="A4" s="31" t="inlineStr">
        <is>
          <t>证据编号</t>
        </is>
      </c>
      <c r="B4" s="31" t="inlineStr">
        <is>
          <t>企业名称</t>
        </is>
      </c>
      <c r="C4" s="31" t="inlineStr">
        <is>
          <t>证据类别</t>
        </is>
      </c>
      <c r="D4" s="31" t="inlineStr">
        <is>
          <t>证据名称</t>
        </is>
      </c>
      <c r="E4" s="31" t="inlineStr">
        <is>
          <t>证据内容 / 原文摘录</t>
        </is>
      </c>
      <c r="F4" s="31" t="inlineStr">
        <is>
          <t>来源机构</t>
        </is>
      </c>
      <c r="G4" s="31" t="inlineStr">
        <is>
          <t>来源链接</t>
        </is>
      </c>
      <c r="H4" s="31" t="inlineStr">
        <is>
          <t>发布 / 有效期</t>
        </is>
      </c>
      <c r="I4" s="31" t="inlineStr">
        <is>
          <t>证据强度</t>
        </is>
      </c>
      <c r="J4" s="31" t="inlineStr">
        <is>
          <t>采信理由（为什么算 / 为什么不算）</t>
        </is>
      </c>
      <c r="K4" s="31" t="inlineStr">
        <is>
          <t>对应结论</t>
        </is>
      </c>
    </row>
    <row r="5" ht="47.59999999999999" customHeight="1">
      <c r="A5" s="43" t="inlineStr">
        <is>
          <t>D1</t>
        </is>
      </c>
      <c r="B5" s="34" t="inlineStr">
        <is>
          <t>龙佰集团股份有限公司</t>
        </is>
      </c>
      <c r="C5" s="32" t="inlineStr">
        <is>
          <t>产能与装置</t>
        </is>
      </c>
      <c r="D5" s="34" t="inlineStr">
        <is>
          <t>公开产能 151 万吨/年，全球第一</t>
        </is>
      </c>
      <c r="E5" s="34" t="inlineStr">
        <is>
          <t>在钛产业领域，龙佰集团现已形成钛白粉151万吨/年的产能，海绵钛8万吨/年的产能，双双位居全球第一。据统计，公司是全球最大的钛白粉生产商……</t>
        </is>
      </c>
      <c r="F5" s="34" t="inlineStr">
        <is>
          <t>证券时报 · 公司 2024 年报披露</t>
        </is>
      </c>
      <c r="G5" s="44" t="inlineStr">
        <is>
          <t>https://www.stcn.com/article/detail/1690591.html</t>
        </is>
      </c>
      <c r="H5" s="34" t="inlineStr">
        <is>
          <t>2025-04</t>
        </is>
      </c>
      <c r="I5" s="45" t="inlineStr">
        <is>
          <t>●●● 强</t>
        </is>
      </c>
      <c r="J5" s="46" t="inlineStr">
        <is>
          <t>产能是装置的设计能力，只能由装置产生。151 万吨/年的量级需要酸解、水解、煅烧、表面处理整线配套，贸易商无法“报”出这个数。</t>
        </is>
      </c>
      <c r="K5" s="47" t="inlineStr">
        <is>
          <t>生产厂家</t>
        </is>
      </c>
    </row>
    <row r="6" ht="61.8" customHeight="1">
      <c r="A6" s="48" t="inlineStr">
        <is>
          <t>D2</t>
        </is>
      </c>
      <c r="B6" s="39" t="inlineStr">
        <is>
          <t>龙佰集团股份有限公司</t>
        </is>
      </c>
      <c r="C6" s="37" t="inlineStr">
        <is>
          <t>产能与装置</t>
        </is>
      </c>
      <c r="D6" s="39" t="inlineStr">
        <is>
          <t>2026 上半年实际生产 65.75 万吨</t>
        </is>
      </c>
      <c r="E6" s="39" t="inlineStr">
        <is>
          <t>钛白粉产销情况：2026 年上半年生产钛白粉65.75 万吨，同比减少3.62%；共销售钛白粉68.56 万吨……氯化法钛白粉产能稳步释放，产品结构持续优化。</t>
        </is>
      </c>
      <c r="F6" s="39" t="inlineStr">
        <is>
          <t>龙佰集团 2026 年半年度报告 · 巨潮资讯</t>
        </is>
      </c>
      <c r="G6" s="49" t="inlineStr">
        <is>
          <t>http://static.cninfo.com.cn/finalpage/2026-08-27/1225513320.PDF</t>
        </is>
      </c>
      <c r="H6" s="39" t="inlineStr">
        <is>
          <t>2026-08-27</t>
        </is>
      </c>
      <c r="I6" s="45" t="inlineStr">
        <is>
          <t>●●● 强</t>
        </is>
      </c>
      <c r="J6" s="50" t="inlineStr">
        <is>
          <t>“生产量”与“销售量”分开披露，且产量略低于销量（去库存），是典型的生产企业经营数据；贸易商只有采购量，没有生产量。</t>
        </is>
      </c>
      <c r="K6" s="51" t="inlineStr">
        <is>
          <t>生产厂家</t>
        </is>
      </c>
    </row>
    <row r="7" ht="47.59999999999999" customHeight="1">
      <c r="A7" s="43" t="inlineStr">
        <is>
          <t>D3</t>
        </is>
      </c>
      <c r="B7" s="34" t="inlineStr">
        <is>
          <t>龙佰集团股份有限公司</t>
        </is>
      </c>
      <c r="C7" s="32" t="inlineStr">
        <is>
          <t>产品与市场</t>
        </is>
      </c>
      <c r="D7" s="34" t="inlineStr">
        <is>
          <t>官网牌号体系与多基地布局</t>
        </is>
      </c>
      <c r="E7" s="34" t="inlineStr">
        <is>
          <t>产品体系覆盖钛白粉、海绵钛、锆制品等；钛白粉按硫酸法、氯化法分线，提供涂料、塑料、造纸、油墨等应用牌号。</t>
        </is>
      </c>
      <c r="F7" s="34" t="inlineStr">
        <is>
          <t>龙佰集团官网</t>
        </is>
      </c>
      <c r="G7" s="44" t="inlineStr">
        <is>
          <t>https://www.lomonbillions.com/</t>
        </is>
      </c>
      <c r="H7" s="34" t="inlineStr">
        <is>
          <t>2026-10</t>
        </is>
      </c>
      <c r="I7" s="52" t="inlineStr">
        <is>
          <t>●●○ 中</t>
        </is>
      </c>
      <c r="J7" s="46" t="inlineStr">
        <is>
          <t>官网是自述，单独不足以定论；但它给出了可验证的牌号与基地清单，能与年报、行业报道交叉。</t>
        </is>
      </c>
      <c r="K7" s="47" t="inlineStr">
        <is>
          <t>生产厂家</t>
        </is>
      </c>
    </row>
    <row r="8" ht="47.59999999999999" customHeight="1">
      <c r="A8" s="48" t="inlineStr">
        <is>
          <t>D4</t>
        </is>
      </c>
      <c r="B8" s="39" t="inlineStr">
        <is>
          <t>龙佰集团股份有限公司</t>
        </is>
      </c>
      <c r="C8" s="37" t="inlineStr">
        <is>
          <t>产能与装置</t>
        </is>
      </c>
      <c r="D8" s="39" t="inlineStr">
        <is>
          <t>马来西亚 20 万吨/年钛白粉项目开工</t>
        </is>
      </c>
      <c r="E8" s="39" t="inlineStr">
        <is>
          <t>龙佰亚洲新材料公司马来西亚20万吨/年钛白粉绿色工厂项目开工奠基仪式圆满举行。</t>
        </is>
      </c>
      <c r="F8" s="39" t="inlineStr">
        <is>
          <t>龙佰集团官网 · 公司新闻</t>
        </is>
      </c>
      <c r="G8" s="49" t="inlineStr">
        <is>
          <t>https://www.lomonbillions.com/mnews/10911</t>
        </is>
      </c>
      <c r="H8" s="39" t="inlineStr">
        <is>
          <t>2026</t>
        </is>
      </c>
      <c r="I8" s="52" t="inlineStr">
        <is>
          <t>●●○ 中</t>
        </is>
      </c>
      <c r="J8" s="50" t="inlineStr">
        <is>
          <t>海外新建产能是重资产决策，反向证明其国内装置与工程能力真实存在；也提示未来供应增量在海外。</t>
        </is>
      </c>
      <c r="K8" s="51" t="inlineStr">
        <is>
          <t>生产厂家</t>
        </is>
      </c>
    </row>
  </sheetData>
  <autoFilter ref="A4:K8"/>
  <mergeCells count="3">
    <mergeCell ref="A2:K2"/>
    <mergeCell ref="A1:K1"/>
    <mergeCell ref="A3:K3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rintOptions horizontalCentered="1"/>
  <pageMargins left="0.3" right="0.3" top="0.45" bottom="0.4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30" customWidth="1" min="4" max="4"/>
    <col width="52" customWidth="1" min="5" max="5"/>
    <col width="24" customWidth="1" min="6" max="6"/>
    <col width="40" customWidth="1" min="7" max="7"/>
    <col width="13" customWidth="1" min="8" max="8"/>
    <col width="9" customWidth="1" min="9" max="9"/>
    <col width="44" customWidth="1" min="10" max="10"/>
    <col width="14" customWidth="1" min="11" max="11"/>
  </cols>
  <sheetData>
    <row r="1" ht="44" customHeight="1">
      <c r="A1" s="28" t="inlineStr">
        <is>
          <t>03 · 间接业务证据</t>
        </is>
      </c>
    </row>
    <row r="2" ht="26" customHeight="1">
      <c r="A2" s="29" t="inlineStr">
        <is>
          <t>能证明“确实在做钛白粉（二氧化钛 TiO₂）这门生意”，但不能单独证明自产，必须与 A 组联读。</t>
        </is>
      </c>
    </row>
    <row r="3" ht="20" customHeight="1">
      <c r="A3" s="30" t="inlineStr">
        <is>
          <t>报告编号 SV-2026-CN-TIO2-001    数据截止 2026-10-19    证据强度：●●● 强 / ●●○ 中 / ●○○ 弱</t>
        </is>
      </c>
    </row>
    <row r="4" ht="34" customHeight="1">
      <c r="A4" s="31" t="inlineStr">
        <is>
          <t>证据编号</t>
        </is>
      </c>
      <c r="B4" s="31" t="inlineStr">
        <is>
          <t>企业名称</t>
        </is>
      </c>
      <c r="C4" s="31" t="inlineStr">
        <is>
          <t>证据类别</t>
        </is>
      </c>
      <c r="D4" s="31" t="inlineStr">
        <is>
          <t>证据名称</t>
        </is>
      </c>
      <c r="E4" s="31" t="inlineStr">
        <is>
          <t>证据内容 / 原文摘录</t>
        </is>
      </c>
      <c r="F4" s="31" t="inlineStr">
        <is>
          <t>来源机构</t>
        </is>
      </c>
      <c r="G4" s="31" t="inlineStr">
        <is>
          <t>来源链接</t>
        </is>
      </c>
      <c r="H4" s="31" t="inlineStr">
        <is>
          <t>发布 / 有效期</t>
        </is>
      </c>
      <c r="I4" s="31" t="inlineStr">
        <is>
          <t>证据强度</t>
        </is>
      </c>
      <c r="J4" s="31" t="inlineStr">
        <is>
          <t>采信理由（为什么算 / 为什么不算）</t>
        </is>
      </c>
      <c r="K4" s="31" t="inlineStr">
        <is>
          <t>对应结论</t>
        </is>
      </c>
    </row>
    <row r="5" ht="47.59999999999999" customHeight="1">
      <c r="A5" s="43" t="inlineStr">
        <is>
          <t>I1</t>
        </is>
      </c>
      <c r="B5" s="34" t="inlineStr">
        <is>
          <t>龙佰集团股份有限公司</t>
        </is>
      </c>
      <c r="C5" s="32" t="inlineStr">
        <is>
          <t>产能与装置</t>
        </is>
      </c>
      <c r="D5" s="34" t="inlineStr">
        <is>
          <t>海绵钛 8 万吨/年，同为全球第一</t>
        </is>
      </c>
      <c r="E5" s="34" t="inlineStr">
        <is>
          <t>……海绵钛8万吨/年的产能，双双位居全球第一。</t>
        </is>
      </c>
      <c r="F5" s="34" t="inlineStr">
        <is>
          <t>证券时报 · 同一披露</t>
        </is>
      </c>
      <c r="G5" s="44" t="inlineStr">
        <is>
          <t>https://www.stcn.com/article/detail/1690591.html</t>
        </is>
      </c>
      <c r="H5" s="34" t="inlineStr">
        <is>
          <t>2025-04</t>
        </is>
      </c>
      <c r="I5" s="52" t="inlineStr">
        <is>
          <t>●●○ 中</t>
        </is>
      </c>
      <c r="J5" s="46" t="inlineStr">
        <is>
          <t>钛白粉与海绵钛共用钛资源与部分公用工程，产品组合本身说明这是一体化生产企业，而非单一品类贸易商。</t>
        </is>
      </c>
      <c r="K5" s="47" t="inlineStr">
        <is>
          <t>生产厂家</t>
        </is>
      </c>
    </row>
    <row r="6" ht="47.59999999999999" customHeight="1">
      <c r="A6" s="48" t="inlineStr">
        <is>
          <t>I2</t>
        </is>
      </c>
      <c r="B6" s="39" t="inlineStr">
        <is>
          <t>龙佰集团股份有限公司</t>
        </is>
      </c>
      <c r="C6" s="37" t="inlineStr">
        <is>
          <t>运营痕迹</t>
        </is>
      </c>
      <c r="D6" s="39" t="inlineStr">
        <is>
          <t>攀西钛资源与钛矿配套</t>
        </is>
      </c>
      <c r="E6" s="39" t="inlineStr">
        <is>
          <t>公司依托四川攀西地区钛资源，形成钛矿—钛白—海绵钛的产业链配套。</t>
        </is>
      </c>
      <c r="F6" s="39" t="inlineStr">
        <is>
          <t>行业报道汇总</t>
        </is>
      </c>
      <c r="G6" s="39" t="inlineStr"/>
      <c r="H6" s="39" t="inlineStr">
        <is>
          <t>2025</t>
        </is>
      </c>
      <c r="I6" s="52" t="inlineStr">
        <is>
          <t>●●○ 中</t>
        </is>
      </c>
      <c r="J6" s="50" t="inlineStr">
        <is>
          <t>原料自给是硫酸法钛白粉的成本核心，能解释其产能为何能长期满负荷；但属于间接证据，需与产能数据联读。</t>
        </is>
      </c>
      <c r="K6" s="51" t="inlineStr">
        <is>
          <t>生产厂家</t>
        </is>
      </c>
    </row>
    <row r="7" ht="33.4" customHeight="1">
      <c r="A7" s="43" t="inlineStr">
        <is>
          <t>I3</t>
        </is>
      </c>
      <c r="B7" s="34" t="inlineStr">
        <is>
          <t>龙佰集团股份有限公司</t>
        </is>
      </c>
      <c r="C7" s="32" t="inlineStr">
        <is>
          <t>运营痕迹</t>
        </is>
      </c>
      <c r="D7" s="34" t="inlineStr">
        <is>
          <t>氯化法技术引进与消化</t>
        </is>
      </c>
      <c r="E7" s="34" t="inlineStr">
        <is>
          <t>国内氯化法钛白粉长期依赖进口技术，公司通过引进与消化建成氯化法产线。</t>
        </is>
      </c>
      <c r="F7" s="34" t="inlineStr">
        <is>
          <t>行业报道汇总</t>
        </is>
      </c>
      <c r="G7" s="34" t="inlineStr"/>
      <c r="H7" s="34" t="inlineStr">
        <is>
          <t>2024</t>
        </is>
      </c>
      <c r="I7" s="53" t="inlineStr">
        <is>
          <t>●○○ 弱</t>
        </is>
      </c>
      <c r="J7" s="46" t="inlineStr">
        <is>
          <t>氯化法产线是重资产与技术门槛的双重证明；但公开报道未给出产线编号，只能作旁证。</t>
        </is>
      </c>
      <c r="K7" s="47" t="inlineStr">
        <is>
          <t>生产厂家</t>
        </is>
      </c>
    </row>
    <row r="8" ht="33.4" customHeight="1">
      <c r="A8" s="48" t="inlineStr">
        <is>
          <t>I1</t>
        </is>
      </c>
      <c r="B8" s="39" t="inlineStr">
        <is>
          <t>某钛白粉贸易有限公司（脱敏样例）</t>
        </is>
      </c>
      <c r="C8" s="37" t="inlineStr">
        <is>
          <t>产品与市场</t>
        </is>
      </c>
      <c r="D8" s="39" t="inlineStr">
        <is>
          <t>持有某生产厂的区域代理授权书</t>
        </is>
      </c>
      <c r="E8" s="39" t="inlineStr">
        <is>
          <t>授权在华东区域经销其金红石型钛白粉，授权期 2025-01 至 2026-12。</t>
        </is>
      </c>
      <c r="F8" s="39" t="inlineStr">
        <is>
          <t>对方提供</t>
        </is>
      </c>
      <c r="G8" s="39" t="inlineStr"/>
      <c r="H8" s="39" t="inlineStr">
        <is>
          <t>2025</t>
        </is>
      </c>
      <c r="I8" s="52" t="inlineStr">
        <is>
          <t>●●○ 中</t>
        </is>
      </c>
      <c r="J8" s="50" t="inlineStr">
        <is>
          <t>授权书证明其有稳定货源，但恰恰说明它不是生产商；需核对授权方是否为真实生产厂。</t>
        </is>
      </c>
      <c r="K8" s="51" t="inlineStr">
        <is>
          <t>贸易经销</t>
        </is>
      </c>
    </row>
    <row r="9" ht="33.4" customHeight="1">
      <c r="A9" s="43" t="inlineStr">
        <is>
          <t>I2</t>
        </is>
      </c>
      <c r="B9" s="34" t="inlineStr">
        <is>
          <t>某钛白粉贸易有限公司（脱敏样例）</t>
        </is>
      </c>
      <c r="C9" s="32" t="inlineStr">
        <is>
          <t>产品与市场</t>
        </is>
      </c>
      <c r="D9" s="34" t="inlineStr">
        <is>
          <t>自营店铺与样品间</t>
        </is>
      </c>
      <c r="E9" s="34" t="inlineStr">
        <is>
          <t>门店陈列多个品牌样品，可现场取样。</t>
        </is>
      </c>
      <c r="F9" s="34" t="inlineStr">
        <is>
          <t>对方提供</t>
        </is>
      </c>
      <c r="G9" s="34" t="inlineStr"/>
      <c r="H9" s="34" t="inlineStr">
        <is>
          <t>2026</t>
        </is>
      </c>
      <c r="I9" s="53" t="inlineStr">
        <is>
          <t>●○○ 弱</t>
        </is>
      </c>
      <c r="J9" s="46" t="inlineStr">
        <is>
          <t>样品间只能证明“在卖”，不能证明“在产”；但可作为交易真实性的旁证。</t>
        </is>
      </c>
      <c r="K9" s="47" t="inlineStr">
        <is>
          <t>贸易经销</t>
        </is>
      </c>
    </row>
    <row r="10" ht="33.4" customHeight="1">
      <c r="A10" s="48" t="inlineStr">
        <is>
          <t>I3</t>
        </is>
      </c>
      <c r="B10" s="39" t="inlineStr">
        <is>
          <t>某钛白粉贸易有限公司（脱敏样例）</t>
        </is>
      </c>
      <c r="C10" s="37" t="inlineStr">
        <is>
          <t>运营痕迹</t>
        </is>
      </c>
      <c r="D10" s="39" t="inlineStr">
        <is>
          <t>近一年发货记录与客户名单</t>
        </is>
      </c>
      <c r="E10" s="39" t="inlineStr">
        <is>
          <t>月均发货 1,500—2,000 吨，客户以涂料厂为主。</t>
        </is>
      </c>
      <c r="F10" s="39" t="inlineStr">
        <is>
          <t>对方提供</t>
        </is>
      </c>
      <c r="G10" s="39" t="inlineStr"/>
      <c r="H10" s="39" t="inlineStr">
        <is>
          <t>2026</t>
        </is>
      </c>
      <c r="I10" s="52" t="inlineStr">
        <is>
          <t>●●○ 中</t>
        </is>
      </c>
      <c r="J10" s="50" t="inlineStr">
        <is>
          <t>发货记录能验证业务规模，但发货地是第三方仓库，不是工厂。</t>
        </is>
      </c>
      <c r="K10" s="51" t="inlineStr">
        <is>
          <t>贸易经销</t>
        </is>
      </c>
    </row>
    <row r="11" ht="33.4" customHeight="1">
      <c r="A11" s="43" t="inlineStr">
        <is>
          <t>I1</t>
        </is>
      </c>
      <c r="B11" s="34" t="inlineStr">
        <is>
          <t>某“厂家直销”供应商（脱敏样例）</t>
        </is>
      </c>
      <c r="C11" s="32" t="inlineStr">
        <is>
          <t>产品与市场</t>
        </is>
      </c>
      <c r="D11" s="34" t="inlineStr">
        <is>
          <t>自制产品介绍页（无域名、无备案）</t>
        </is>
      </c>
      <c r="E11" s="34" t="inlineStr">
        <is>
          <t>PDF 介绍“自有工厂、月供 3,000 吨、支持验厂”。</t>
        </is>
      </c>
      <c r="F11" s="34" t="inlineStr">
        <is>
          <t>对方提供</t>
        </is>
      </c>
      <c r="G11" s="34" t="inlineStr"/>
      <c r="H11" s="34" t="inlineStr">
        <is>
          <t>2026</t>
        </is>
      </c>
      <c r="I11" s="53" t="inlineStr">
        <is>
          <t>●○○ 弱</t>
        </is>
      </c>
      <c r="J11" s="46" t="inlineStr">
        <is>
          <t>介绍页是自述，无第三方可核信息；但至少说明对方在主动营销，可作为接触线索。</t>
        </is>
      </c>
      <c r="K11" s="47" t="inlineStr">
        <is>
          <t>证据不足暂无法确认</t>
        </is>
      </c>
    </row>
  </sheetData>
  <autoFilter ref="A4:K11"/>
  <mergeCells count="3">
    <mergeCell ref="A2:K2"/>
    <mergeCell ref="A1:K1"/>
    <mergeCell ref="A3:K3"/>
  </mergeCells>
  <hyperlinks>
    <hyperlink xmlns:r="http://schemas.openxmlformats.org/officeDocument/2006/relationships" ref="G5" r:id="rId1"/>
  </hyperlinks>
  <printOptions horizontalCentered="1"/>
  <pageMargins left="0.3" right="0.3" top="0.45" bottom="0.4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46" customWidth="1" min="4" max="4"/>
    <col width="56" customWidth="1" min="5" max="5"/>
    <col width="46" customWidth="1" min="6" max="6"/>
  </cols>
  <sheetData>
    <row r="1" ht="44" customHeight="1">
      <c r="A1" s="28" t="inlineStr">
        <is>
          <t>04 · 不构成证据（排除项）</t>
        </is>
      </c>
    </row>
    <row r="2" ht="26" customHeight="1">
      <c r="A2" s="29" t="inlineStr">
        <is>
          <t>这些材料不是“没用”，而是“不能用来证明自产”。把它们单独归档，可以避免把贸易商误判成厂家。</t>
        </is>
      </c>
    </row>
    <row r="3" ht="20" customHeight="1">
      <c r="A3" s="30" t="inlineStr">
        <is>
          <t>报告编号 SV-2026-CN-TIO2-001    数据截止 2026-10-19    本表不计入证据充分度</t>
        </is>
      </c>
    </row>
    <row r="4" ht="34" customHeight="1">
      <c r="A4" s="31" t="inlineStr">
        <is>
          <t>编号</t>
        </is>
      </c>
      <c r="B4" s="31" t="inlineStr">
        <is>
          <t>企业名称</t>
        </is>
      </c>
      <c r="C4" s="31" t="inlineStr">
        <is>
          <t>材料 / 常见话术</t>
        </is>
      </c>
      <c r="D4" s="31" t="inlineStr">
        <is>
          <t>对方常见表述</t>
        </is>
      </c>
      <c r="E4" s="31" t="inlineStr">
        <is>
          <t>为什么不算证据</t>
        </is>
      </c>
      <c r="F4" s="31" t="inlineStr">
        <is>
          <t>正确用法 / 应换取的替代证据</t>
        </is>
      </c>
    </row>
    <row r="5" ht="33.4" customHeight="1">
      <c r="A5" s="54" t="inlineStr">
        <is>
          <t>X1</t>
        </is>
      </c>
      <c r="B5" s="34" t="inlineStr">
        <is>
          <t>龙佰集团股份有限公司</t>
        </is>
      </c>
      <c r="C5" s="55" t="inlineStr">
        <is>
          <t>营业执照经营范围含“钛白粉生产、销售”</t>
        </is>
      </c>
      <c r="D5" s="34" t="inlineStr">
        <is>
          <t>经营范围：钛白粉、海绵钛、锆制品等的生产与销售。</t>
        </is>
      </c>
      <c r="E5" s="34" t="inlineStr">
        <is>
          <t>经营范围是“允许做什么”，不是“正在做什么”。贸易商同样可以写“生产、销售”。</t>
        </is>
      </c>
      <c r="F5" s="34" t="inlineStr">
        <is>
          <t>见 06 表对应材料：排污许可 / 环评 / 磅单 / 发票 / 视频验厂</t>
        </is>
      </c>
    </row>
    <row r="6" ht="33.4" customHeight="1">
      <c r="A6" s="56" t="inlineStr">
        <is>
          <t>X2</t>
        </is>
      </c>
      <c r="B6" s="39" t="inlineStr">
        <is>
          <t>龙佰集团股份有限公司</t>
        </is>
      </c>
      <c r="C6" s="57" t="inlineStr">
        <is>
          <t>官网“全球最大钛白粉生产商”宣传语</t>
        </is>
      </c>
      <c r="D6" s="39" t="inlineStr">
        <is>
          <t>全球最大的钛白粉生产商。</t>
        </is>
      </c>
      <c r="E6" s="39" t="inlineStr">
        <is>
          <t>宣传语不是证据；同一句话出现在年报或交易所公告里才算。此处单独列出，避免与 D1 混淆。</t>
        </is>
      </c>
      <c r="F6" s="39" t="inlineStr">
        <is>
          <t>见 06 表对应材料：排污许可 / 环评 / 磅单 / 发票 / 视频验厂</t>
        </is>
      </c>
    </row>
    <row r="7" ht="33.4" customHeight="1">
      <c r="A7" s="54" t="inlineStr">
        <is>
          <t>X3</t>
        </is>
      </c>
      <c r="B7" s="34" t="inlineStr">
        <is>
          <t>龙佰集团股份有限公司</t>
        </is>
      </c>
      <c r="C7" s="55" t="inlineStr">
        <is>
          <t>注册资本与上市地位</t>
        </is>
      </c>
      <c r="D7" s="34" t="inlineStr">
        <is>
          <t>注册资本数十亿元，深交所主板上市。</t>
        </is>
      </c>
      <c r="E7" s="34" t="inlineStr">
        <is>
          <t>资本实力说明“赔得起”，不说明“有装置”。这是最常见的误采信项之一。</t>
        </is>
      </c>
      <c r="F7" s="34" t="inlineStr">
        <is>
          <t>见 06 表对应材料：排污许可 / 环评 / 磅单 / 发票 / 视频验厂</t>
        </is>
      </c>
    </row>
    <row r="8" ht="47.59999999999999" customHeight="1">
      <c r="A8" s="56" t="inlineStr">
        <is>
          <t>X4</t>
        </is>
      </c>
      <c r="B8" s="39" t="inlineStr">
        <is>
          <t>龙佰集团股份有限公司</t>
        </is>
      </c>
      <c r="C8" s="57" t="inlineStr">
        <is>
          <t>危险化学品经营许可证</t>
        </is>
      </c>
      <c r="D8" s="39" t="inlineStr">
        <is>
          <t>许可范围：硫酸、盐酸等。</t>
        </is>
      </c>
      <c r="E8" s="39" t="inlineStr">
        <is>
          <t>钛白粉不在危化品目录；该证只覆盖硫酸等辅料，不能用来证明钛白粉产能。非危化品都有这个误区：许可范围只覆盖辅料或相邻产品，不等于目标产品产线。</t>
        </is>
      </c>
      <c r="F8" s="39" t="inlineStr">
        <is>
          <t>见 06 表对应材料：排污许可 / 环评 / 磅单 / 发票 / 视频验厂</t>
        </is>
      </c>
    </row>
    <row r="9" ht="33.4" customHeight="1">
      <c r="A9" s="54" t="inlineStr">
        <is>
          <t>X1</t>
        </is>
      </c>
      <c r="B9" s="34" t="inlineStr">
        <is>
          <t>某钛白粉贸易有限公司（脱敏样例）</t>
        </is>
      </c>
      <c r="C9" s="55" t="inlineStr">
        <is>
          <t>营业执照经营范围含“钛白粉销售”</t>
        </is>
      </c>
      <c r="D9" s="34" t="inlineStr">
        <is>
          <t>经营范围：化工原料及产品（不含危险化学品）销售。</t>
        </is>
      </c>
      <c r="E9" s="34" t="inlineStr">
        <is>
          <t>销售范围与生产资质是两件事；这张执照恰恰没有“生产”二字。</t>
        </is>
      </c>
      <c r="F9" s="34" t="inlineStr">
        <is>
          <t>见 06 表对应材料：排污许可 / 环评 / 磅单 / 发票 / 视频验厂</t>
        </is>
      </c>
    </row>
    <row r="10" ht="33.4" customHeight="1">
      <c r="A10" s="56" t="inlineStr">
        <is>
          <t>X2</t>
        </is>
      </c>
      <c r="B10" s="39" t="inlineStr">
        <is>
          <t>某钛白粉贸易有限公司（脱敏样例）</t>
        </is>
      </c>
      <c r="C10" s="57" t="inlineStr">
        <is>
          <t>“厂家直销、一手货源”话术</t>
        </is>
      </c>
      <c r="D10" s="39" t="inlineStr">
        <is>
          <t>厂家直销，价格比市场低 200 元/吨。</t>
        </is>
      </c>
      <c r="E10" s="39" t="inlineStr">
        <is>
          <t>低价话术是贸易商的常规销售语言，与是否自产无关。</t>
        </is>
      </c>
      <c r="F10" s="39" t="inlineStr">
        <is>
          <t>见 06 表对应材料：排污许可 / 环评 / 磅单 / 发票 / 视频验厂</t>
        </is>
      </c>
    </row>
    <row r="11" ht="33.4" customHeight="1">
      <c r="A11" s="54" t="inlineStr">
        <is>
          <t>X3</t>
        </is>
      </c>
      <c r="B11" s="34" t="inlineStr">
        <is>
          <t>某钛白粉贸易有限公司（脱敏样例）</t>
        </is>
      </c>
      <c r="C11" s="55" t="inlineStr">
        <is>
          <t>注册资本 5,000 万元</t>
        </is>
      </c>
      <c r="D11" s="34" t="inlineStr">
        <is>
          <t>注册资本 5,000 万元，成立于 2018 年。</t>
        </is>
      </c>
      <c r="E11" s="34" t="inlineStr">
        <is>
          <t>注册资本只反映股东出资，与装置、产能无关。</t>
        </is>
      </c>
      <c r="F11" s="34" t="inlineStr">
        <is>
          <t>见 06 表对应材料：排污许可 / 环评 / 磅单 / 发票 / 视频验厂</t>
        </is>
      </c>
    </row>
    <row r="12" ht="33.4" customHeight="1">
      <c r="A12" s="56" t="inlineStr">
        <is>
          <t>X4</t>
        </is>
      </c>
      <c r="B12" s="39" t="inlineStr">
        <is>
          <t>某钛白粉贸易有限公司（脱敏样例）</t>
        </is>
      </c>
      <c r="C12" s="57" t="inlineStr">
        <is>
          <t>仓库照片（无定位、无装置）</t>
        </is>
      </c>
      <c r="D12" s="39" t="inlineStr">
        <is>
          <t>照片显示托盘堆码的吨袋，无生产设备。</t>
        </is>
      </c>
      <c r="E12" s="39" t="inlineStr">
        <is>
          <t>仓库照片最多证明有库存；无定位、无装置、无厂牌，不能作为生产证据。</t>
        </is>
      </c>
      <c r="F12" s="39" t="inlineStr">
        <is>
          <t>见 06 表对应材料：排污许可 / 环评 / 磅单 / 发票 / 视频验厂</t>
        </is>
      </c>
    </row>
    <row r="13" ht="33.4" customHeight="1">
      <c r="A13" s="54" t="inlineStr">
        <is>
          <t>X1</t>
        </is>
      </c>
      <c r="B13" s="34" t="inlineStr">
        <is>
          <t>某“厂家直销”供应商（脱敏样例）</t>
        </is>
      </c>
      <c r="C13" s="55" t="inlineStr">
        <is>
          <t>报价单</t>
        </is>
      </c>
      <c r="D13" s="34" t="inlineStr">
        <is>
          <t>R-996 出厂价低于市场 300 元/吨，月供 3,000 吨。</t>
        </is>
      </c>
      <c r="E13" s="34" t="inlineStr">
        <is>
          <t>报价单证明“在卖”，不证明“在生产”；低价反而是需要解释的异常。</t>
        </is>
      </c>
      <c r="F13" s="34" t="inlineStr">
        <is>
          <t>见 06 表对应材料：排污许可 / 环评 / 磅单 / 发票 / 视频验厂</t>
        </is>
      </c>
    </row>
    <row r="14" ht="33.4" customHeight="1">
      <c r="A14" s="56" t="inlineStr">
        <is>
          <t>X2</t>
        </is>
      </c>
      <c r="B14" s="39" t="inlineStr">
        <is>
          <t>某“厂家直销”供应商（脱敏样例）</t>
        </is>
      </c>
      <c r="C14" s="57" t="inlineStr">
        <is>
          <t>两张无定位车间照片</t>
        </is>
      </c>
      <c r="D14" s="39" t="inlineStr">
        <is>
          <t>照片中有吨袋与叉车，无厂牌、无设备铭牌、无时间水印。</t>
        </is>
      </c>
      <c r="E14" s="39" t="inlineStr">
        <is>
          <t>无法定位、无法确认拍摄对象，属于最典型的伪证据。</t>
        </is>
      </c>
      <c r="F14" s="39" t="inlineStr">
        <is>
          <t>见 06 表对应材料：排污许可 / 环评 / 磅单 / 发票 / 视频验厂</t>
        </is>
      </c>
    </row>
    <row r="15" ht="33.4" customHeight="1">
      <c r="A15" s="54" t="inlineStr">
        <is>
          <t>X3</t>
        </is>
      </c>
      <c r="B15" s="34" t="inlineStr">
        <is>
          <t>某“厂家直销”供应商（脱敏样例）</t>
        </is>
      </c>
      <c r="C15" s="55" t="inlineStr">
        <is>
          <t>“支持随时验厂”的口头承诺</t>
        </is>
      </c>
      <c r="D15" s="34" t="inlineStr">
        <is>
          <t>随时可以来看厂。</t>
        </is>
      </c>
      <c r="E15" s="34" t="inlineStr">
        <is>
          <t>口头承诺零成本；真验厂要看是否敢不预约、是否允许拍装置铭牌。</t>
        </is>
      </c>
      <c r="F15" s="34" t="inlineStr">
        <is>
          <t>见 06 表对应材料：排污许可 / 环评 / 磅单 / 发票 / 视频验厂</t>
        </is>
      </c>
    </row>
  </sheetData>
  <autoFilter ref="A4:F15"/>
  <mergeCells count="3">
    <mergeCell ref="A3:F3"/>
    <mergeCell ref="A2:F2"/>
    <mergeCell ref="A1:F1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B8892B"/>
    <outlinePr summaryBelow="1" summaryRight="1"/>
    <pageSetUpPr fitToPage="1"/>
  </sheetPr>
  <dimension ref="A1:F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1" customWidth="1" min="4" max="4"/>
    <col width="13" customWidth="1" min="5" max="5"/>
    <col width="62" customWidth="1" min="6" max="6"/>
  </cols>
  <sheetData>
    <row r="1" ht="44" customHeight="1">
      <c r="A1" s="28" t="inlineStr">
        <is>
          <t>05 · 证据充分度模型（100 分制）</t>
        </is>
      </c>
    </row>
    <row r="2" ht="26" customHeight="1">
      <c r="A2" s="29" t="inlineStr">
        <is>
          <t>分数衡量“证据链完整度”，不是真假概率。同一套权重，3 个案例横向可比；现场核验未完成时，该维度记 0 分。</t>
        </is>
      </c>
    </row>
    <row r="3" ht="20" customHeight="1">
      <c r="A3" s="30" t="inlineStr">
        <is>
          <t>报告编号 SV-2026-CN-TIO2-001    ★ 修改 02/03 明细后，本表与总表分数需重新计算（Excel 会自动重算）</t>
        </is>
      </c>
    </row>
    <row r="4" ht="32" customHeight="1">
      <c r="A4" s="31" t="inlineStr">
        <is>
          <t>评分维度</t>
        </is>
      </c>
      <c r="B4" s="31" t="inlineStr">
        <is>
          <t>权重</t>
        </is>
      </c>
      <c r="C4" s="31" t="inlineStr">
        <is>
          <t>龙佰集团</t>
        </is>
      </c>
      <c r="D4" s="31" t="inlineStr">
        <is>
          <t>贸易样例</t>
        </is>
      </c>
      <c r="E4" s="31" t="inlineStr">
        <is>
          <t>证据不足样例</t>
        </is>
      </c>
      <c r="F4" s="31" t="inlineStr">
        <is>
          <t>评分要点</t>
        </is>
      </c>
    </row>
    <row r="5" ht="33.4" customHeight="1">
      <c r="A5" s="58" t="inlineStr">
        <is>
          <t>生产许可与环保手续</t>
        </is>
      </c>
      <c r="B5" s="59" t="n">
        <v>30</v>
      </c>
      <c r="C5" s="60" t="n">
        <v>24</v>
      </c>
      <c r="D5" s="60" t="n">
        <v>0</v>
      </c>
      <c r="E5" s="60" t="n">
        <v>0</v>
      </c>
      <c r="F5" s="34" t="inlineStr">
        <is>
          <t>排污许可（颜料制造）、环评批复/验收中的产品与产能、项目备案与产能置换、硫酸/氯气等辅料的危化品许可</t>
        </is>
      </c>
    </row>
    <row r="6" ht="33.4" customHeight="1">
      <c r="A6" s="61" t="inlineStr">
        <is>
          <t>产能与装置实据</t>
        </is>
      </c>
      <c r="B6" s="62" t="n">
        <v>30</v>
      </c>
      <c r="C6" s="63" t="n">
        <v>28</v>
      </c>
      <c r="D6" s="63" t="n">
        <v>0</v>
      </c>
      <c r="E6" s="63" t="n">
        <v>2</v>
      </c>
      <c r="F6" s="39" t="inlineStr">
        <is>
          <t>公开产能与产量、硫酸法/氯化法分线、厂址与基地布局、钛矿资源配套、非计划停产公告</t>
        </is>
      </c>
    </row>
    <row r="7" ht="33.4" customHeight="1">
      <c r="A7" s="58" t="inlineStr">
        <is>
          <t>产品与市场证据</t>
        </is>
      </c>
      <c r="B7" s="59" t="n">
        <v>20</v>
      </c>
      <c r="C7" s="60" t="n">
        <v>17</v>
      </c>
      <c r="D7" s="60" t="n">
        <v>13</v>
      </c>
      <c r="E7" s="60" t="n">
        <v>4</v>
      </c>
      <c r="F7" s="34" t="inlineStr">
        <is>
          <t>官网牌号体系、自营渠道、行业排名与协会名录、大客户与出口记录、品牌</t>
        </is>
      </c>
    </row>
    <row r="8" ht="19.2" customHeight="1">
      <c r="A8" s="61" t="inlineStr">
        <is>
          <t>运营侧痕迹</t>
        </is>
      </c>
      <c r="B8" s="62" t="n">
        <v>10</v>
      </c>
      <c r="C8" s="63" t="n">
        <v>8</v>
      </c>
      <c r="D8" s="63" t="n">
        <v>7</v>
      </c>
      <c r="E8" s="63" t="n">
        <v>3</v>
      </c>
      <c r="F8" s="39" t="inlineStr">
        <is>
          <t>钛矿采购、生产岗位招聘、专利与技术引进、物流与港口、公开招标</t>
        </is>
      </c>
    </row>
    <row r="9" ht="33.4" customHeight="1">
      <c r="A9" s="58" t="inlineStr">
        <is>
          <t>现场与第三方核验</t>
        </is>
      </c>
      <c r="B9" s="59" t="n">
        <v>10</v>
      </c>
      <c r="C9" s="60" t="n">
        <v>3</v>
      </c>
      <c r="D9" s="60" t="n">
        <v>0</v>
      </c>
      <c r="E9" s="60" t="n">
        <v>0</v>
      </c>
      <c r="F9" s="34" t="inlineStr">
        <is>
          <t>视频验厂（酸解—水解—煅烧—表面处理—包装）、磅单、批次 COA、第三方检测、发票与发货地一致性</t>
        </is>
      </c>
    </row>
    <row r="10" ht="34" customHeight="1">
      <c r="A10" s="64" t="inlineStr">
        <is>
          <t>证据充分度合计</t>
        </is>
      </c>
      <c r="B10" s="65">
        <f>SUM(B5:B9)</f>
        <v/>
      </c>
      <c r="C10" s="66">
        <f>SUM(C5:C9)</f>
        <v/>
      </c>
      <c r="D10" s="66">
        <f>SUM(D5:D9)</f>
        <v/>
      </c>
      <c r="E10" s="66">
        <f>SUM(E5:E9)</f>
        <v/>
      </c>
      <c r="F10" s="64" t="inlineStr">
        <is>
          <t>≥70：可判生产厂家；40—69：需补证；&lt;40：多为贸易/分装，或证据不足</t>
        </is>
      </c>
    </row>
    <row r="11" ht="30" customHeight="1">
      <c r="A11" s="67" t="inlineStr">
        <is>
          <t>判定结论</t>
        </is>
      </c>
      <c r="B11" s="68" t="inlineStr">
        <is>
          <t>—</t>
        </is>
      </c>
      <c r="C11" s="69" t="inlineStr">
        <is>
          <t>生产厂家</t>
        </is>
      </c>
      <c r="D11" s="70" t="inlineStr">
        <is>
          <t>贸易经销</t>
        </is>
      </c>
      <c r="E11" s="71" t="inlineStr">
        <is>
          <t>证据不足暂无法确认</t>
        </is>
      </c>
      <c r="F11" s="67" t="inlineStr">
        <is>
          <t>结论由 Q1→Q4 规则决定，分数只作辅助与横向比较</t>
        </is>
      </c>
    </row>
    <row r="13" ht="29" customHeight="1">
      <c r="A13" s="72" t="inlineStr">
        <is>
          <t>评分口径</t>
        </is>
      </c>
      <c r="C13" s="73" t="inlineStr">
        <is>
          <t>强证据（●●●）指政府许可/备案、交易所或协会名录、上市公司审计披露、可复现第三方记录；中证据（●●○）指可与第三方互证的企业官网信息、行业媒体、招聘/招标；弱证据（●○○）指自述宣传、单张照片、口头承诺。</t>
        </is>
      </c>
    </row>
    <row r="14" ht="24" customHeight="1">
      <c r="A14" s="72" t="inlineStr">
        <is>
          <t>一票否决</t>
        </is>
      </c>
      <c r="C14" s="73" t="inlineStr">
        <is>
          <t>排污许可行业类别与目标产品不符、且无对应环评/备案 → 不可能是该产品生产厂，直接进入 Q3/Q4；反之，只要有任一硬证据，也不能仅凭“没找到官网”否定其生产。</t>
        </is>
      </c>
    </row>
    <row r="15" ht="24" customHeight="1">
      <c r="A15" s="72" t="inlineStr">
        <is>
          <t>现场权重</t>
        </is>
      </c>
      <c r="C15" s="73" t="inlineStr">
        <is>
          <t>现场与第三方核验占 10 分，未做就是 0 分。这不是扣分，而是提醒：线上证据再全，也不能替代一次不预约的视频验厂。</t>
        </is>
      </c>
    </row>
  </sheetData>
  <mergeCells count="9">
    <mergeCell ref="C13:F13"/>
    <mergeCell ref="A2:F2"/>
    <mergeCell ref="A15:B15"/>
    <mergeCell ref="A1:F1"/>
    <mergeCell ref="A13:B13"/>
    <mergeCell ref="A14:B14"/>
    <mergeCell ref="C15:F15"/>
    <mergeCell ref="A3:F3"/>
    <mergeCell ref="C14:F14"/>
  </mergeCells>
  <conditionalFormatting sqref="C5:E9">
    <cfRule type="dataBar" priority="1">
      <dataBar showValue="1">
        <cfvo type="num" val="0"/>
        <cfvo type="num" val="30"/>
        <color rgb="00C9A227"/>
      </dataBar>
    </cfRule>
  </conditionalFormatting>
  <printOptions horizontalCentered="1"/>
  <pageMargins left="0.3" right="0.3" top="0.45" bottom="0.4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2F5F8A"/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8" customWidth="1" min="3" max="3"/>
    <col width="24" customWidth="1" min="4" max="4"/>
    <col width="36" customWidth="1" min="5" max="5"/>
    <col width="50" customWidth="1" min="6" max="6"/>
    <col width="16" customWidth="1" min="7" max="7"/>
    <col width="12" customWidth="1" min="8" max="8"/>
  </cols>
  <sheetData>
    <row r="1" ht="44" customHeight="1">
      <c r="A1" s="28" t="inlineStr">
        <is>
          <t>06 · 待索取材料清单（12 项）</t>
        </is>
      </c>
    </row>
    <row r="2" ht="26" customHeight="1">
      <c r="A2" s="29" t="inlineStr">
        <is>
          <t>P0 拿不到，不进入打款与长协；话术可直接复制给业务员。勾选“状态”即为已获取。</t>
        </is>
      </c>
    </row>
    <row r="3" ht="20" customHeight="1">
      <c r="A3" s="30" t="inlineStr">
        <is>
          <t>报告编号 SV-2026-CN-TIO2-001    数据截止 2026-10-19    优先级：P0 必取 / P1 视场景 / P2 合规参考</t>
        </is>
      </c>
    </row>
    <row r="4" ht="32" customHeight="1">
      <c r="A4" s="31" t="inlineStr">
        <is>
          <t>编号</t>
        </is>
      </c>
      <c r="B4" s="31" t="inlineStr">
        <is>
          <t>材料</t>
        </is>
      </c>
      <c r="C4" s="31" t="inlineStr">
        <is>
          <t>优先级</t>
        </is>
      </c>
      <c r="D4" s="31" t="inlineStr">
        <is>
          <t>核验目的</t>
        </is>
      </c>
      <c r="E4" s="31" t="inlineStr">
        <is>
          <t>关键看点</t>
        </is>
      </c>
      <c r="F4" s="31" t="inlineStr">
        <is>
          <t>索取话术</t>
        </is>
      </c>
      <c r="G4" s="31" t="inlineStr">
        <is>
          <t>适用场景</t>
        </is>
      </c>
      <c r="H4" s="31" t="inlineStr">
        <is>
          <t>状态</t>
        </is>
      </c>
    </row>
    <row r="5" ht="47.59999999999999" customHeight="1">
      <c r="A5" s="43" t="inlineStr">
        <is>
          <t>M1</t>
        </is>
      </c>
      <c r="B5" s="58" t="inlineStr">
        <is>
          <t>排污许可证正本 + 副本（含主要生产设施页）</t>
        </is>
      </c>
      <c r="C5" s="74" t="inlineStr">
        <is>
          <t>P0</t>
        </is>
      </c>
      <c r="D5" s="34" t="inlineStr">
        <is>
          <t>确认“行业类别=颜料制造”及装置在证</t>
        </is>
      </c>
      <c r="E5" s="34" t="inlineStr">
        <is>
          <t>行业类别、主要生产设施、排放口、有效期、厂址</t>
        </is>
      </c>
      <c r="F5" s="34" t="inlineStr">
        <is>
          <t>麻烦提供贵司钛白粉装置的排污许可证正副本扫描件，重点要有“主要生产设施”和“排放口”那几页，我们核对行业类别和证载厂址。</t>
        </is>
      </c>
      <c r="G5" s="34" t="inlineStr">
        <is>
          <t>所有供应商</t>
        </is>
      </c>
      <c r="H5" s="32" t="inlineStr">
        <is>
          <t>未获取</t>
        </is>
      </c>
    </row>
    <row r="6" ht="33.4" customHeight="1">
      <c r="A6" s="48" t="inlineStr">
        <is>
          <t>M2</t>
        </is>
      </c>
      <c r="B6" s="61" t="inlineStr">
        <is>
          <t>钛白粉项目环评批复 + 竣工验收报告</t>
        </is>
      </c>
      <c r="C6" s="74" t="inlineStr">
        <is>
          <t>P0</t>
        </is>
      </c>
      <c r="D6" s="39" t="inlineStr">
        <is>
          <t>确认产品方案、产能与工艺路线</t>
        </is>
      </c>
      <c r="E6" s="39" t="inlineStr">
        <is>
          <t>产品为二氧化钛、产能万吨/年、硫酸法或氯化法</t>
        </is>
      </c>
      <c r="F6" s="39" t="inlineStr">
        <is>
          <t>请提供钛白粉项目的环评批复和竣工环保验收报告，产品方案、产能和工艺路线那几页即可。</t>
        </is>
      </c>
      <c r="G6" s="39" t="inlineStr">
        <is>
          <t>声称自产的供应商</t>
        </is>
      </c>
      <c r="H6" s="37" t="inlineStr">
        <is>
          <t>未获取</t>
        </is>
      </c>
    </row>
    <row r="7" ht="33.4" customHeight="1">
      <c r="A7" s="43" t="inlineStr">
        <is>
          <t>M3</t>
        </is>
      </c>
      <c r="B7" s="58" t="inlineStr">
        <is>
          <t>项目备案 / 产能置换 / 等量替代文件</t>
        </is>
      </c>
      <c r="C7" s="75" t="inlineStr">
        <is>
          <t>P1</t>
        </is>
      </c>
      <c r="D7" s="34" t="inlineStr">
        <is>
          <t>确认真实合规产能与项目主体</t>
        </is>
      </c>
      <c r="E7" s="34" t="inlineStr">
        <is>
          <t>备案主体、产能数字、置换或替代来源</t>
        </is>
      </c>
      <c r="F7" s="34" t="inlineStr">
        <is>
          <t>如果是技改或在建项目，请提供备案证或省级产能置换/等量替代公示链接。</t>
        </is>
      </c>
      <c r="G7" s="34" t="inlineStr">
        <is>
          <t>有技改/在建项目的企业</t>
        </is>
      </c>
      <c r="H7" s="32" t="inlineStr">
        <is>
          <t>未获取</t>
        </is>
      </c>
    </row>
    <row r="8" ht="33.4" customHeight="1">
      <c r="A8" s="48" t="inlineStr">
        <is>
          <t>M4</t>
        </is>
      </c>
      <c r="B8" s="61" t="inlineStr">
        <is>
          <t>近 3 个月出厂磅单 3—5 车</t>
        </is>
      </c>
      <c r="C8" s="74" t="inlineStr">
        <is>
          <t>P0</t>
        </is>
      </c>
      <c r="D8" s="39" t="inlineStr">
        <is>
          <t>验证真实发货与发货地</t>
        </is>
      </c>
      <c r="E8" s="39" t="inlineStr">
        <is>
          <t>车牌、日期、品名、净重、发货单位与地址</t>
        </is>
      </c>
      <c r="F8" s="39" t="inlineStr">
        <is>
          <t>随机给 3 车最近发货的磅单，能看清车牌、日期、净重和发货地就行。</t>
        </is>
      </c>
      <c r="G8" s="39" t="inlineStr">
        <is>
          <t>所有供应商</t>
        </is>
      </c>
      <c r="H8" s="37" t="inlineStr">
        <is>
          <t>未获取</t>
        </is>
      </c>
    </row>
    <row r="9" ht="33.4" customHeight="1">
      <c r="A9" s="43" t="inlineStr">
        <is>
          <t>M5</t>
        </is>
      </c>
      <c r="B9" s="58" t="inlineStr">
        <is>
          <t>批次质检报告（COA）</t>
        </is>
      </c>
      <c r="C9" s="74" t="inlineStr">
        <is>
          <t>P0</t>
        </is>
      </c>
      <c r="D9" s="34" t="inlineStr">
        <is>
          <t>确认产品规格与批次可追溯</t>
        </is>
      </c>
      <c r="E9" s="34" t="inlineStr">
        <is>
          <t>TiO₂ 含量、白度、吸油量、粒径、执行标准 GB/T 1706</t>
        </is>
      </c>
      <c r="F9" s="34" t="inlineStr">
        <is>
          <t>请提供拟供货批次的 COA，注明执行标准与批号，我们做第三方复检。</t>
        </is>
      </c>
      <c r="G9" s="34" t="inlineStr">
        <is>
          <t>所有供应商</t>
        </is>
      </c>
      <c r="H9" s="32" t="inlineStr">
        <is>
          <t>未获取</t>
        </is>
      </c>
    </row>
    <row r="10" ht="33.4" customHeight="1">
      <c r="A10" s="48" t="inlineStr">
        <is>
          <t>M6</t>
        </is>
      </c>
      <c r="B10" s="61" t="inlineStr">
        <is>
          <t>包装袋 / 合格证 / 喷码照片</t>
        </is>
      </c>
      <c r="C10" s="74" t="inlineStr">
        <is>
          <t>P0</t>
        </is>
      </c>
      <c r="D10" s="39" t="inlineStr">
        <is>
          <t>核对生产商名称与地址</t>
        </is>
      </c>
      <c r="E10" s="39" t="inlineStr">
        <is>
          <t>包装上“生产商”是否为目标企业、地址是否与许可一致</t>
        </is>
      </c>
      <c r="F10" s="39" t="inlineStr">
        <is>
          <t>拍一张完整包装袋正面和喷码位置，要能看清生产商名称、地址、执行标准和批号。</t>
        </is>
      </c>
      <c r="G10" s="39" t="inlineStr">
        <is>
          <t>所有供应商</t>
        </is>
      </c>
      <c r="H10" s="37" t="inlineStr">
        <is>
          <t>未获取</t>
        </is>
      </c>
    </row>
    <row r="11" ht="33.4" customHeight="1">
      <c r="A11" s="43" t="inlineStr">
        <is>
          <t>M7</t>
        </is>
      </c>
      <c r="B11" s="58" t="inlineStr">
        <is>
          <t>增值税发票样本</t>
        </is>
      </c>
      <c r="C11" s="74" t="inlineStr">
        <is>
          <t>P0</t>
        </is>
      </c>
      <c r="D11" s="34" t="inlineStr">
        <is>
          <t>确认销售主体=生产主体</t>
        </is>
      </c>
      <c r="E11" s="34" t="inlineStr">
        <is>
          <t>销售方名称、纳税人识别号、品名“钛白粉”、税率</t>
        </is>
      </c>
      <c r="F11" s="34" t="inlineStr">
        <is>
          <t>提供一张近期钛白粉发票的票样（可遮挡金额），我们核对销售方与生产商是否一致。</t>
        </is>
      </c>
      <c r="G11" s="34" t="inlineStr">
        <is>
          <t>所有供应商</t>
        </is>
      </c>
      <c r="H11" s="32" t="inlineStr">
        <is>
          <t>未获取</t>
        </is>
      </c>
    </row>
    <row r="12" ht="33.4" customHeight="1">
      <c r="A12" s="48" t="inlineStr">
        <is>
          <t>M8</t>
        </is>
      </c>
      <c r="B12" s="61" t="inlineStr">
        <is>
          <t>危险化学品经营/使用许可（硫酸、氯气）</t>
        </is>
      </c>
      <c r="C12" s="75" t="inlineStr">
        <is>
          <t>P1</t>
        </is>
      </c>
      <c r="D12" s="39" t="inlineStr">
        <is>
          <t>核对辅料合规，避免误当钛白粉生产证据</t>
        </is>
      </c>
      <c r="E12" s="39" t="inlineStr">
        <is>
          <t>许可范围是否含硫酸、氯气；与钛白粉产能无直接关系</t>
        </is>
      </c>
      <c r="F12" s="39" t="inlineStr">
        <is>
          <t>如果硫酸法装置涉及硫酸、氯气，请提供相应危化品许可；但请注意这不能替代钛白粉的排污许可。</t>
        </is>
      </c>
      <c r="G12" s="39" t="inlineStr">
        <is>
          <t>硫酸法生产企业</t>
        </is>
      </c>
      <c r="H12" s="37" t="inlineStr">
        <is>
          <t>未获取</t>
        </is>
      </c>
    </row>
    <row r="13" ht="33.4" customHeight="1">
      <c r="A13" s="43" t="inlineStr">
        <is>
          <t>M9</t>
        </is>
      </c>
      <c r="B13" s="58" t="inlineStr">
        <is>
          <t>出口/大客户供货证明</t>
        </is>
      </c>
      <c r="C13" s="75" t="inlineStr">
        <is>
          <t>P1</t>
        </is>
      </c>
      <c r="D13" s="34" t="inlineStr">
        <is>
          <t>交叉验证产能与市场地位</t>
        </is>
      </c>
      <c r="E13" s="34" t="inlineStr">
        <is>
          <t>海关记录、年度供货框架协议、客户验收报告</t>
        </is>
      </c>
      <c r="F13" s="34" t="inlineStr">
        <is>
          <t>如有出口或年度框架客户，请提供报关单或供货框架协议首页（可遮挡商业条款）。</t>
        </is>
      </c>
      <c r="G13" s="34" t="inlineStr">
        <is>
          <t>规模生产企业</t>
        </is>
      </c>
      <c r="H13" s="32" t="inlineStr">
        <is>
          <t>未获取</t>
        </is>
      </c>
    </row>
    <row r="14" ht="33.4" customHeight="1">
      <c r="A14" s="48" t="inlineStr">
        <is>
          <t>M10</t>
        </is>
      </c>
      <c r="B14" s="61" t="inlineStr">
        <is>
          <t>工艺路线说明与装置清单</t>
        </is>
      </c>
      <c r="C14" s="76" t="inlineStr">
        <is>
          <t>P2</t>
        </is>
      </c>
      <c r="D14" s="39" t="inlineStr">
        <is>
          <t>区分硫酸法与氯化法、判断装置完整性</t>
        </is>
      </c>
      <c r="E14" s="39" t="inlineStr">
        <is>
          <t>酸解/水解/煅烧/表面处理/包装是否齐全</t>
        </is>
      </c>
      <c r="F14" s="39" t="inlineStr">
        <is>
          <t>给一份装置清单或工艺流程图，标明酸解、水解、煅烧、表面处理和包装线。</t>
        </is>
      </c>
      <c r="G14" s="39" t="inlineStr">
        <is>
          <t>声称自产的供应商</t>
        </is>
      </c>
      <c r="H14" s="37" t="inlineStr">
        <is>
          <t>未获取</t>
        </is>
      </c>
    </row>
  </sheetData>
  <autoFilter ref="A4:H14"/>
  <mergeCells count="3">
    <mergeCell ref="A3:H3"/>
    <mergeCell ref="A2:H2"/>
    <mergeCell ref="A1:H1"/>
  </mergeCells>
  <conditionalFormatting sqref="H5:H20">
    <cfRule type="expression" priority="1" dxfId="0">
      <formula>$H5="已获取"</formula>
    </cfRule>
    <cfRule type="expression" priority="2" dxfId="4">
      <formula>$H5="未获取"</formula>
    </cfRule>
  </conditionalFormatting>
  <dataValidations count="1">
    <dataValidation sqref="H5:H20" showDropDown="0" showInputMessage="0" showErrorMessage="0" allowBlank="1" type="list">
      <formula1>"未获取,已获取,不适用"</formula1>
    </dataValidation>
  </dataValidations>
  <printOptions horizontalCentered="1"/>
  <pageMargins left="0.3" right="0.3" top="0.45" bottom="0.4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0F7B5F"/>
    <outlinePr summaryBelow="1" summaryRight="1"/>
    <pageSetUpPr fitToPage="1"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42" customWidth="1" min="4" max="4"/>
    <col width="40" customWidth="1" min="5" max="5"/>
    <col width="8" customWidth="1" min="6" max="6"/>
  </cols>
  <sheetData>
    <row r="1" ht="44" customHeight="1">
      <c r="A1" s="28" t="inlineStr">
        <is>
          <t>07 · 现场 / 视频验厂脚本</t>
        </is>
      </c>
    </row>
    <row r="2" ht="26" customHeight="1">
      <c r="A2" s="29" t="inlineStr">
        <is>
          <t>不预约、不剪辑、按顺序走：门牌 → 装置 → 原料 → 包装 → 地磅 → 中控 → 三废。</t>
        </is>
      </c>
    </row>
    <row r="3" ht="20" customHeight="1">
      <c r="A3" s="30" t="inlineStr">
        <is>
          <t>报告编号 SV-2026-CN-TIO2-001    数据截止 2026-10-19    建议全程录屏并保留时间戳</t>
        </is>
      </c>
    </row>
    <row r="4" ht="30" customHeight="1">
      <c r="A4" s="31" t="inlineStr">
        <is>
          <t>序号</t>
        </is>
      </c>
      <c r="B4" s="31" t="inlineStr">
        <is>
          <t>检查项</t>
        </is>
      </c>
      <c r="C4" s="31" t="inlineStr">
        <is>
          <t>核验方法</t>
        </is>
      </c>
      <c r="D4" s="31" t="inlineStr">
        <is>
          <t>合格标准</t>
        </is>
      </c>
      <c r="E4" s="31" t="inlineStr">
        <is>
          <t>常见造假信号</t>
        </is>
      </c>
      <c r="F4" s="31" t="inlineStr">
        <is>
          <t>权重</t>
        </is>
      </c>
    </row>
    <row r="5" ht="42" customHeight="1">
      <c r="A5" s="32" t="n">
        <v>1</v>
      </c>
      <c r="B5" s="58" t="inlineStr">
        <is>
          <t>厂址与门牌</t>
        </is>
      </c>
      <c r="C5" s="34" t="inlineStr">
        <is>
          <t>不预约，导航到注册地址，拍门牌、厂牌与周边道路</t>
        </is>
      </c>
      <c r="D5" s="34" t="inlineStr">
        <is>
          <t>门牌与营业执照/排污许可地址一致，厂区有生产装置轮廓</t>
        </is>
      </c>
      <c r="E5" s="77" t="inlineStr">
        <is>
          <t>地址为写字楼、园区共享办公、或仅仓库</t>
        </is>
      </c>
      <c r="F5" s="32" t="n">
        <v>10</v>
      </c>
    </row>
    <row r="6" ht="42" customHeight="1">
      <c r="A6" s="37" t="n">
        <v>2</v>
      </c>
      <c r="B6" s="61" t="inlineStr">
        <is>
          <t>酸解 / 水解车间</t>
        </is>
      </c>
      <c r="C6" s="39" t="inlineStr">
        <is>
          <t>要求看酸解罐、水解锅及配套尾气处理，允许拍铭牌</t>
        </is>
      </c>
      <c r="D6" s="39" t="inlineStr">
        <is>
          <t>有钛液酸解、水解工序与防腐地坪</t>
        </is>
      </c>
      <c r="E6" s="78" t="inlineStr">
        <is>
          <t>只让看包装线，称“车间涉密”</t>
        </is>
      </c>
      <c r="F6" s="37" t="n">
        <v>10</v>
      </c>
    </row>
    <row r="7" ht="42" customHeight="1">
      <c r="A7" s="32" t="n">
        <v>3</v>
      </c>
      <c r="B7" s="58" t="inlineStr">
        <is>
          <t>煅烧与表面处理</t>
        </is>
      </c>
      <c r="C7" s="34" t="inlineStr">
        <is>
          <t>看回转窑/煅烧炉、表面处理罐与压滤设备</t>
        </is>
      </c>
      <c r="D7" s="34" t="inlineStr">
        <is>
          <t>煅烧窑在运行，表面处理有锆/铝包膜工序</t>
        </is>
      </c>
      <c r="E7" s="77" t="inlineStr">
        <is>
          <t>无煅烧设备，仅有粉碎机与混合机</t>
        </is>
      </c>
      <c r="F7" s="32" t="n">
        <v>10</v>
      </c>
    </row>
    <row r="8" ht="42" customHeight="1">
      <c r="A8" s="37" t="n">
        <v>4</v>
      </c>
      <c r="B8" s="61" t="inlineStr">
        <is>
          <t>原料与罐区</t>
        </is>
      </c>
      <c r="C8" s="39" t="inlineStr">
        <is>
          <t>看钛矿/钛渣堆场、硫酸罐区与卸车记录</t>
        </is>
      </c>
      <c r="D8" s="39" t="inlineStr">
        <is>
          <t>有钛矿库存与硫酸卸车记录，量级与产能匹配</t>
        </is>
      </c>
      <c r="E8" s="78" t="inlineStr">
        <is>
          <t>无原料堆场，称“零库存直发”</t>
        </is>
      </c>
      <c r="F8" s="37" t="n">
        <v>10</v>
      </c>
    </row>
    <row r="9" ht="42" customHeight="1">
      <c r="A9" s="32" t="n">
        <v>5</v>
      </c>
      <c r="B9" s="58" t="inlineStr">
        <is>
          <t>包装与喷码</t>
        </is>
      </c>
      <c r="C9" s="34" t="inlineStr">
        <is>
          <t>随机抽一袋，核对喷码的生产商、批号与地址</t>
        </is>
      </c>
      <c r="D9" s="34" t="inlineStr">
        <is>
          <t>喷码生产商=受访企业，批号可追溯</t>
        </is>
      </c>
      <c r="E9" s="77" t="inlineStr">
        <is>
          <t>包装袋印别家厂名，或喷码缺失</t>
        </is>
      </c>
      <c r="F9" s="32" t="n">
        <v>10</v>
      </c>
    </row>
    <row r="10" ht="42" customHeight="1">
      <c r="A10" s="37" t="n">
        <v>6</v>
      </c>
      <c r="B10" s="61" t="inlineStr">
        <is>
          <t>地磅与磅单</t>
        </is>
      </c>
      <c r="C10" s="39" t="inlineStr">
        <is>
          <t>现场看地磅显示屏，随机调 3 车近期磅单</t>
        </is>
      </c>
      <c r="D10" s="39" t="inlineStr">
        <is>
          <t>磅单日期连续、车牌真实、发货单位为受访企业</t>
        </is>
      </c>
      <c r="E10" s="78" t="inlineStr">
        <is>
          <t>磅单为复印件、日期集中在同一天</t>
        </is>
      </c>
      <c r="F10" s="37" t="n">
        <v>10</v>
      </c>
    </row>
  </sheetData>
  <mergeCells count="3">
    <mergeCell ref="A3:F3"/>
    <mergeCell ref="A2:F2"/>
    <mergeCell ref="A1:F1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7" customWidth="1" min="4" max="4"/>
    <col width="7" customWidth="1" min="5" max="5"/>
    <col width="7" customWidth="1" min="6" max="6"/>
    <col width="40" customWidth="1" min="7" max="7"/>
    <col width="44" customWidth="1" min="8" max="8"/>
    <col width="9" customWidth="1" min="9" max="9"/>
  </cols>
  <sheetData>
    <row r="1" ht="44" customHeight="1">
      <c r="A1" s="28" t="inlineStr">
        <is>
          <t>08 · 3 个案例横向对照</t>
        </is>
      </c>
    </row>
    <row r="2" ht="26" customHeight="1">
      <c r="A2" s="29" t="inlineStr">
        <is>
          <t>同一套方法，不同的证据结构，落点自然不同：有的能定“厂家”，有的只能定“贸易”，有的必须留白。</t>
        </is>
      </c>
    </row>
    <row r="3" ht="20" customHeight="1">
      <c r="A3" s="30" t="inlineStr">
        <is>
          <t>报告编号 SV-2026-CN-TIO2-001    数据截止 2026-10-19</t>
        </is>
      </c>
    </row>
    <row r="4" ht="30" customHeight="1">
      <c r="A4" s="31" t="inlineStr">
        <is>
          <t>企业</t>
        </is>
      </c>
      <c r="B4" s="31" t="inlineStr">
        <is>
          <t>结论</t>
        </is>
      </c>
      <c r="C4" s="31" t="inlineStr">
        <is>
          <t>充分度</t>
        </is>
      </c>
      <c r="D4" s="31" t="inlineStr">
        <is>
          <t>直接</t>
        </is>
      </c>
      <c r="E4" s="31" t="inlineStr">
        <is>
          <t>间接</t>
        </is>
      </c>
      <c r="F4" s="31" t="inlineStr">
        <is>
          <t>排除</t>
        </is>
      </c>
      <c r="G4" s="31" t="inlineStr">
        <is>
          <t>关键硬证据</t>
        </is>
      </c>
      <c r="H4" s="31" t="inlineStr">
        <is>
          <t>关键缺口 / 下一步</t>
        </is>
      </c>
      <c r="I4" s="31" t="inlineStr">
        <is>
          <t>置信度</t>
        </is>
      </c>
    </row>
    <row r="5" ht="61.8" customHeight="1">
      <c r="A5" s="58" t="inlineStr">
        <is>
          <t>龙佰集团股份有限公司</t>
        </is>
      </c>
      <c r="B5" s="79" t="inlineStr">
        <is>
          <t>生产厂家</t>
        </is>
      </c>
      <c r="C5" s="80" t="n">
        <v>80</v>
      </c>
      <c r="D5" s="32" t="n">
        <v>4</v>
      </c>
      <c r="E5" s="32" t="n">
        <v>3</v>
      </c>
      <c r="F5" s="32" t="n">
        <v>4</v>
      </c>
      <c r="G5" s="34" t="inlineStr">
        <is>
          <t>公开产能 151 万吨/年，全球第一；2026 上半年实际生产 65.75 万吨；官网牌号体系与多基地布局</t>
        </is>
      </c>
      <c r="H5" s="34" t="inlineStr">
        <is>
          <t>先索取排污许可与环评核对“颜料制造”及分线产能，再视频验厂走酸解—水解—煅烧—表面处理—包装；合同写明“生产商=发票销售方=发货地”，并约定检修期保供。</t>
        </is>
      </c>
      <c r="I5" s="32" t="inlineStr">
        <is>
          <t>高</t>
        </is>
      </c>
    </row>
    <row r="6" ht="47.59999999999999" customHeight="1">
      <c r="A6" s="61" t="inlineStr">
        <is>
          <t>某钛白粉贸易有限公司（脱敏样例）</t>
        </is>
      </c>
      <c r="B6" s="81" t="inlineStr">
        <is>
          <t>贸易经销</t>
        </is>
      </c>
      <c r="C6" s="82" t="n">
        <v>20</v>
      </c>
      <c r="D6" s="37" t="n">
        <v>0</v>
      </c>
      <c r="E6" s="37" t="n">
        <v>3</v>
      </c>
      <c r="F6" s="37" t="n">
        <v>4</v>
      </c>
      <c r="G6" s="39" t="inlineStr">
        <is>
          <t>无（0 条直接生产证据）</t>
        </is>
      </c>
      <c r="H6" s="39" t="inlineStr">
        <is>
          <t>可以按分销商合作，但合同必须写明“实际生产商”，附授权链；要求发票由生产厂直开或提供完整背靠背链条。</t>
        </is>
      </c>
      <c r="I6" s="37" t="inlineStr">
        <is>
          <t>中高</t>
        </is>
      </c>
    </row>
    <row r="7" ht="47.59999999999999" customHeight="1">
      <c r="A7" s="58" t="inlineStr">
        <is>
          <t>某“厂家直销”供应商（脱敏样例）</t>
        </is>
      </c>
      <c r="B7" s="83" t="inlineStr">
        <is>
          <t>证据不足暂无法确认</t>
        </is>
      </c>
      <c r="C7" s="80" t="n">
        <v>9</v>
      </c>
      <c r="D7" s="32" t="n">
        <v>0</v>
      </c>
      <c r="E7" s="32" t="n">
        <v>1</v>
      </c>
      <c r="F7" s="32" t="n">
        <v>3</v>
      </c>
      <c r="G7" s="34" t="inlineStr">
        <is>
          <t>无（0 条直接生产证据）</t>
        </is>
      </c>
      <c r="H7" s="34" t="inlineStr">
        <is>
          <t>先按“未认证供应商”处理：不预付、不做长协；补齐 P0 材料后再复核，或直接转向已核验的钛白粉厂/授权经销商。</t>
        </is>
      </c>
      <c r="I7" s="32" t="inlineStr">
        <is>
          <t>低</t>
        </is>
      </c>
    </row>
  </sheetData>
  <mergeCells count="3">
    <mergeCell ref="A1:I1"/>
    <mergeCell ref="A3:I3"/>
    <mergeCell ref="A2:I2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2" customWidth="1" min="3" max="3"/>
    <col width="55" customWidth="1" min="4" max="4"/>
    <col width="50" customWidth="1" min="5" max="5"/>
    <col width="12" customWidth="1" min="6" max="6"/>
  </cols>
  <sheetData>
    <row r="1" ht="44" customHeight="1">
      <c r="A1" s="28" t="inlineStr">
        <is>
          <t>09 · 数据来源与可复核性</t>
        </is>
      </c>
    </row>
    <row r="2" ht="26" customHeight="1">
      <c r="A2" s="29" t="inlineStr">
        <is>
          <t>只采信可公开复核的来源；企业官网信息标注为“自述”，须与许可/公告/交易所文件交叉。</t>
        </is>
      </c>
    </row>
    <row r="3" ht="20" customHeight="1">
      <c r="A3" s="30" t="inlineStr">
        <is>
          <t>报告编号 SV-2026-CN-TIO2-001    数据截止 2026-10-19    链接失效时，可按“机构 + 标题 + 日期”二次检索</t>
        </is>
      </c>
    </row>
    <row r="4" ht="30" customHeight="1">
      <c r="A4" s="31" t="inlineStr">
        <is>
          <t>编号</t>
        </is>
      </c>
      <c r="B4" s="31" t="inlineStr">
        <is>
          <t>来源</t>
        </is>
      </c>
      <c r="C4" s="31" t="inlineStr">
        <is>
          <t>类型</t>
        </is>
      </c>
      <c r="D4" s="31" t="inlineStr">
        <is>
          <t>链接</t>
        </is>
      </c>
      <c r="E4" s="31" t="inlineStr">
        <is>
          <t>引用内容</t>
        </is>
      </c>
      <c r="F4" s="31" t="inlineStr">
        <is>
          <t>访问日期</t>
        </is>
      </c>
    </row>
    <row r="5" ht="33.4" customHeight="1">
      <c r="A5" s="43" t="inlineStr">
        <is>
          <t>id</t>
        </is>
      </c>
      <c r="B5" s="34" t="inlineStr">
        <is>
          <t>source</t>
        </is>
      </c>
      <c r="C5" s="32" t="inlineStr">
        <is>
          <t>type</t>
        </is>
      </c>
      <c r="D5" s="84" t="inlineStr">
        <is>
          <t>url</t>
        </is>
      </c>
      <c r="E5" s="34" t="inlineStr">
        <is>
          <t>quote</t>
        </is>
      </c>
      <c r="F5" s="32" t="inlineStr">
        <is>
          <t>2026-10-19</t>
        </is>
      </c>
    </row>
    <row r="6" ht="33.4" customHeight="1">
      <c r="A6" s="48" t="inlineStr">
        <is>
          <t>id</t>
        </is>
      </c>
      <c r="B6" s="39" t="inlineStr">
        <is>
          <t>source</t>
        </is>
      </c>
      <c r="C6" s="37" t="inlineStr">
        <is>
          <t>type</t>
        </is>
      </c>
      <c r="D6" s="85" t="inlineStr">
        <is>
          <t>url</t>
        </is>
      </c>
      <c r="E6" s="39" t="inlineStr">
        <is>
          <t>quote</t>
        </is>
      </c>
      <c r="F6" s="37" t="inlineStr">
        <is>
          <t>2026-10-19</t>
        </is>
      </c>
    </row>
    <row r="7" ht="33.4" customHeight="1">
      <c r="A7" s="43" t="inlineStr">
        <is>
          <t>id</t>
        </is>
      </c>
      <c r="B7" s="34" t="inlineStr">
        <is>
          <t>source</t>
        </is>
      </c>
      <c r="C7" s="32" t="inlineStr">
        <is>
          <t>type</t>
        </is>
      </c>
      <c r="D7" s="84" t="inlineStr">
        <is>
          <t>url</t>
        </is>
      </c>
      <c r="E7" s="34" t="inlineStr">
        <is>
          <t>quote</t>
        </is>
      </c>
      <c r="F7" s="32" t="inlineStr">
        <is>
          <t>2026-10-19</t>
        </is>
      </c>
    </row>
    <row r="8" ht="33.4" customHeight="1">
      <c r="A8" s="48" t="inlineStr">
        <is>
          <t>id</t>
        </is>
      </c>
      <c r="B8" s="39" t="inlineStr">
        <is>
          <t>source</t>
        </is>
      </c>
      <c r="C8" s="37" t="inlineStr">
        <is>
          <t>type</t>
        </is>
      </c>
      <c r="D8" s="85" t="inlineStr">
        <is>
          <t>url</t>
        </is>
      </c>
      <c r="E8" s="39" t="inlineStr">
        <is>
          <t>quote</t>
        </is>
      </c>
      <c r="F8" s="37" t="inlineStr">
        <is>
          <t>2026-10-19</t>
        </is>
      </c>
    </row>
    <row r="9" ht="33.4" customHeight="1">
      <c r="A9" s="43" t="inlineStr">
        <is>
          <t>id</t>
        </is>
      </c>
      <c r="B9" s="34" t="inlineStr">
        <is>
          <t>source</t>
        </is>
      </c>
      <c r="C9" s="32" t="inlineStr">
        <is>
          <t>type</t>
        </is>
      </c>
      <c r="D9" s="84" t="inlineStr">
        <is>
          <t>url</t>
        </is>
      </c>
      <c r="E9" s="34" t="inlineStr">
        <is>
          <t>quote</t>
        </is>
      </c>
      <c r="F9" s="32" t="inlineStr">
        <is>
          <t>2026-10-19</t>
        </is>
      </c>
    </row>
    <row r="10" ht="33.4" customHeight="1">
      <c r="A10" s="48" t="inlineStr">
        <is>
          <t>id</t>
        </is>
      </c>
      <c r="B10" s="39" t="inlineStr">
        <is>
          <t>source</t>
        </is>
      </c>
      <c r="C10" s="37" t="inlineStr">
        <is>
          <t>type</t>
        </is>
      </c>
      <c r="D10" s="85" t="inlineStr">
        <is>
          <t>url</t>
        </is>
      </c>
      <c r="E10" s="39" t="inlineStr">
        <is>
          <t>quote</t>
        </is>
      </c>
      <c r="F10" s="37" t="inlineStr">
        <is>
          <t>2026-10-19</t>
        </is>
      </c>
    </row>
  </sheetData>
  <autoFilter ref="A4:F10"/>
  <mergeCells count="3">
    <mergeCell ref="A3:F3"/>
    <mergeCell ref="A2:F2"/>
    <mergeCell ref="A1:F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</hyperlinks>
  <printOptions horizontalCentered="1"/>
  <pageMargins left="0.3" right="0.3" top="0.45" bottom="0.4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DSH 供应商核验台</dc:creator>
  <dc:title xmlns:dc="http://purl.org/dc/elements/1.1/">钛白粉供应商真伪核验工作簿</dc:title>
  <dc:description xmlns:dc="http://purl.org/dc/elements/1.1/">龙佰集团、贸易样例、证据不足样例</dc:description>
  <dc:subject xmlns:dc="http://purl.org/dc/elements/1.1/">供应商验厂 / 生产证据三分法</dc:subject>
  <dcterms:created xmlns:dcterms="http://purl.org/dc/terms/" xmlns:xsi="http://www.w3.org/2001/XMLSchema-instance" xsi:type="dcterms:W3CDTF">2026-10-19T06:49:33Z</dcterms:created>
  <dcterms:modified xmlns:dcterms="http://purl.org/dc/terms/" xmlns:xsi="http://www.w3.org/2001/XMLSchema-instance" xsi:type="dcterms:W3CDTF">2026-10-19T06:49:33Z</dcterms:modified>
</cp:coreProperties>
</file>
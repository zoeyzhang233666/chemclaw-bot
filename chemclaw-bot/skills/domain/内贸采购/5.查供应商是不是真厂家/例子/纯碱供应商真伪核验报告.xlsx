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核验总表" sheetId="2" state="visible" r:id="rId2"/>
    <sheet xmlns:r="http://schemas.openxmlformats.org/officeDocument/2006/relationships" name="02_直接生产证据" sheetId="3" state="visible" r:id="rId3"/>
    <sheet xmlns:r="http://schemas.openxmlformats.org/officeDocument/2006/relationships" name="03_间接业务证据" sheetId="4" state="visible" r:id="rId4"/>
    <sheet xmlns:r="http://schemas.openxmlformats.org/officeDocument/2006/relationships" name="04_不构成证据" sheetId="5" state="visible" r:id="rId5"/>
    <sheet xmlns:r="http://schemas.openxmlformats.org/officeDocument/2006/relationships" name="05_评分模型" sheetId="6" state="visible" r:id="rId6"/>
    <sheet xmlns:r="http://schemas.openxmlformats.org/officeDocument/2006/relationships" name="06_待索取材料" sheetId="7" state="visible" r:id="rId7"/>
    <sheet xmlns:r="http://schemas.openxmlformats.org/officeDocument/2006/relationships" name="07_现场验厂" sheetId="8" state="visible" r:id="rId8"/>
    <sheet xmlns:r="http://schemas.openxmlformats.org/officeDocument/2006/relationships" name="08_案例对照" sheetId="9" state="visible" r:id="rId9"/>
    <sheet xmlns:r="http://schemas.openxmlformats.org/officeDocument/2006/relationships" name="09_数据来源" sheetId="10" state="visible" r:id="rId10"/>
  </sheets>
  <definedNames>
    <definedName name="_xlnm._FilterDatabase" localSheetId="1" hidden="1">'01_核验总表'!$A$4:$O$9</definedName>
    <definedName name="_xlnm.Print_Titles" localSheetId="1">'01_核验总表'!$4:$4</definedName>
    <definedName name="_xlnm._FilterDatabase" localSheetId="2" hidden="1">'02_直接生产证据'!$A$4:$K$15</definedName>
    <definedName name="_xlnm.Print_Titles" localSheetId="2">'02_直接生产证据'!$4:$4</definedName>
    <definedName name="_xlnm._FilterDatabase" localSheetId="3" hidden="1">'03_间接业务证据'!$A$4:$K$21</definedName>
    <definedName name="_xlnm.Print_Titles" localSheetId="3">'03_间接业务证据'!$4:$4</definedName>
    <definedName name="_xlnm._FilterDatabase" localSheetId="4" hidden="1">'04_不构成证据'!$A$4:$F$22</definedName>
    <definedName name="_xlnm.Print_Titles" localSheetId="4">'04_不构成证据'!$4:$4</definedName>
    <definedName name="_xlnm.Print_Titles" localSheetId="5">'05_评分模型'!$4:$4</definedName>
    <definedName name="_xlnm._FilterDatabase" localSheetId="6" hidden="1">'06_待索取材料'!$A$4:$H$16</definedName>
    <definedName name="_xlnm.Print_Titles" localSheetId="6">'06_待索取材料'!$4:$4</definedName>
    <definedName name="_xlnm.Print_Titles" localSheetId="7">'07_现场验厂'!$4:$4</definedName>
    <definedName name="_xlnm.Print_Titles" localSheetId="8">'08_案例对照'!$4:$4</definedName>
    <definedName name="_xlnm._FilterDatabase" localSheetId="9" hidden="1">'09_数据来源'!$A$4:$F$18</definedName>
    <definedName name="_xlnm.Print_Titles" localSheetId="9">'09_数据来源'!$4:$4</definedName>
  </definedNames>
  <calcPr calcId="124519" fullCalcOnLoad="1"/>
</workbook>
</file>

<file path=xl/styles.xml><?xml version="1.0" encoding="utf-8"?>
<styleSheet xmlns="http://schemas.openxmlformats.org/spreadsheetml/2006/main">
  <numFmts count="0"/>
  <fonts count="59">
    <font>
      <name val="Calibri"/>
      <family val="2"/>
      <color theme="1"/>
      <sz val="11"/>
      <scheme val="minor"/>
    </font>
    <font>
      <name val="微软雅黑"/>
      <b val="1"/>
      <color rgb="00FFFFFF"/>
      <sz val="22"/>
    </font>
    <font>
      <name val="微软雅黑"/>
      <color rgb="00334155"/>
      <sz val="11"/>
    </font>
    <font>
      <name val="Consolas"/>
      <color rgb="0094A3B8"/>
      <sz val="9"/>
    </font>
    <font>
      <name val="微软雅黑"/>
      <b val="1"/>
      <color rgb="000B1F33"/>
      <sz val="12"/>
    </font>
    <font>
      <name val="微软雅黑"/>
      <color rgb="00334155"/>
      <sz val="9.6"/>
    </font>
    <font>
      <name val="Consolas"/>
      <b val="1"/>
      <color rgb="00B8892B"/>
      <sz val="10"/>
    </font>
    <font>
      <name val="微软雅黑"/>
      <b val="1"/>
      <color rgb="000F7B5F"/>
      <sz val="10"/>
    </font>
    <font>
      <name val="微软雅黑"/>
      <color rgb="00334155"/>
      <sz val="9.4"/>
    </font>
    <font>
      <name val="微软雅黑"/>
      <color rgb="00475569"/>
      <sz val="9.199999999999999"/>
    </font>
    <font>
      <name val="微软雅黑"/>
      <b val="1"/>
      <color rgb="0016324F"/>
      <sz val="10"/>
    </font>
    <font>
      <name val="微软雅黑"/>
      <b val="1"/>
      <color rgb="0094A3B8"/>
      <sz val="10"/>
    </font>
    <font>
      <name val="微软雅黑"/>
      <b val="1"/>
      <color rgb="00FFFFFF"/>
      <sz val="9"/>
    </font>
    <font>
      <name val="Consolas"/>
      <b val="1"/>
      <color rgb="00B8892B"/>
      <sz val="9"/>
    </font>
    <font>
      <name val="微软雅黑"/>
      <b val="1"/>
      <color rgb="0016283C"/>
      <sz val="9.199999999999999"/>
    </font>
    <font>
      <name val="微软雅黑"/>
      <color rgb="00475569"/>
      <sz val="9"/>
    </font>
    <font>
      <name val="微软雅黑"/>
      <color rgb="00334155"/>
      <sz val="9"/>
    </font>
    <font>
      <name val="微软雅黑"/>
      <b val="1"/>
      <color rgb="000F7B5F"/>
      <sz val="9.4"/>
    </font>
    <font>
      <name val="微软雅黑"/>
      <color rgb="00475569"/>
      <sz val="8.800000000000001"/>
    </font>
    <font>
      <name val="微软雅黑"/>
      <b val="1"/>
      <color rgb="00B7791F"/>
      <sz val="9.4"/>
    </font>
    <font>
      <name val="微软雅黑"/>
      <b val="1"/>
      <color rgb="00B23A2E"/>
      <sz val="9.4"/>
    </font>
    <font>
      <name val="微软雅黑"/>
      <b val="1"/>
      <color rgb="00475569"/>
      <sz val="9.4"/>
    </font>
    <font>
      <name val="微软雅黑"/>
      <color rgb="0094A3B8"/>
      <sz val="8.800000000000001"/>
    </font>
    <font>
      <name val="微软雅黑"/>
      <b val="1"/>
      <color rgb="00FFFFFF"/>
      <sz val="18"/>
    </font>
    <font>
      <name val="微软雅黑"/>
      <color rgb="00475569"/>
      <sz val="10.5"/>
    </font>
    <font>
      <name val="微软雅黑"/>
      <b val="1"/>
      <color rgb="00FFFFFF"/>
      <sz val="9.5"/>
    </font>
    <font>
      <name val="微软雅黑"/>
      <color rgb="0016283C"/>
      <sz val="9.199999999999999"/>
    </font>
    <font>
      <name val="微软雅黑"/>
      <b val="1"/>
      <color rgb="000F7B5F"/>
      <sz val="9.199999999999999"/>
    </font>
    <font>
      <name val="微软雅黑"/>
      <b val="1"/>
      <color rgb="0016283C"/>
      <sz val="9.4"/>
    </font>
    <font>
      <name val="Consolas"/>
      <b val="1"/>
      <color rgb="000B1F33"/>
      <sz val="11"/>
    </font>
    <font>
      <name val="微软雅黑"/>
      <b val="1"/>
      <color rgb="00B23A2E"/>
      <sz val="9.199999999999999"/>
    </font>
    <font>
      <name val="微软雅黑"/>
      <b val="1"/>
      <color rgb="00B7791F"/>
      <sz val="9.199999999999999"/>
    </font>
    <font>
      <name val="微软雅黑"/>
      <b val="1"/>
      <color rgb="00475569"/>
      <sz val="9.199999999999999"/>
    </font>
    <font>
      <name val="微软雅黑"/>
      <b val="1"/>
      <color rgb="000F7B5F"/>
      <sz val="8.6"/>
    </font>
    <font>
      <name val="Consolas"/>
      <b val="1"/>
      <color rgb="000B1F33"/>
      <sz val="9"/>
    </font>
    <font>
      <name val="Consolas"/>
      <color rgb="000F5C8C"/>
      <sz val="8"/>
      <u val="single"/>
    </font>
    <font>
      <name val="微软雅黑"/>
      <color rgb="00475569"/>
      <sz val="8.6"/>
    </font>
    <font>
      <name val="微软雅黑"/>
      <b val="1"/>
      <color rgb="00B7791F"/>
      <sz val="8.6"/>
    </font>
    <font>
      <name val="微软雅黑"/>
      <b val="1"/>
      <color rgb="0064748B"/>
      <sz val="8.6"/>
    </font>
    <font>
      <name val="Consolas"/>
      <b val="1"/>
      <color rgb="0094A3B8"/>
      <sz val="9"/>
    </font>
    <font>
      <name val="Consolas"/>
      <color rgb="0016283C"/>
      <sz val="10.5"/>
    </font>
    <font>
      <name val="Consolas"/>
      <color rgb="0064748B"/>
      <sz val="9.5"/>
    </font>
    <font>
      <name val="微软雅黑"/>
      <b val="1"/>
      <color rgb="000B1F33"/>
      <sz val="10"/>
    </font>
    <font>
      <name val="Consolas"/>
      <b val="1"/>
      <color rgb="000B1F33"/>
      <sz val="12"/>
    </font>
    <font>
      <name val="微软雅黑"/>
      <b val="1"/>
      <color rgb="000F7B5F"/>
      <sz val="8.800000000000001"/>
    </font>
    <font>
      <name val="微软雅黑"/>
      <b val="1"/>
      <color rgb="00B23A2E"/>
      <sz val="8.800000000000001"/>
    </font>
    <font>
      <name val="微软雅黑"/>
      <b val="1"/>
      <color rgb="00B7791F"/>
      <sz val="8.800000000000001"/>
    </font>
    <font>
      <name val="微软雅黑"/>
      <b val="1"/>
      <color rgb="00475569"/>
      <sz val="8.800000000000001"/>
    </font>
    <font>
      <name val="微软雅黑"/>
      <b val="1"/>
      <color rgb="000B1F33"/>
      <sz val="9"/>
    </font>
    <font>
      <name val="微软雅黑"/>
      <b val="1"/>
      <color rgb="00B8892B"/>
      <sz val="9.5"/>
    </font>
    <font>
      <name val="Consolas"/>
      <b val="1"/>
      <color rgb="00B23A2E"/>
      <sz val="9.5"/>
    </font>
    <font>
      <name val="Consolas"/>
      <b val="1"/>
      <color rgb="00B7791F"/>
      <sz val="9.5"/>
    </font>
    <font>
      <name val="Consolas"/>
      <b val="1"/>
      <color rgb="0064748B"/>
      <sz val="9.5"/>
    </font>
    <font>
      <name val="微软雅黑"/>
      <color rgb="00B23A2E"/>
      <sz val="8.800000000000001"/>
    </font>
    <font>
      <name val="微软雅黑"/>
      <b val="1"/>
      <color rgb="000F7B5F"/>
      <sz val="9"/>
    </font>
    <font>
      <name val="微软雅黑"/>
      <b val="1"/>
      <color rgb="00B23A2E"/>
      <sz val="9"/>
    </font>
    <font>
      <name val="微软雅黑"/>
      <b val="1"/>
      <color rgb="00B7791F"/>
      <sz val="9"/>
    </font>
    <font>
      <name val="微软雅黑"/>
      <b val="1"/>
      <color rgb="00475569"/>
      <sz val="9"/>
    </font>
    <font>
      <name val="Consolas"/>
      <color rgb="000F5C8C"/>
      <sz val="7.8"/>
      <u val="single"/>
    </font>
  </fonts>
  <fills count="12">
    <fill>
      <patternFill/>
    </fill>
    <fill>
      <patternFill patternType="gray125"/>
    </fill>
    <fill>
      <patternFill patternType="solid">
        <fgColor rgb="000B1F33"/>
        <bgColor rgb="000B1F33"/>
      </patternFill>
    </fill>
    <fill>
      <patternFill patternType="solid">
        <fgColor rgb="00FBF4E4"/>
        <bgColor rgb="00FBF4E4"/>
      </patternFill>
    </fill>
    <fill>
      <patternFill patternType="solid">
        <fgColor rgb="00FBFCFD"/>
        <bgColor rgb="00FBFCFD"/>
      </patternFill>
    </fill>
    <fill>
      <patternFill patternType="solid">
        <fgColor rgb="0016324F"/>
        <bgColor rgb="0016324F"/>
      </patternFill>
    </fill>
    <fill>
      <patternFill patternType="solid">
        <fgColor rgb="00EAF6F1"/>
        <bgColor rgb="00EAF6F1"/>
      </patternFill>
    </fill>
    <fill>
      <patternFill patternType="solid">
        <fgColor rgb="00FDF4E3"/>
        <bgColor rgb="00FDF4E3"/>
      </patternFill>
    </fill>
    <fill>
      <patternFill patternType="solid">
        <fgColor rgb="00FBEDEA"/>
        <bgColor rgb="00FBEDEA"/>
      </patternFill>
    </fill>
    <fill>
      <patternFill patternType="solid">
        <fgColor rgb="00F2F5F8"/>
        <bgColor rgb="00F2F5F8"/>
      </patternFill>
    </fill>
    <fill>
      <patternFill patternType="solid">
        <fgColor rgb="00FFFFFF"/>
        <bgColor rgb="00FFFFFF"/>
      </patternFill>
    </fill>
    <fill>
      <patternFill patternType="solid">
        <fgColor rgb="00F7F9FB"/>
        <bgColor rgb="00F7F9FB"/>
      </patternFill>
    </fill>
  </fills>
  <borders count="6">
    <border>
      <left/>
      <right/>
      <top/>
      <bottom/>
      <diagonal/>
    </border>
    <border>
      <left style="thin">
        <color rgb="00E1E7ED"/>
      </left>
      <right style="thin">
        <color rgb="00E1E7ED"/>
      </right>
      <top style="thin">
        <color rgb="00E1E7ED"/>
      </top>
      <bottom style="thin">
        <color rgb="00E1E7ED"/>
      </bottom>
    </border>
    <border>
      <left/>
      <right/>
      <top style="thin">
        <color rgb="00E1E7ED"/>
      </top>
      <bottom/>
      <diagonal/>
    </border>
    <border>
      <left/>
      <right style="thin">
        <color rgb="00E1E7ED"/>
      </right>
      <top style="thin">
        <color rgb="00E1E7ED"/>
      </top>
      <bottom/>
      <diagonal/>
    </border>
    <border>
      <left/>
      <right/>
      <top style="thin">
        <color rgb="00E1E7ED"/>
      </top>
      <bottom style="thin">
        <color rgb="00E1E7ED"/>
      </bottom>
      <diagonal/>
    </border>
    <border>
      <left/>
      <right style="thin">
        <color rgb="00E1E7ED"/>
      </right>
      <top style="thin">
        <color rgb="00E1E7ED"/>
      </top>
      <bottom style="thin">
        <color rgb="00E1E7ED"/>
      </bottom>
      <diagonal/>
    </border>
  </borders>
  <cellStyleXfs count="1">
    <xf numFmtId="0" fontId="0" fillId="0" borderId="0"/>
  </cellStyleXfs>
  <cellXfs count="8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0" borderId="0" applyAlignment="1" pivotButton="0" quotePrefix="0" xfId="0">
      <alignment horizontal="left" vertical="center" indent="1"/>
    </xf>
    <xf numFmtId="0" fontId="4" fillId="3" borderId="0" applyAlignment="1" pivotButton="0" quotePrefix="0" xfId="0">
      <alignment horizontal="left" vertical="center" indent="1"/>
    </xf>
    <xf numFmtId="0" fontId="5" fillId="0" borderId="0" applyAlignment="1" pivotButton="0" quotePrefix="0" xfId="0">
      <alignment horizontal="left" vertical="top" wrapText="1" indent="1"/>
    </xf>
    <xf numFmtId="0" fontId="6" fillId="0" borderId="0" applyAlignment="1" pivotButton="0" quotePrefix="0" xfId="0">
      <alignment horizontal="left" vertical="top" indent="1"/>
    </xf>
    <xf numFmtId="0" fontId="0" fillId="4" borderId="1" pivotButton="0" quotePrefix="0" xfId="0"/>
    <xf numFmtId="0" fontId="7" fillId="4" borderId="1" applyAlignment="1" pivotButton="0" quotePrefix="0" xfId="0">
      <alignment horizontal="left" vertical="center" wrapText="1"/>
    </xf>
    <xf numFmtId="0" fontId="8" fillId="4"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11" fillId="4" borderId="1" applyAlignment="1" pivotButton="0" quotePrefix="0" xfId="0">
      <alignment horizontal="left" vertical="center" wrapText="1"/>
    </xf>
    <xf numFmtId="0" fontId="12" fillId="5"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1" pivotButton="0" quotePrefix="0" xfId="0"/>
    <xf numFmtId="0" fontId="13"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center" wrapText="1"/>
    </xf>
    <xf numFmtId="0" fontId="16" fillId="0" borderId="1" applyAlignment="1" pivotButton="0" quotePrefix="0" xfId="0">
      <alignment horizontal="center" vertical="center" wrapText="1"/>
    </xf>
    <xf numFmtId="0" fontId="17" fillId="6" borderId="1" applyAlignment="1" pivotButton="0" quotePrefix="0" xfId="0">
      <alignment horizontal="center" vertical="center" wrapText="1"/>
    </xf>
    <xf numFmtId="0" fontId="16" fillId="0" borderId="1" applyAlignment="1" pivotButton="0" quotePrefix="0" xfId="0">
      <alignment horizontal="left" vertical="center" wrapText="1"/>
    </xf>
    <xf numFmtId="0" fontId="18" fillId="0" borderId="1" applyAlignment="1" pivotButton="0" quotePrefix="0" xfId="0">
      <alignment horizontal="left" vertical="center" wrapText="1"/>
    </xf>
    <xf numFmtId="0" fontId="19" fillId="7" borderId="1" applyAlignment="1" pivotButton="0" quotePrefix="0" xfId="0">
      <alignment horizontal="center" vertical="center" wrapText="1"/>
    </xf>
    <xf numFmtId="0" fontId="20" fillId="8" borderId="1" applyAlignment="1" pivotButton="0" quotePrefix="0" xfId="0">
      <alignment horizontal="center" vertical="center" wrapText="1"/>
    </xf>
    <xf numFmtId="0" fontId="21" fillId="9" borderId="1" applyAlignment="1" pivotButton="0" quotePrefix="0" xfId="0">
      <alignment horizontal="center" vertical="center" wrapText="1"/>
    </xf>
    <xf numFmtId="0" fontId="22" fillId="0" borderId="0" applyAlignment="1" pivotButton="0" quotePrefix="0" xfId="0">
      <alignment horizontal="left" vertical="center" wrapText="1" indent="1"/>
    </xf>
    <xf numFmtId="0" fontId="23" fillId="2" borderId="0" applyAlignment="1" pivotButton="0" quotePrefix="0" xfId="0">
      <alignment horizontal="left" vertical="center" indent="1"/>
    </xf>
    <xf numFmtId="0" fontId="24" fillId="10" borderId="0" applyAlignment="1" pivotButton="0" quotePrefix="0" xfId="0">
      <alignment horizontal="left" vertical="center" indent="1"/>
    </xf>
    <xf numFmtId="0" fontId="3" fillId="10" borderId="0" applyAlignment="1" pivotButton="0" quotePrefix="0" xfId="0">
      <alignment horizontal="left" vertical="center" indent="1"/>
    </xf>
    <xf numFmtId="0" fontId="25" fillId="5" borderId="1" applyAlignment="1" pivotButton="0" quotePrefix="0" xfId="0">
      <alignment horizontal="center" vertical="center" wrapText="1"/>
    </xf>
    <xf numFmtId="0" fontId="26" fillId="0" borderId="1" applyAlignment="1" pivotButton="0" quotePrefix="0" xfId="0">
      <alignment horizontal="center" vertical="center" wrapText="1"/>
    </xf>
    <xf numFmtId="0" fontId="28" fillId="0" borderId="1" applyAlignment="1" pivotButton="0" quotePrefix="0" xfId="0">
      <alignment horizontal="left" vertical="top" wrapText="1"/>
    </xf>
    <xf numFmtId="0" fontId="26" fillId="0" borderId="1" applyAlignment="1" pivotButton="0" quotePrefix="0" xfId="0">
      <alignment horizontal="left" vertical="top" wrapText="1"/>
    </xf>
    <xf numFmtId="0" fontId="27" fillId="6" borderId="1" applyAlignment="1" pivotButton="0" quotePrefix="0" xfId="0">
      <alignment horizontal="center" vertical="center" wrapText="1"/>
    </xf>
    <xf numFmtId="0" fontId="29" fillId="0" borderId="1" applyAlignment="1" pivotButton="0" quotePrefix="0" xfId="0">
      <alignment horizontal="center" vertical="center" wrapText="1"/>
    </xf>
    <xf numFmtId="0" fontId="26" fillId="11" borderId="1" applyAlignment="1" pivotButton="0" quotePrefix="0" xfId="0">
      <alignment horizontal="center" vertical="center" wrapText="1"/>
    </xf>
    <xf numFmtId="0" fontId="28" fillId="11" borderId="1" applyAlignment="1" pivotButton="0" quotePrefix="0" xfId="0">
      <alignment horizontal="left" vertical="top" wrapText="1"/>
    </xf>
    <xf numFmtId="0" fontId="26" fillId="11" borderId="1" applyAlignment="1" pivotButton="0" quotePrefix="0" xfId="0">
      <alignment horizontal="left" vertical="top" wrapText="1"/>
    </xf>
    <xf numFmtId="0" fontId="29" fillId="11" borderId="1" applyAlignment="1" pivotButton="0" quotePrefix="0" xfId="0">
      <alignment horizontal="center" vertical="center" wrapText="1"/>
    </xf>
    <xf numFmtId="0" fontId="30" fillId="8" borderId="1" applyAlignment="1" pivotButton="0" quotePrefix="0" xfId="0">
      <alignment horizontal="center" vertical="center" wrapText="1"/>
    </xf>
    <xf numFmtId="0" fontId="31" fillId="7" borderId="1" applyAlignment="1" pivotButton="0" quotePrefix="0" xfId="0">
      <alignment horizontal="center" vertical="center" wrapText="1"/>
    </xf>
    <xf numFmtId="0" fontId="32" fillId="9" borderId="1" applyAlignment="1" pivotButton="0" quotePrefix="0" xfId="0">
      <alignment horizontal="center" vertical="center" wrapText="1"/>
    </xf>
    <xf numFmtId="0" fontId="34" fillId="0" borderId="1" applyAlignment="1" pivotButton="0" quotePrefix="0" xfId="0">
      <alignment horizontal="center" vertical="center" wrapText="1"/>
    </xf>
    <xf numFmtId="0" fontId="35" fillId="0" borderId="1" applyAlignment="1" pivotButton="0" quotePrefix="0" xfId="0">
      <alignment horizontal="left" vertical="top" wrapText="1"/>
    </xf>
    <xf numFmtId="0" fontId="33" fillId="6" borderId="1" applyAlignment="1" pivotButton="0" quotePrefix="0" xfId="0">
      <alignment horizontal="center" vertical="center" wrapText="1"/>
    </xf>
    <xf numFmtId="0" fontId="18" fillId="0" borderId="1" applyAlignment="1" pivotButton="0" quotePrefix="0" xfId="0">
      <alignment horizontal="left" vertical="top" wrapText="1"/>
    </xf>
    <xf numFmtId="0" fontId="36" fillId="0" borderId="1" applyAlignment="1" pivotButton="0" quotePrefix="0" xfId="0">
      <alignment horizontal="center" vertical="center" wrapText="1"/>
    </xf>
    <xf numFmtId="0" fontId="34" fillId="11" borderId="1" applyAlignment="1" pivotButton="0" quotePrefix="0" xfId="0">
      <alignment horizontal="center" vertical="center" wrapText="1"/>
    </xf>
    <xf numFmtId="0" fontId="35" fillId="11" borderId="1" applyAlignment="1" pivotButton="0" quotePrefix="0" xfId="0">
      <alignment horizontal="left" vertical="top" wrapText="1"/>
    </xf>
    <xf numFmtId="0" fontId="37" fillId="7" borderId="1" applyAlignment="1" pivotButton="0" quotePrefix="0" xfId="0">
      <alignment horizontal="center" vertical="center" wrapText="1"/>
    </xf>
    <xf numFmtId="0" fontId="18" fillId="11" borderId="1" applyAlignment="1" pivotButton="0" quotePrefix="0" xfId="0">
      <alignment horizontal="left" vertical="top" wrapText="1"/>
    </xf>
    <xf numFmtId="0" fontId="36" fillId="11" borderId="1" applyAlignment="1" pivotButton="0" quotePrefix="0" xfId="0">
      <alignment horizontal="center" vertical="center" wrapText="1"/>
    </xf>
    <xf numFmtId="0" fontId="38" fillId="9" borderId="1" applyAlignment="1" pivotButton="0" quotePrefix="0" xfId="0">
      <alignment horizontal="center" vertical="center" wrapText="1"/>
    </xf>
    <xf numFmtId="0" fontId="39" fillId="0" borderId="1" applyAlignment="1" pivotButton="0" quotePrefix="0" xfId="0">
      <alignment horizontal="center" vertical="center" wrapText="1"/>
    </xf>
    <xf numFmtId="0" fontId="32" fillId="0" borderId="1" applyAlignment="1" pivotButton="0" quotePrefix="0" xfId="0">
      <alignment horizontal="left" vertical="top" wrapText="1"/>
    </xf>
    <xf numFmtId="0" fontId="39" fillId="11" borderId="1" applyAlignment="1" pivotButton="0" quotePrefix="0" xfId="0">
      <alignment horizontal="center" vertical="center" wrapText="1"/>
    </xf>
    <xf numFmtId="0" fontId="32" fillId="11" borderId="1" applyAlignment="1" pivotButton="0" quotePrefix="0" xfId="0">
      <alignment horizontal="left" vertical="top" wrapText="1"/>
    </xf>
    <xf numFmtId="0" fontId="14" fillId="0" borderId="1" applyAlignment="1" pivotButton="0" quotePrefix="0" xfId="0">
      <alignment horizontal="left" vertical="top" wrapText="1"/>
    </xf>
    <xf numFmtId="0" fontId="41" fillId="0" borderId="1" applyAlignment="1" pivotButton="0" quotePrefix="0" xfId="0">
      <alignment horizontal="center" vertical="center" wrapText="1"/>
    </xf>
    <xf numFmtId="0" fontId="40" fillId="0" borderId="1" applyAlignment="1" pivotButton="0" quotePrefix="0" xfId="0">
      <alignment horizontal="center" vertical="center" wrapText="1"/>
    </xf>
    <xf numFmtId="0" fontId="14" fillId="11" borderId="1" applyAlignment="1" pivotButton="0" quotePrefix="0" xfId="0">
      <alignment horizontal="left" vertical="top" wrapText="1"/>
    </xf>
    <xf numFmtId="0" fontId="41" fillId="11" borderId="1" applyAlignment="1" pivotButton="0" quotePrefix="0" xfId="0">
      <alignment horizontal="center" vertical="center" wrapText="1"/>
    </xf>
    <xf numFmtId="0" fontId="40" fillId="11" borderId="1" applyAlignment="1" pivotButton="0" quotePrefix="0" xfId="0">
      <alignment horizontal="center" vertical="center" wrapText="1"/>
    </xf>
    <xf numFmtId="0" fontId="42" fillId="3" borderId="1" applyAlignment="1" pivotButton="0" quotePrefix="0" xfId="0">
      <alignment horizontal="left" vertical="center" wrapText="1" indent="1"/>
    </xf>
    <xf numFmtId="0" fontId="42" fillId="3" borderId="1" applyAlignment="1" pivotButton="0" quotePrefix="0" xfId="0">
      <alignment horizontal="center" vertical="center" wrapText="1"/>
    </xf>
    <xf numFmtId="0" fontId="43" fillId="3" borderId="1" applyAlignment="1" pivotButton="0" quotePrefix="0" xfId="0">
      <alignment horizontal="center" vertical="center" wrapText="1"/>
    </xf>
    <xf numFmtId="0" fontId="48" fillId="0" borderId="1" applyAlignment="1" pivotButton="0" quotePrefix="0" xfId="0">
      <alignment horizontal="left" vertical="center" wrapText="1" indent="1"/>
    </xf>
    <xf numFmtId="0" fontId="0" fillId="0" borderId="1" applyAlignment="1" pivotButton="0" quotePrefix="0" xfId="0">
      <alignment horizontal="center" vertical="center" wrapText="1"/>
    </xf>
    <xf numFmtId="0" fontId="44" fillId="6" borderId="1" applyAlignment="1" pivotButton="0" quotePrefix="0" xfId="0">
      <alignment horizontal="center" vertical="center" wrapText="1"/>
    </xf>
    <xf numFmtId="0" fontId="45" fillId="8" borderId="1" applyAlignment="1" pivotButton="0" quotePrefix="0" xfId="0">
      <alignment horizontal="center" vertical="center" wrapText="1"/>
    </xf>
    <xf numFmtId="0" fontId="46" fillId="7" borderId="1" applyAlignment="1" pivotButton="0" quotePrefix="0" xfId="0">
      <alignment horizontal="center" vertical="center" wrapText="1"/>
    </xf>
    <xf numFmtId="0" fontId="47" fillId="9" borderId="1" applyAlignment="1" pivotButton="0" quotePrefix="0" xfId="0">
      <alignment horizontal="center" vertical="center" wrapText="1"/>
    </xf>
    <xf numFmtId="0" fontId="49" fillId="0" borderId="0" applyAlignment="1" pivotButton="0" quotePrefix="0" xfId="0">
      <alignment horizontal="left" vertical="top" indent="1"/>
    </xf>
    <xf numFmtId="0" fontId="15" fillId="0" borderId="0" applyAlignment="1" pivotButton="0" quotePrefix="0" xfId="0">
      <alignment horizontal="left" vertical="top" wrapText="1"/>
    </xf>
    <xf numFmtId="0" fontId="50" fillId="8" borderId="1" applyAlignment="1" pivotButton="0" quotePrefix="0" xfId="0">
      <alignment horizontal="center" vertical="center" wrapText="1"/>
    </xf>
    <xf numFmtId="0" fontId="51" fillId="7" borderId="1" applyAlignment="1" pivotButton="0" quotePrefix="0" xfId="0">
      <alignment horizontal="center" vertical="center" wrapText="1"/>
    </xf>
    <xf numFmtId="0" fontId="52" fillId="9" borderId="1" applyAlignment="1" pivotButton="0" quotePrefix="0" xfId="0">
      <alignment horizontal="center" vertical="center" wrapText="1"/>
    </xf>
    <xf numFmtId="0" fontId="53" fillId="0" borderId="1" applyAlignment="1" pivotButton="0" quotePrefix="0" xfId="0">
      <alignment horizontal="left" vertical="top" wrapText="1"/>
    </xf>
    <xf numFmtId="0" fontId="53" fillId="11" borderId="1" applyAlignment="1" pivotButton="0" quotePrefix="0" xfId="0">
      <alignment horizontal="left" vertical="top" wrapText="1"/>
    </xf>
    <xf numFmtId="0" fontId="54" fillId="6" borderId="1" applyAlignment="1" pivotButton="0" quotePrefix="0" xfId="0">
      <alignment horizontal="center" vertical="center" wrapText="1"/>
    </xf>
    <xf numFmtId="0" fontId="43" fillId="0" borderId="1" applyAlignment="1" pivotButton="0" quotePrefix="0" xfId="0">
      <alignment horizontal="center" vertical="center" wrapText="1"/>
    </xf>
    <xf numFmtId="0" fontId="43" fillId="11" borderId="1" applyAlignment="1" pivotButton="0" quotePrefix="0" xfId="0">
      <alignment horizontal="center" vertical="center" wrapText="1"/>
    </xf>
    <xf numFmtId="0" fontId="55" fillId="8" borderId="1" applyAlignment="1" pivotButton="0" quotePrefix="0" xfId="0">
      <alignment horizontal="center" vertical="center" wrapText="1"/>
    </xf>
    <xf numFmtId="0" fontId="56" fillId="7" borderId="1" applyAlignment="1" pivotButton="0" quotePrefix="0" xfId="0">
      <alignment horizontal="center" vertical="center" wrapText="1"/>
    </xf>
    <xf numFmtId="0" fontId="57" fillId="9" borderId="1" applyAlignment="1" pivotButton="0" quotePrefix="0" xfId="0">
      <alignment horizontal="center" vertical="center" wrapText="1"/>
    </xf>
    <xf numFmtId="0" fontId="58" fillId="0" borderId="1" applyAlignment="1" pivotButton="0" quotePrefix="0" xfId="0">
      <alignment horizontal="left" vertical="top" wrapText="1"/>
    </xf>
    <xf numFmtId="0" fontId="58" fillId="11" borderId="1" applyAlignment="1" pivotButton="0" quotePrefix="0" xfId="0">
      <alignment horizontal="left" vertical="top" wrapText="1"/>
    </xf>
  </cellXfs>
  <cellStyles count="1">
    <cellStyle name="Normal" xfId="0" builtinId="0" hidden="0"/>
  </cellStyles>
  <dxfs count="5">
    <dxf>
      <font>
        <b val="1"/>
        <color rgb="000F7B5F"/>
      </font>
      <fill>
        <patternFill patternType="solid">
          <fgColor rgb="00EAF6F1"/>
          <bgColor rgb="00EAF6F1"/>
        </patternFill>
      </fill>
    </dxf>
    <dxf>
      <font>
        <b val="1"/>
        <color rgb="00B7791F"/>
      </font>
      <fill>
        <patternFill patternType="solid">
          <fgColor rgb="00FDF4E3"/>
          <bgColor rgb="00FDF4E3"/>
        </patternFill>
      </fill>
    </dxf>
    <dxf>
      <font>
        <b val="1"/>
        <color rgb="00B23A2E"/>
      </font>
      <fill>
        <patternFill patternType="solid">
          <fgColor rgb="00FBEDEA"/>
          <bgColor rgb="00FBEDEA"/>
        </patternFill>
      </fill>
    </dxf>
    <dxf>
      <font>
        <b val="1"/>
        <color rgb="00475569"/>
      </font>
      <fill>
        <patternFill patternType="solid">
          <fgColor rgb="00F2F5F8"/>
          <bgColor rgb="00F2F5F8"/>
        </patternFill>
      </fill>
    </dxf>
    <dxf>
      <font>
        <color rgb="00B45309"/>
      </font>
      <fill>
        <patternFill patternType="solid">
          <fgColor rgb="00FFF7E6"/>
          <bgColor rgb="00FFF7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ermit.mee.gov.cn/perxxgkinfo/xkgkAction!xkgk.action?xkgk=getxxgkContent&amp;dataid=0dc1d33753c74827836b97bf901ac9d8" TargetMode="External" Id="rId1"/><Relationship Type="http://schemas.openxmlformats.org/officeDocument/2006/relationships/hyperlink" Target="https://www.haihua.com.cn/About_11/1664471386467147776.html" TargetMode="External" Id="rId2"/><Relationship Type="http://schemas.openxmlformats.org/officeDocument/2006/relationships/hyperlink" Target="https://stockn.xueqiu.com/SZ000822/20240321181962.pdf" TargetMode="External" Id="rId3"/><Relationship Type="http://schemas.openxmlformats.org/officeDocument/2006/relationships/hyperlink" Target="https://finance.sina.com.cn/wm/2026-03-02/doc-inhpqvan8207030.shtml" TargetMode="External" Id="rId4"/><Relationship Type="http://schemas.openxmlformats.org/officeDocument/2006/relationships/hyperlink" Target="https://permit.mee.gov.cn/perxxgkinfo/syssb/xkgg/xkgg!downloadFile.action?method=download&amp;fileType=fbfile&amp;datafileid=83c3cc72f1254301a1a704d07865d270&amp;dataid=3b5cdc9a379841209f6d3c32e4038047" TargetMode="External" Id="rId5"/><Relationship Type="http://schemas.openxmlformats.org/officeDocument/2006/relationships/hyperlink" Target="https://www.haihua.com.cn/About_11/1664470890664321024.html" TargetMode="External" Id="rId6"/><Relationship Type="http://schemas.openxmlformats.org/officeDocument/2006/relationships/hyperlink" Target="https://static.cninfo.com.cn/finalpage/2026-05-20/1225316281.PDF" TargetMode="External" Id="rId7"/><Relationship Type="http://schemas.openxmlformats.org/officeDocument/2006/relationships/hyperlink" Target="https://pdf.dfcfw.com/pdf/H2_AN202312281615153969_1.pdf" TargetMode="External" Id="rId8"/><Relationship Type="http://schemas.openxmlformats.org/officeDocument/2006/relationships/hyperlink" Target="https://boyuanyingen.com/" TargetMode="External" Id="rId9"/><Relationship Type="http://schemas.openxmlformats.org/officeDocument/2006/relationships/hyperlink" Target="https://www.cls.cn/detail/1790345" TargetMode="External" Id="rId10"/><Relationship Type="http://schemas.openxmlformats.org/officeDocument/2006/relationships/hyperlink" Target="https://www.stcn.com/article/detail/1077670.html" TargetMode="External" Id="rId11"/></Relationships>
</file>

<file path=xl/worksheets/_rels/sheet4.xml.rels><Relationships xmlns="http://schemas.openxmlformats.org/package/2006/relationships"><Relationship Type="http://schemas.openxmlformats.org/officeDocument/2006/relationships/hyperlink" Target="https://e-sale.haihua.com.cn" TargetMode="External" Id="rId1"/><Relationship Type="http://schemas.openxmlformats.org/officeDocument/2006/relationships/hyperlink" Target="https://www.haihua.com.cn/About_6/990945257334263808.html" TargetMode="External" Id="rId2"/><Relationship Type="http://schemas.openxmlformats.org/officeDocument/2006/relationships/hyperlink" Target="https://www.haihua.com.cn/About_11/1664470890664321024.html" TargetMode="External" Id="rId3"/><Relationship Type="http://schemas.openxmlformats.org/officeDocument/2006/relationships/hyperlink" Target="https://www.haihua.com.cn/About_14.html" TargetMode="External" Id="rId4"/><Relationship Type="http://schemas.openxmlformats.org/officeDocument/2006/relationships/hyperlink" Target="https://news.iqilu.com/shandong/shandonggedi/20261013/5951923.shtml" TargetMode="External" Id="rId5"/><Relationship Type="http://schemas.openxmlformats.org/officeDocument/2006/relationships/hyperlink" Target="https://file.finance.qq.com/finance/hs/pdf/2025/04/25/1223283096.PDF" TargetMode="External" Id="rId6"/><Relationship Type="http://schemas.openxmlformats.org/officeDocument/2006/relationships/hyperlink" Target="https://finance.sina.com.cn/wm/2026-07-06/doc-inifwmvv1799146.shtml" TargetMode="External" Id="rId7"/><Relationship Type="http://schemas.openxmlformats.org/officeDocument/2006/relationships/hyperlink" Target="https://www.stcn.com/article/detail/1077670.html" TargetMode="External" Id="rId8"/><Relationship Type="http://schemas.openxmlformats.org/officeDocument/2006/relationships/hyperlink" Target="https://www.xinhu.cn/article/zhengshangsuo8yue25ri-guanyuzengshezhidingchunjianjiaogechangkudegonggao-91311-1.html" TargetMode="External" Id="rId9"/><Relationship Type="http://schemas.openxmlformats.org/officeDocument/2006/relationships/hyperlink" Target="https://edu.dzqh.com.cn:33443/14393.html" TargetMode="External" Id="rId10"/><Relationship Type="http://schemas.openxmlformats.org/officeDocument/2006/relationships/hyperlink" Target="https://stcn.com/article/detail/1510460.html" TargetMode="External" Id="rId11"/><Relationship Type="http://schemas.openxmlformats.org/officeDocument/2006/relationships/hyperlink" Target="https://edu.dzqh.com.cn:33443/14393.html" TargetMode="External" Id="rId12"/></Relationships>
</file>

<file path=xl/worksheets/_rels/sheet10.xml.rels><Relationships xmlns="http://schemas.openxmlformats.org/package/2006/relationships"><Relationship Type="http://schemas.openxmlformats.org/officeDocument/2006/relationships/hyperlink" Target="url" TargetMode="External" Id="rId1"/><Relationship Type="http://schemas.openxmlformats.org/officeDocument/2006/relationships/hyperlink" Target="url" TargetMode="External" Id="rId2"/><Relationship Type="http://schemas.openxmlformats.org/officeDocument/2006/relationships/hyperlink" Target="url" TargetMode="External" Id="rId3"/><Relationship Type="http://schemas.openxmlformats.org/officeDocument/2006/relationships/hyperlink" Target="url" TargetMode="External" Id="rId4"/><Relationship Type="http://schemas.openxmlformats.org/officeDocument/2006/relationships/hyperlink" Target="url" TargetMode="External" Id="rId5"/><Relationship Type="http://schemas.openxmlformats.org/officeDocument/2006/relationships/hyperlink" Target="url" TargetMode="External" Id="rId6"/><Relationship Type="http://schemas.openxmlformats.org/officeDocument/2006/relationships/hyperlink" Target="url" TargetMode="External" Id="rId7"/><Relationship Type="http://schemas.openxmlformats.org/officeDocument/2006/relationships/hyperlink" Target="url" TargetMode="External" Id="rId8"/><Relationship Type="http://schemas.openxmlformats.org/officeDocument/2006/relationships/hyperlink" Target="url" TargetMode="External" Id="rId9"/><Relationship Type="http://schemas.openxmlformats.org/officeDocument/2006/relationships/hyperlink" Target="url" TargetMode="External" Id="rId10"/><Relationship Type="http://schemas.openxmlformats.org/officeDocument/2006/relationships/hyperlink" Target="url" TargetMode="External" Id="rId11"/><Relationship Type="http://schemas.openxmlformats.org/officeDocument/2006/relationships/hyperlink" Target="url" TargetMode="External" Id="rId12"/><Relationship Type="http://schemas.openxmlformats.org/officeDocument/2006/relationships/hyperlink" Target="url" TargetMode="External" Id="rId13"/><Relationship Type="http://schemas.openxmlformats.org/officeDocument/2006/relationships/hyperlink" Target="url" TargetMode="External" Id="rId14"/></Relationships>
</file>

<file path=xl/worksheets/sheet1.xml><?xml version="1.0" encoding="utf-8"?>
<worksheet xmlns="http://schemas.openxmlformats.org/spreadsheetml/2006/main">
  <sheetPr>
    <tabColor rgb="000B1F33"/>
    <outlinePr summaryBelow="1" summaryRight="1"/>
    <pageSetUpPr fitToPage="1"/>
  </sheetPr>
  <dimension ref="A1:H36"/>
  <sheetViews>
    <sheetView showGridLines="0" workbookViewId="0">
      <selection activeCell="A1" sqref="A1"/>
    </sheetView>
  </sheetViews>
  <sheetFormatPr baseColWidth="8" defaultRowHeight="15"/>
  <cols>
    <col width="4" customWidth="1" min="1" max="1"/>
    <col width="22" customWidth="1" min="2" max="2"/>
    <col width="30" customWidth="1" min="3" max="3"/>
    <col width="30" customWidth="1" min="4" max="4"/>
    <col width="30" customWidth="1" min="5" max="5"/>
    <col width="22" customWidth="1" min="6" max="6"/>
    <col width="18" customWidth="1" min="7" max="7"/>
    <col width="14" customWidth="1" min="8" max="8"/>
  </cols>
  <sheetData>
    <row r="1" ht="56" customHeight="1">
      <c r="A1" s="1" t="inlineStr">
        <is>
          <t>供应商真伪核验工作簿 · 纯碱（碳酸钠 Na₂CO₃）</t>
        </is>
      </c>
    </row>
    <row r="2" ht="28" customHeight="1">
      <c r="A2" s="2" t="inlineStr">
        <is>
          <t>查供应商是不是真厂家：直接生产证据 / 间接业务证据 / 不构成证据 三分法 + 四类结论 + 12 项索取清单</t>
        </is>
      </c>
    </row>
    <row r="3" ht="22" customHeight="1">
      <c r="A3" s="3" t="inlineStr">
        <is>
          <t>报告编号 SV-2026-CN-NA2CO3-001    产品 纯碱（碳酸钠 Na₂CO₃）    规格 轻质 / 重质；GB/T 210 Ⅱ类优等品；重碱执行郑商所纯碱期货交割标准    数据截止 2026-10-19    版本 v1.0</t>
        </is>
      </c>
    </row>
    <row r="5"/>
    <row r="6" ht="28" customHeight="1">
      <c r="A6" s="4" t="inlineStr">
        <is>
          <t>一、这份表解决什么问题</t>
        </is>
      </c>
    </row>
    <row r="7" ht="30" customHeight="1">
      <c r="B7" s="5" t="inlineStr">
        <is>
          <t>内贸采购最怕把贸易商当厂家：报价、账期都谈成了，最后发现对方只是调货，质量、交期、发票主体全都对不上。本工作簿不靠“经营范围”和“厂家直销”下结论，而是把材料分成三组：能直接指向装置的硬证据、只能说明在做生意的旁证、以及最容易被误采信的材料。</t>
        </is>
      </c>
    </row>
    <row r="8" ht="20" customHeight="1">
      <c r="B8" s="5" t="inlineStr">
        <is>
          <t>5 个案例演示同一套方法的不同落点：山东海化（生产厂家）、博源银根（生产厂家）、杭实善成（贸易经销）、分装样例（分装或复配）、证据不足样例（证据不足暂无法确认）。</t>
        </is>
      </c>
    </row>
    <row r="9"/>
    <row r="10" ht="28" customHeight="1">
      <c r="A10" s="4" t="inlineStr">
        <is>
          <t>二、五步使用法</t>
        </is>
      </c>
    </row>
    <row r="11" ht="20" customHeight="1">
      <c r="A11" s="6" t="inlineStr">
        <is>
          <t>STEP 1</t>
        </is>
      </c>
      <c r="B11" s="5" t="inlineStr">
        <is>
          <t>录入企业与产品：企业全名、统一社会信用代码、目标产品与规格（轻质 / 重质；GB/T 210 Ⅱ类优等品；重碱执行郑商所纯碱期货交割标准）。</t>
        </is>
      </c>
    </row>
    <row r="12" ht="30" customHeight="1">
      <c r="A12" s="6" t="inlineStr">
        <is>
          <t>STEP 2</t>
        </is>
      </c>
      <c r="B12" s="5" t="inlineStr">
        <is>
          <t>跑直接证据：排污许可证（行业类别：无机碱制造 C2612）；项目环评批复 + 竣工环保验收（载明纯碱产品与产能）；产能置换公示 / 技改项目备案（联碱、氨碱、天然碱）；上市公司产量、非计划停产公告。</t>
        </is>
      </c>
    </row>
    <row r="13" ht="20" customHeight="1">
      <c r="A13" s="6" t="inlineStr">
        <is>
          <t>STEP 3</t>
        </is>
      </c>
      <c r="B13" s="5" t="inlineStr">
        <is>
          <t>补间接证据：官网产品页、自营商城、交易所交割厂库、协会名录、原料采购、生产岗位招聘、专利、行业报道。</t>
        </is>
      </c>
    </row>
    <row r="14" ht="20" customHeight="1">
      <c r="A14" s="6" t="inlineStr">
        <is>
          <t>STEP 4</t>
        </is>
      </c>
      <c r="B14" s="5" t="inlineStr">
        <is>
          <t>剔除伪证据：把营业执照经营范围、“厂家直销”、注册资本、可大量供货、单张照片单独归入“不构成证据”，不计分。</t>
        </is>
      </c>
    </row>
    <row r="15" ht="20" customHeight="1">
      <c r="A15" s="6" t="inlineStr">
        <is>
          <t>STEP 5</t>
        </is>
      </c>
      <c r="B15" s="5" t="inlineStr">
        <is>
          <t>按 Q1→Q4 判定，输出四类结论之一；证据不足就写“暂无法确认”，并按 06 表发索取清单。</t>
        </is>
      </c>
    </row>
    <row r="17" ht="28" customHeight="1">
      <c r="A17" s="4" t="inlineStr">
        <is>
          <t>三、证据三分法</t>
        </is>
      </c>
    </row>
    <row r="18" ht="46" customHeight="1">
      <c r="A18" s="7" t="n"/>
      <c r="B18" s="8" t="inlineStr">
        <is>
          <t>A 直接生产证据</t>
        </is>
      </c>
      <c r="C18" s="9" t="inlineStr">
        <is>
          <t>能独立指向“装置存在且在运行”</t>
        </is>
      </c>
      <c r="D18" s="7" t="n"/>
      <c r="E18" s="10" t="inlineStr">
        <is>
          <t>排污许可证（行业类别：无机碱制造 C2612）；环评批复与验收、项目备案/产能置换、上市公司产量、非计划停产公告</t>
        </is>
      </c>
      <c r="F18" s="7" t="n"/>
      <c r="G18" s="7" t="n"/>
      <c r="H18" s="7" t="n"/>
    </row>
    <row r="19" ht="46" customHeight="1">
      <c r="A19" s="7" t="n"/>
      <c r="B19" s="11" t="inlineStr">
        <is>
          <t>B 间接业务证据</t>
        </is>
      </c>
      <c r="C19" s="9" t="inlineStr">
        <is>
          <t>说明在做这门生意，不能单独证明自产</t>
        </is>
      </c>
      <c r="D19" s="7" t="n"/>
      <c r="E19" s="10" t="inlineStr">
        <is>
          <t>官网产品页、自营商城、交易所交割厂库、协会名录、原料采购、生产岗位招聘、专利、行业报道</t>
        </is>
      </c>
      <c r="F19" s="7" t="n"/>
      <c r="G19" s="7" t="n"/>
      <c r="H19" s="7" t="n"/>
    </row>
    <row r="20" ht="46" customHeight="1">
      <c r="A20" s="7" t="n"/>
      <c r="B20" s="12" t="inlineStr">
        <is>
          <t>C 不构成证据</t>
        </is>
      </c>
      <c r="C20" s="9" t="inlineStr">
        <is>
          <t>容易被误采信，采信会出错</t>
        </is>
      </c>
      <c r="D20" s="7" t="n"/>
      <c r="E20" s="10" t="inlineStr">
        <is>
          <t>营业执照经营范围、“厂家直销”、注册资本、可大量供货、单张无定位照片、口头承诺</t>
        </is>
      </c>
      <c r="F20" s="7" t="n"/>
      <c r="G20" s="7" t="n"/>
      <c r="H20" s="7" t="n"/>
    </row>
    <row r="22" ht="28" customHeight="1">
      <c r="A22" s="4" t="inlineStr">
        <is>
          <t>四、判定顺序（不能跳步）</t>
        </is>
      </c>
    </row>
    <row r="23" ht="24" customHeight="1">
      <c r="A23" s="13" t="n"/>
      <c r="B23" s="13" t="inlineStr">
        <is>
          <t>步骤</t>
        </is>
      </c>
      <c r="C23" s="13" t="inlineStr">
        <is>
          <t>问题</t>
        </is>
      </c>
      <c r="D23" s="13" t="inlineStr">
        <is>
          <t>判定依据（命中任一即可）</t>
        </is>
      </c>
      <c r="E23" s="14" t="n"/>
      <c r="F23" s="15" t="n"/>
      <c r="G23" s="13" t="inlineStr">
        <is>
          <t>是 →</t>
        </is>
      </c>
      <c r="H23" s="13" t="inlineStr">
        <is>
          <t>否 →</t>
        </is>
      </c>
    </row>
    <row r="24" ht="44" customHeight="1">
      <c r="A24" s="16" t="inlineStr"/>
      <c r="B24" s="17" t="inlineStr">
        <is>
          <t>Q1</t>
        </is>
      </c>
      <c r="C24" s="18" t="inlineStr">
        <is>
          <t>是否存在以该企业为主体的目标产品生产硬证据？</t>
        </is>
      </c>
      <c r="D24" s="19" t="inlineStr">
        <is>
          <t>排污许可证（对应行业类别）；或环评批复/验收载明该产品与产能；或项目备案/产能置换公示载明该企业为主体；危化品/食品/农药等另有法定许可</t>
        </is>
      </c>
      <c r="E24" s="16" t="n"/>
      <c r="F24" s="16" t="n"/>
      <c r="G24" s="20" t="inlineStr">
        <is>
          <t>进入 Q2</t>
        </is>
      </c>
      <c r="H24" s="20" t="inlineStr">
        <is>
          <t>进入 Q3</t>
        </is>
      </c>
    </row>
    <row r="25" ht="44" customHeight="1">
      <c r="A25" s="16" t="inlineStr"/>
      <c r="B25" s="17" t="inlineStr">
        <is>
          <t>Q2</t>
        </is>
      </c>
      <c r="C25" s="18" t="inlineStr">
        <is>
          <t>公开产能、产量、厂址与许可是否自洽？</t>
        </is>
      </c>
      <c r="D25" s="19" t="inlineStr">
        <is>
          <t>产能与产量量级匹配、厂址与许可地址一致、工艺路线能解释原料与副产品、产品规格对得上</t>
        </is>
      </c>
      <c r="E25" s="16" t="n"/>
      <c r="F25" s="16" t="n"/>
      <c r="G25" s="20" t="inlineStr">
        <is>
          <t>判定：生产厂家</t>
        </is>
      </c>
      <c r="H25" s="20" t="inlineStr">
        <is>
          <t>判定：生产厂家（待现场核验）</t>
        </is>
      </c>
    </row>
    <row r="26" ht="44" customHeight="1">
      <c r="A26" s="16" t="inlineStr"/>
      <c r="B26" s="17" t="inlineStr">
        <is>
          <t>Q3</t>
        </is>
      </c>
      <c r="C26" s="18" t="inlineStr">
        <is>
          <t>是否存在分装/复配特征？</t>
        </is>
      </c>
      <c r="D26" s="19" t="inlineStr">
        <is>
          <t>仅持有分装类许可；无合成/反应/精馏/结晶主装置；设备为粉碎、筛分、混合、稀释、包装；外购成品或半成品</t>
        </is>
      </c>
      <c r="E26" s="16" t="n"/>
      <c r="F26" s="16" t="n"/>
      <c r="G26" s="20" t="inlineStr">
        <is>
          <t>判定：分装或复配</t>
        </is>
      </c>
      <c r="H26" s="20" t="inlineStr">
        <is>
          <t>进入 Q4</t>
        </is>
      </c>
    </row>
    <row r="27" ht="44" customHeight="1">
      <c r="A27" s="16" t="inlineStr"/>
      <c r="B27" s="17" t="inlineStr">
        <is>
          <t>Q4</t>
        </is>
      </c>
      <c r="C27" s="18" t="inlineStr">
        <is>
          <t>是否存在贸易经销特征？</t>
        </is>
      </c>
      <c r="D27" s="19" t="inlineStr">
        <is>
          <t>交易所贸易商厂库、生产厂代理授权、无生产装置与排污许可、注册地为写字楼、以调货为主</t>
        </is>
      </c>
      <c r="E27" s="16" t="n"/>
      <c r="F27" s="16" t="n"/>
      <c r="G27" s="20" t="inlineStr">
        <is>
          <t>判定：贸易经销</t>
        </is>
      </c>
      <c r="H27" s="20" t="inlineStr">
        <is>
          <t>判定：证据不足，暂无法确认</t>
        </is>
      </c>
    </row>
    <row r="29" ht="28" customHeight="1">
      <c r="A29" s="4" t="inlineStr">
        <is>
          <t>五、四类结论与含义</t>
        </is>
      </c>
    </row>
    <row r="30">
      <c r="A30" s="13" t="n"/>
      <c r="B30" s="13" t="inlineStr">
        <is>
          <t>结论</t>
        </is>
      </c>
      <c r="C30" s="13" t="inlineStr">
        <is>
          <t>含义</t>
        </is>
      </c>
      <c r="D30" s="14" t="n"/>
      <c r="E30" s="15" t="n"/>
      <c r="F30" s="13" t="inlineStr">
        <is>
          <t>典型证据</t>
        </is>
      </c>
      <c r="G30" s="14" t="n"/>
      <c r="H30" s="15" t="n"/>
    </row>
    <row r="31" ht="40" customHeight="1">
      <c r="A31" s="16" t="n"/>
      <c r="B31" s="21" t="inlineStr">
        <is>
          <t>生产厂家</t>
        </is>
      </c>
      <c r="C31" s="22" t="inlineStr">
        <is>
          <t>以自有装置完成目标化学品的合成/提纯，可开出厂价、可验厂</t>
        </is>
      </c>
      <c r="D31" s="14" t="n"/>
      <c r="E31" s="15" t="n"/>
      <c r="F31" s="23" t="inlineStr">
        <is>
          <t>排污许可证（行业类别：无机碱制造 C2612）；项目环评批复 + 竣工环保验收（载明纯碱产品与产能）</t>
        </is>
      </c>
      <c r="G31" s="14" t="n"/>
      <c r="H31" s="15" t="n"/>
    </row>
    <row r="32" ht="40" customHeight="1">
      <c r="A32" s="16" t="n"/>
      <c r="B32" s="24" t="inlineStr">
        <is>
          <t>分装或复配</t>
        </is>
      </c>
      <c r="C32" s="22" t="inlineStr">
        <is>
          <t>不合成目标产品，仅做破碎、筛分、混合、稀释、小包装或复配</t>
        </is>
      </c>
      <c r="D32" s="14" t="n"/>
      <c r="E32" s="15" t="n"/>
      <c r="F32" s="23" t="inlineStr">
        <is>
          <t>分装类许可/备案 + 后处理设备清单 + 外购成品发票</t>
        </is>
      </c>
      <c r="G32" s="14" t="n"/>
      <c r="H32" s="15" t="n"/>
    </row>
    <row r="33" ht="40" customHeight="1">
      <c r="A33" s="16" t="n"/>
      <c r="B33" s="25" t="inlineStr">
        <is>
          <t>贸易经销</t>
        </is>
      </c>
      <c r="C33" s="22" t="inlineStr">
        <is>
          <t>以调货、代理、仓储交割为主，无自有生产装置</t>
        </is>
      </c>
      <c r="D33" s="14" t="n"/>
      <c r="E33" s="15" t="n"/>
      <c r="F33" s="23" t="inlineStr">
        <is>
          <t>贸易商厂库/代理授权 + 无排污许可 + 背靠背发票</t>
        </is>
      </c>
      <c r="G33" s="14" t="n"/>
      <c r="H33" s="15" t="n"/>
    </row>
    <row r="34" ht="40" customHeight="1">
      <c r="A34" s="16" t="n"/>
      <c r="B34" s="26" t="inlineStr">
        <is>
          <t>证据不足暂无法确认</t>
        </is>
      </c>
      <c r="C34" s="22" t="inlineStr">
        <is>
          <t>公开可核证据不足以支撑任何一类判断，需补材料或现场核验</t>
        </is>
      </c>
      <c r="D34" s="14" t="n"/>
      <c r="E34" s="15" t="n"/>
      <c r="F34" s="23" t="inlineStr">
        <is>
          <t>仅有执照、报价单、无定位照片；既无硬证据也无贸易侧证</t>
        </is>
      </c>
      <c r="G34" s="14" t="n"/>
      <c r="H34" s="15" t="n"/>
    </row>
    <row r="36" ht="40" customHeight="1">
      <c r="A36" s="27" t="inlineStr">
        <is>
          <t>免责：本工作簿为采购尽调辅助工具，不构成法律意见；“证据充分度”衡量证据链完整度，不代表企业信用或产品质量。脱敏样例不对应任何真实企业。数据截止 2026-10-19，正式签约前应重新核验许可与名单。</t>
        </is>
      </c>
    </row>
  </sheetData>
  <mergeCells count="37">
    <mergeCell ref="D27:F27"/>
    <mergeCell ref="F33:H33"/>
    <mergeCell ref="C31:E31"/>
    <mergeCell ref="F32:H32"/>
    <mergeCell ref="A36:H36"/>
    <mergeCell ref="B15:H15"/>
    <mergeCell ref="A1:H1"/>
    <mergeCell ref="A6:H6"/>
    <mergeCell ref="C20:D20"/>
    <mergeCell ref="E18:H18"/>
    <mergeCell ref="F31:H31"/>
    <mergeCell ref="F30:H30"/>
    <mergeCell ref="B7:H7"/>
    <mergeCell ref="D25:F25"/>
    <mergeCell ref="C32:E32"/>
    <mergeCell ref="D24:F24"/>
    <mergeCell ref="A3:H3"/>
    <mergeCell ref="D23:F23"/>
    <mergeCell ref="A2:H2"/>
    <mergeCell ref="B12:H12"/>
    <mergeCell ref="E20:H20"/>
    <mergeCell ref="D26:F26"/>
    <mergeCell ref="B11:H11"/>
    <mergeCell ref="E19:H19"/>
    <mergeCell ref="C30:E30"/>
    <mergeCell ref="C34:E34"/>
    <mergeCell ref="A22:H22"/>
    <mergeCell ref="A17:H17"/>
    <mergeCell ref="F34:H34"/>
    <mergeCell ref="B8:H8"/>
    <mergeCell ref="B14:H14"/>
    <mergeCell ref="C33:E33"/>
    <mergeCell ref="A29:H29"/>
    <mergeCell ref="B13:H13"/>
    <mergeCell ref="C19:D19"/>
    <mergeCell ref="A10:H10"/>
    <mergeCell ref="C18:D18"/>
  </mergeCells>
  <printOptions horizontalCentered="1"/>
  <pageMargins left="0.3" right="0.3" top="0.45" bottom="0.45" header="0.5" footer="0.5"/>
  <pageSetup orientation="landscape" paperSize="9" fitToHeight="0" fitToWidth="1"/>
</worksheet>
</file>

<file path=xl/worksheets/sheet2.xml><?xml version="1.0" encoding="utf-8"?>
<worksheet xmlns="http://schemas.openxmlformats.org/spreadsheetml/2006/main">
  <sheetPr>
    <tabColor rgb="000F7B5F"/>
    <outlinePr summaryBelow="1" summaryRight="1"/>
    <pageSetUpPr fitToPage="1"/>
  </sheetPr>
  <dimension ref="A1:O9"/>
  <sheetViews>
    <sheetView showGridLines="0" workbookViewId="0">
      <pane ySplit="3" topLeftCell="A4" activePane="bottomLeft" state="frozen"/>
      <selection pane="bottomLeft" activeCell="A1" sqref="A1"/>
    </sheetView>
  </sheetViews>
  <sheetFormatPr baseColWidth="8" defaultRowHeight="15"/>
  <cols>
    <col width="5" customWidth="1" min="1" max="1"/>
    <col width="27" customWidth="1" min="2" max="2"/>
    <col width="22" customWidth="1" min="3" max="3"/>
    <col width="16" customWidth="1" min="4" max="4"/>
    <col width="9" customWidth="1" min="5" max="5"/>
    <col width="7" customWidth="1" min="6" max="6"/>
    <col width="30" customWidth="1" min="7" max="7"/>
    <col width="25" customWidth="1" min="8" max="8"/>
    <col width="15" customWidth="1" min="9" max="9"/>
    <col width="8" customWidth="1" min="10" max="10"/>
    <col width="8" customWidth="1" min="11" max="11"/>
    <col width="7" customWidth="1" min="12" max="12"/>
    <col width="38" customWidth="1" min="13" max="13"/>
    <col width="38" customWidth="1" min="14" max="14"/>
    <col width="11" customWidth="1" min="15" max="15"/>
  </cols>
  <sheetData>
    <row r="1" ht="44" customHeight="1">
      <c r="A1" s="28" t="inlineStr">
        <is>
          <t>01 · 核验总表</t>
        </is>
      </c>
    </row>
    <row r="2" ht="26" customHeight="1">
      <c r="A2" s="29" t="inlineStr">
        <is>
          <t>5 家供应商的核验结论与证据计数（纯碱（碳酸钠 Na₂CO₃））；计数列由 02/03/04 三张明细表自动汇总。</t>
        </is>
      </c>
    </row>
    <row r="3" ht="20" customHeight="1">
      <c r="A3" s="30" t="inlineStr">
        <is>
          <t>报告编号 SV-2026-CN-NA2CO3-001    数据截止 2026-10-19    ★ 可直接在空白行套用：填企业名 → 明细表打标签 → 计数与分数自动更新</t>
        </is>
      </c>
    </row>
    <row r="4" ht="34" customHeight="1">
      <c r="A4" s="31" t="inlineStr">
        <is>
          <t>序号</t>
        </is>
      </c>
      <c r="B4" s="31" t="inlineStr">
        <is>
          <t>企业名称</t>
        </is>
      </c>
      <c r="C4" s="31" t="inlineStr">
        <is>
          <t>产品 / 规格</t>
        </is>
      </c>
      <c r="D4" s="31" t="inlineStr">
        <is>
          <t>核验结论</t>
        </is>
      </c>
      <c r="E4" s="31" t="inlineStr">
        <is>
          <t>证据充分度</t>
        </is>
      </c>
      <c r="F4" s="31" t="inlineStr">
        <is>
          <t>置信度</t>
        </is>
      </c>
      <c r="G4" s="31" t="inlineStr">
        <is>
          <t>生产地址（公开）</t>
        </is>
      </c>
      <c r="H4" s="31" t="inlineStr">
        <is>
          <t>公开产能</t>
        </is>
      </c>
      <c r="I4" s="31" t="inlineStr">
        <is>
          <t>工艺路线</t>
        </is>
      </c>
      <c r="J4" s="31" t="inlineStr">
        <is>
          <t>直接证据</t>
        </is>
      </c>
      <c r="K4" s="31" t="inlineStr">
        <is>
          <t>间接证据</t>
        </is>
      </c>
      <c r="L4" s="31" t="inlineStr">
        <is>
          <t>排除项</t>
        </is>
      </c>
      <c r="M4" s="31" t="inlineStr">
        <is>
          <t>关键缺口 / 风险</t>
        </is>
      </c>
      <c r="N4" s="31" t="inlineStr">
        <is>
          <t>建议动作</t>
        </is>
      </c>
      <c r="O4" s="31" t="inlineStr">
        <is>
          <t>报告日期</t>
        </is>
      </c>
    </row>
    <row r="5" ht="47.59999999999999" customHeight="1">
      <c r="A5" s="32" t="n">
        <v>1</v>
      </c>
      <c r="B5" s="33" t="inlineStr">
        <is>
          <t>山东海化股份有限公司</t>
        </is>
      </c>
      <c r="C5" s="34" t="inlineStr">
        <is>
          <t>纯碱（碳酸钠）· 轻质 / 重质 · 工业级</t>
        </is>
      </c>
      <c r="D5" s="35" t="inlineStr">
        <is>
          <t>生产厂家</t>
        </is>
      </c>
      <c r="E5" s="36">
        <f>'05_评分模型'!C10</f>
        <v/>
      </c>
      <c r="F5" s="32" t="inlineStr">
        <is>
          <t>高</t>
        </is>
      </c>
      <c r="G5" s="34" t="inlineStr">
        <is>
          <t>山东省潍坊市滨海经济技术开发区沂河大街14201号</t>
        </is>
      </c>
      <c r="H5" s="34" t="inlineStr">
        <is>
          <t>280 万吨/年（老线 120 + 新线 160）</t>
        </is>
      </c>
      <c r="I5" s="34" t="inlineStr">
        <is>
          <t>氨碱法（索尔维法）</t>
        </is>
      </c>
      <c r="J5" s="32">
        <f>COUNTIFS('02_直接生产证据'!$B$4:$B$200,$B5)</f>
        <v/>
      </c>
      <c r="K5" s="32">
        <f>COUNTIFS('03_间接业务证据'!$B$4:$B$200,$B5)</f>
        <v/>
      </c>
      <c r="L5" s="32">
        <f>COUNTIFS('04_不构成证据'!$B$4:$B$200,$B5)</f>
        <v/>
      </c>
      <c r="M5" s="34" t="inlineStr">
        <is>
          <t>排污许可证副本中“主要生产设施”与“排放口”页（确认碳化塔、煅烧炉、蒸氨塔在证）</t>
        </is>
      </c>
      <c r="N5" s="34" t="inlineStr">
        <is>
          <t>先做视频验厂（碳化塔—煅烧—包装线—地磅），再签“生产商=发票销售方=发货地”三合一条款；技改期约定供应保障。</t>
        </is>
      </c>
      <c r="O5" s="32" t="inlineStr">
        <is>
          <t>2026-10-19</t>
        </is>
      </c>
    </row>
    <row r="6" ht="47.59999999999999" customHeight="1">
      <c r="A6" s="37" t="n">
        <v>2</v>
      </c>
      <c r="B6" s="38" t="inlineStr">
        <is>
          <t>内蒙古博源银根化工有限公司</t>
        </is>
      </c>
      <c r="C6" s="39" t="inlineStr">
        <is>
          <t>纯碱（碳酸钠）· 重质为主 · 天然碱法</t>
        </is>
      </c>
      <c r="D6" s="35" t="inlineStr">
        <is>
          <t>生产厂家</t>
        </is>
      </c>
      <c r="E6" s="40">
        <f>'05_评分模型'!D10</f>
        <v/>
      </c>
      <c r="F6" s="37" t="inlineStr">
        <is>
          <t>高</t>
        </is>
      </c>
      <c r="G6" s="39" t="inlineStr">
        <is>
          <t>内蒙古自治区阿拉善盟阿拉善右旗塔木素苏木恩格日乌苏嘎查</t>
        </is>
      </c>
      <c r="H6" s="39" t="inlineStr">
        <is>
          <t>一期 500 万吨/年（规划总产能 780 万吨/年）</t>
        </is>
      </c>
      <c r="I6" s="39" t="inlineStr">
        <is>
          <t>天然碱法（一水碱/倍半碱加工）</t>
        </is>
      </c>
      <c r="J6" s="37">
        <f>COUNTIFS('02_直接生产证据'!$B$4:$B$200,$B6)</f>
        <v/>
      </c>
      <c r="K6" s="37">
        <f>COUNTIFS('03_间接业务证据'!$B$4:$B$200,$B6)</f>
        <v/>
      </c>
      <c r="L6" s="37">
        <f>COUNTIFS('04_不构成证据'!$B$4:$B$200,$B6)</f>
        <v/>
      </c>
      <c r="M6" s="39" t="inlineStr">
        <is>
          <t>排污许可证（行业类别、主要生产设施、排放口）</t>
        </is>
      </c>
      <c r="N6" s="39" t="inlineStr">
        <is>
          <t>天然碱法重碱粒度与堆积密度需与玻璃窑炉匹配，先索取样检测；确认二期投产节奏对 2027 年供应量的影响。</t>
        </is>
      </c>
      <c r="O6" s="37" t="inlineStr">
        <is>
          <t>2026-10-19</t>
        </is>
      </c>
    </row>
    <row r="7" ht="47.59999999999999" customHeight="1">
      <c r="A7" s="32" t="n">
        <v>3</v>
      </c>
      <c r="B7" s="33" t="inlineStr">
        <is>
          <t>浙江杭实善成实业有限公司</t>
        </is>
      </c>
      <c r="C7" s="34" t="inlineStr">
        <is>
          <t>纯碱（碳酸钠）· 贸易分销</t>
        </is>
      </c>
      <c r="D7" s="41" t="inlineStr">
        <is>
          <t>贸易经销</t>
        </is>
      </c>
      <c r="E7" s="36">
        <f>'05_评分模型'!E10</f>
        <v/>
      </c>
      <c r="F7" s="32" t="inlineStr">
        <is>
          <t>高</t>
        </is>
      </c>
      <c r="G7" s="34" t="inlineStr">
        <is>
          <t>浙江省杭州市（杭实集团体系）</t>
        </is>
      </c>
      <c r="H7" s="34" t="inlineStr">
        <is>
          <t>无自有纯碱合成装置</t>
        </is>
      </c>
      <c r="I7" s="34" t="inlineStr">
        <is>
          <t>—（不涉及合成）</t>
        </is>
      </c>
      <c r="J7" s="32">
        <f>COUNTIFS('02_直接生产证据'!$B$4:$B$200,$B7)</f>
        <v/>
      </c>
      <c r="K7" s="32">
        <f>COUNTIFS('03_间接业务证据'!$B$4:$B$200,$B7)</f>
        <v/>
      </c>
      <c r="L7" s="32">
        <f>COUNTIFS('04_不构成证据'!$B$4:$B$200,$B7)</f>
        <v/>
      </c>
      <c r="M7" s="34" t="inlineStr">
        <is>
          <t>生产厂（山东海化/三友/金山等）出具的经销授权书</t>
        </is>
      </c>
      <c r="N7" s="34" t="inlineStr">
        <is>
          <t>可与其做分销/代采，但合同须写明“实际生产商”并附授权链；要求发票由碱厂直开或提供完整背靠背链条。</t>
        </is>
      </c>
      <c r="O7" s="32" t="inlineStr">
        <is>
          <t>2026-10-19</t>
        </is>
      </c>
    </row>
    <row r="8" ht="47.59999999999999" customHeight="1">
      <c r="A8" s="37" t="n">
        <v>4</v>
      </c>
      <c r="B8" s="38" t="inlineStr">
        <is>
          <t>某食品配料有限公司（脱敏样例）</t>
        </is>
      </c>
      <c r="C8" s="39" t="inlineStr">
        <is>
          <t>食品添加剂碳酸钠（食用纯碱）· 小包装分装</t>
        </is>
      </c>
      <c r="D8" s="42" t="inlineStr">
        <is>
          <t>分装或复配</t>
        </is>
      </c>
      <c r="E8" s="40">
        <f>'05_评分模型'!F10</f>
        <v/>
      </c>
      <c r="F8" s="37" t="inlineStr">
        <is>
          <t>中高</t>
        </is>
      </c>
      <c r="G8" s="39" t="inlineStr">
        <is>
          <t>华东某食品产业园（脱敏）</t>
        </is>
      </c>
      <c r="H8" s="39" t="inlineStr">
        <is>
          <t>分装/复配产能，无合成产能</t>
        </is>
      </c>
      <c r="I8" s="39" t="inlineStr">
        <is>
          <t>物理后处理（无碳化、无蒸氨、无煅烧）</t>
        </is>
      </c>
      <c r="J8" s="37">
        <f>COUNTIFS('02_直接生产证据'!$B$4:$B$200,$B8)</f>
        <v/>
      </c>
      <c r="K8" s="37">
        <f>COUNTIFS('03_间接业务证据'!$B$4:$B$200,$B8)</f>
        <v/>
      </c>
      <c r="L8" s="37">
        <f>COUNTIFS('04_不构成证据'!$B$4:$B$200,$B8)</f>
        <v/>
      </c>
      <c r="M8" s="39" t="inlineStr">
        <is>
          <t>SC 证明细页（确认“分装”单元与品种）</t>
        </is>
      </c>
      <c r="N8" s="39" t="inlineStr">
        <is>
          <t>按“分装商”而非“厂家”议价；要求其标注实际生产厂与批号，食品级需提供 GB 1886.1 全项检测。</t>
        </is>
      </c>
      <c r="O8" s="37" t="inlineStr">
        <is>
          <t>2026-10-19</t>
        </is>
      </c>
    </row>
    <row r="9" ht="47.59999999999999" customHeight="1">
      <c r="A9" s="32" t="n">
        <v>5</v>
      </c>
      <c r="B9" s="33" t="inlineStr">
        <is>
          <t>某询价供应商（脱敏样例）</t>
        </is>
      </c>
      <c r="C9" s="34" t="inlineStr">
        <is>
          <t>纯碱（碳酸钠）· 重质</t>
        </is>
      </c>
      <c r="D9" s="43" t="inlineStr">
        <is>
          <t>证据不足暂无法确认</t>
        </is>
      </c>
      <c r="E9" s="36">
        <f>'05_评分模型'!G10</f>
        <v/>
      </c>
      <c r="F9" s="32" t="inlineStr">
        <is>
          <t>低</t>
        </is>
      </c>
      <c r="G9" s="34" t="inlineStr">
        <is>
          <t>未披露（执照地址为某写字楼）</t>
        </is>
      </c>
      <c r="H9" s="34" t="inlineStr">
        <is>
          <t>未披露</t>
        </is>
      </c>
      <c r="I9" s="34" t="inlineStr">
        <is>
          <t>未披露</t>
        </is>
      </c>
      <c r="J9" s="32">
        <f>COUNTIFS('02_直接生产证据'!$B$4:$B$200,$B9)</f>
        <v/>
      </c>
      <c r="K9" s="32">
        <f>COUNTIFS('03_间接业务证据'!$B$4:$B$200,$B9)</f>
        <v/>
      </c>
      <c r="L9" s="32">
        <f>COUNTIFS('04_不构成证据'!$B$4:$B$200,$B9)</f>
        <v/>
      </c>
      <c r="M9" s="34" t="inlineStr">
        <is>
          <t>排污许可证或环评批复（任一即可打破僵局）</t>
        </is>
      </c>
      <c r="N9" s="34" t="inlineStr">
        <is>
          <t>先按“未认证供应商”处理：不预付、不做长协；补齐 P0 材料后再复核，或直接转向已核验的碱厂/授权经销商。</t>
        </is>
      </c>
      <c r="O9" s="32" t="inlineStr">
        <is>
          <t>2026-10-19</t>
        </is>
      </c>
    </row>
  </sheetData>
  <autoFilter ref="A4:O9"/>
  <mergeCells count="3">
    <mergeCell ref="A1:O1"/>
    <mergeCell ref="A3:O3"/>
    <mergeCell ref="A2:O2"/>
  </mergeCells>
  <conditionalFormatting sqref="D5:D40">
    <cfRule type="expression" priority="1" dxfId="0">
      <formula>$D5="生产厂家"</formula>
    </cfRule>
    <cfRule type="expression" priority="2" dxfId="1">
      <formula>$D5="分装或复配"</formula>
    </cfRule>
    <cfRule type="expression" priority="3" dxfId="2">
      <formula>$D5="贸易经销"</formula>
    </cfRule>
    <cfRule type="expression" priority="4" dxfId="3">
      <formula>$D5="证据不足暂无法确认"</formula>
    </cfRule>
  </conditionalFormatting>
  <conditionalFormatting sqref="E5:E40">
    <cfRule type="dataBar" priority="5">
      <dataBar showValue="1">
        <cfvo type="num" val="0"/>
        <cfvo type="num" val="100"/>
        <color rgb="005B8DB8"/>
      </dataBar>
    </cfRule>
  </conditionalFormatting>
  <dataValidations count="1">
    <dataValidation sqref="D5:D40" showDropDown="0" showInputMessage="0" showErrorMessage="0" allowBlank="1" errorTitle="结论不规范" error="请选择四类结论之一" type="list">
      <formula1>"生产厂家,分装或复配,贸易经销,证据不足暂无法确认"</formula1>
    </dataValidation>
  </dataValidations>
  <printOptions horizontalCentered="1"/>
  <pageMargins left="0.3" right="0.3" top="0.45" bottom="0.45" header="0.5" footer="0.5"/>
  <pageSetup orientation="landscape" paperSize="9" fitToHeight="0" fitToWidth="1"/>
</worksheet>
</file>

<file path=xl/worksheets/sheet3.xml><?xml version="1.0" encoding="utf-8"?>
<worksheet xmlns="http://schemas.openxmlformats.org/spreadsheetml/2006/main">
  <sheetPr>
    <tabColor rgb="000F7B5F"/>
    <outlinePr summaryBelow="1" summaryRight="1"/>
    <pageSetUpPr fitToPage="1"/>
  </sheetPr>
  <dimension ref="A1:K15"/>
  <sheetViews>
    <sheetView showGridLines="0" workbookViewId="0">
      <pane ySplit="3" topLeftCell="A4" activePane="bottomLeft" state="frozen"/>
      <selection pane="bottomLeft" activeCell="A1" sqref="A1"/>
    </sheetView>
  </sheetViews>
  <sheetFormatPr baseColWidth="8" defaultRowHeight="15"/>
  <cols>
    <col width="9" customWidth="1" min="1" max="1"/>
    <col width="24" customWidth="1" min="2" max="2"/>
    <col width="11" customWidth="1" min="3" max="3"/>
    <col width="30" customWidth="1" min="4" max="4"/>
    <col width="52" customWidth="1" min="5" max="5"/>
    <col width="24" customWidth="1" min="6" max="6"/>
    <col width="40" customWidth="1" min="7" max="7"/>
    <col width="13" customWidth="1" min="8" max="8"/>
    <col width="9" customWidth="1" min="9" max="9"/>
    <col width="44" customWidth="1" min="10" max="10"/>
    <col width="14" customWidth="1" min="11" max="11"/>
  </cols>
  <sheetData>
    <row r="1" ht="44" customHeight="1">
      <c r="A1" s="28" t="inlineStr">
        <is>
          <t>02 · 直接生产证据</t>
        </is>
      </c>
    </row>
    <row r="2" ht="26" customHeight="1">
      <c r="A2" s="29" t="inlineStr">
        <is>
          <t>只有这一组能独立支撑“装置存在且在运行”。判定时只看 A 组；B 组用于交叉，C 组不计分。</t>
        </is>
      </c>
    </row>
    <row r="3" ht="20" customHeight="1">
      <c r="A3" s="30" t="inlineStr">
        <is>
          <t>报告编号 SV-2026-CN-NA2CO3-001    数据截止 2026-10-19    证据强度：●●● 强 / ●●○ 中 / ●○○ 弱</t>
        </is>
      </c>
    </row>
    <row r="4" ht="34" customHeight="1">
      <c r="A4" s="31" t="inlineStr">
        <is>
          <t>证据编号</t>
        </is>
      </c>
      <c r="B4" s="31" t="inlineStr">
        <is>
          <t>企业名称</t>
        </is>
      </c>
      <c r="C4" s="31" t="inlineStr">
        <is>
          <t>证据类别</t>
        </is>
      </c>
      <c r="D4" s="31" t="inlineStr">
        <is>
          <t>证据名称</t>
        </is>
      </c>
      <c r="E4" s="31" t="inlineStr">
        <is>
          <t>证据内容 / 原文摘录</t>
        </is>
      </c>
      <c r="F4" s="31" t="inlineStr">
        <is>
          <t>来源机构</t>
        </is>
      </c>
      <c r="G4" s="31" t="inlineStr">
        <is>
          <t>来源链接</t>
        </is>
      </c>
      <c r="H4" s="31" t="inlineStr">
        <is>
          <t>发布 / 有效期</t>
        </is>
      </c>
      <c r="I4" s="31" t="inlineStr">
        <is>
          <t>证据强度</t>
        </is>
      </c>
      <c r="J4" s="31" t="inlineStr">
        <is>
          <t>采信理由（为什么算 / 为什么不算）</t>
        </is>
      </c>
      <c r="K4" s="31" t="inlineStr">
        <is>
          <t>对应结论</t>
        </is>
      </c>
    </row>
    <row r="5" ht="104.4" customHeight="1">
      <c r="A5" s="44" t="inlineStr">
        <is>
          <t>D1</t>
        </is>
      </c>
      <c r="B5" s="34" t="inlineStr">
        <is>
          <t>山东海化股份有限公司</t>
        </is>
      </c>
      <c r="C5" s="32" t="inlineStr">
        <is>
          <t>许可与环保</t>
        </is>
      </c>
      <c r="D5" s="34" t="inlineStr">
        <is>
          <t>排污许可证：行业类别“无机碱制造”</t>
        </is>
      </c>
      <c r="E5" s="34" t="inlineStr">
        <is>
          <t>山东海化股份有限公司纯碱厂　生产经营场所地址：山东省潍坊市滨海经济技术开发区沂河大街014201号　行业类别：无机碱制造　所在地区：山东省-潍坊市-滨海区　发证机关：潍坊市生态环境局</t>
        </is>
      </c>
      <c r="F5" s="34" t="inlineStr">
        <is>
          <t>全国排污许可证管理信息平台</t>
        </is>
      </c>
      <c r="G5" s="45" t="inlineStr">
        <is>
          <t>https://permit.mee.gov.cn/perxxgkinfo/xkgkAction!xkgk.action?xkgk=getxxgkContent&amp;dataid=0dc1d33753c74827836b97bf901ac9d8</t>
        </is>
      </c>
      <c r="H5" s="34" t="inlineStr">
        <is>
          <t>2026-08 复核（有效期内）</t>
        </is>
      </c>
      <c r="I5" s="46" t="inlineStr">
        <is>
          <t>●●● 强</t>
        </is>
      </c>
      <c r="J5" s="47" t="inlineStr">
        <is>
          <t>排污许可按“行业类别 + 主要生产设施 + 排放口”核发，无机碱制造类别对应纯碱/烧碱生产装置；证载厂址与官网门牌一致，可排除“注册在 A 地、生产挂靠 B 厂”的常见套牌。这是本案例最硬的一条证据。</t>
        </is>
      </c>
      <c r="K5" s="48" t="inlineStr">
        <is>
          <t>生产厂家</t>
        </is>
      </c>
    </row>
    <row r="6" ht="76" customHeight="1">
      <c r="A6" s="49" t="inlineStr">
        <is>
          <t>D2</t>
        </is>
      </c>
      <c r="B6" s="39" t="inlineStr">
        <is>
          <t>山东海化股份有限公司</t>
        </is>
      </c>
      <c r="C6" s="37" t="inlineStr">
        <is>
          <t>产能与装置</t>
        </is>
      </c>
      <c r="D6" s="39" t="inlineStr">
        <is>
          <t>官网工厂页：两条线、280 万吨、15 个车间</t>
        </is>
      </c>
      <c r="E6" s="39" t="inlineStr">
        <is>
          <t>建成新、老两条生产线，其中老线120万吨，新线160万吨，年生产能力达280万吨，占全国总产能的十分之一……设有1个生产运行中心、7个部室、15个车间。在岗员工1886人……主导产品为纯碱（Na2CO3），分为轻质纯碱、重质纯碱，生产工艺为氨碱法。</t>
        </is>
      </c>
      <c r="F6" s="39" t="inlineStr">
        <is>
          <t>山东海化集团官网 · 成员企业</t>
        </is>
      </c>
      <c r="G6" s="50" t="inlineStr">
        <is>
          <t>https://www.haihua.com.cn/About_11/1664471386467147776.html</t>
        </is>
      </c>
      <c r="H6" s="39" t="inlineStr">
        <is>
          <t>2026-10 访问</t>
        </is>
      </c>
      <c r="I6" s="51" t="inlineStr">
        <is>
          <t>●●○ 中</t>
        </is>
      </c>
      <c r="J6" s="52" t="inlineStr">
        <is>
          <t>官网属于企业自述，单独看只能算“弱证据”；但该页同时给出装置条线、车间编制、在岗人数、工艺路线与门牌地址，可与 D1 的许可地址、D3 的年报产量三角互证，因此升级采信为直接证据的辅证。</t>
        </is>
      </c>
      <c r="K6" s="53" t="inlineStr">
        <is>
          <t>生产厂家</t>
        </is>
      </c>
    </row>
    <row r="7" ht="61.8" customHeight="1">
      <c r="A7" s="44" t="inlineStr">
        <is>
          <t>D3</t>
        </is>
      </c>
      <c r="B7" s="34" t="inlineStr">
        <is>
          <t>山东海化股份有限公司</t>
        </is>
      </c>
      <c r="C7" s="32" t="inlineStr">
        <is>
          <t>产能与装置</t>
        </is>
      </c>
      <c r="D7" s="34" t="inlineStr">
        <is>
          <t>上市公司年报：2023 年实际生产 319.31 万吨</t>
        </is>
      </c>
      <c r="E7" s="34" t="inlineStr">
        <is>
          <t>全年生产纯碱319.31万吨、烧碱（折百）27.70万吨。公司采用的氨碱法纯碱生产工艺虽在生产成本方面承压较大，但在产品品质……</t>
        </is>
      </c>
      <c r="F7" s="34" t="inlineStr">
        <is>
          <t>山东海化 2023 年年度报告（PDF）</t>
        </is>
      </c>
      <c r="G7" s="45" t="inlineStr">
        <is>
          <t>https://stockn.xueqiu.com/SZ000822/20240321181962.pdf</t>
        </is>
      </c>
      <c r="H7" s="34" t="inlineStr">
        <is>
          <t>2024-03 披露</t>
        </is>
      </c>
      <c r="I7" s="46" t="inlineStr">
        <is>
          <t>●●● 强</t>
        </is>
      </c>
      <c r="J7" s="47" t="inlineStr">
        <is>
          <t>上市公司年报披露的“生产量”口径为自产而非采购转售；319 万吨高于 280 万吨设计产能，符合氨碱装置长周期满负荷、技改挖潜的运行特征，数量级上无法由贸易量伪造。</t>
        </is>
      </c>
      <c r="K7" s="48" t="inlineStr">
        <is>
          <t>生产厂家</t>
        </is>
      </c>
    </row>
    <row r="8" ht="90.19999999999999" customHeight="1">
      <c r="A8" s="49" t="inlineStr">
        <is>
          <t>D4</t>
        </is>
      </c>
      <c r="B8" s="39" t="inlineStr">
        <is>
          <t>山东海化股份有限公司</t>
        </is>
      </c>
      <c r="C8" s="37" t="inlineStr">
        <is>
          <t>产能与装置</t>
        </is>
      </c>
      <c r="D8" s="39" t="inlineStr">
        <is>
          <t>产能置换技改：120 万吨氨碱改 100 万吨联碱</t>
        </is>
      </c>
      <c r="E8" s="39" t="inlineStr">
        <is>
          <t>以100万吨/年联碱法纯碱装置产能，置换替代公司已运行超过30年的120万吨/年氨碱法纯碱老生产线……产能置换比例为1.2:1，属于减量置换。项目总投资为48.37亿元。</t>
        </is>
      </c>
      <c r="F8" s="39" t="inlineStr">
        <is>
          <t>公司公告 / 新浪财经 / 齐鲁网</t>
        </is>
      </c>
      <c r="G8" s="50" t="inlineStr">
        <is>
          <t>https://finance.sina.com.cn/wm/2026-03-02/doc-inhpqvan8207030.shtml</t>
        </is>
      </c>
      <c r="H8" s="39" t="inlineStr">
        <is>
          <t>2026-03 至 2026-10</t>
        </is>
      </c>
      <c r="I8" s="46" t="inlineStr">
        <is>
          <t>●●● 强</t>
        </is>
      </c>
      <c r="J8" s="52" t="inlineStr">
        <is>
          <t>纯碱技改须履行产能置换程序：经省级主管部门公示、重新环评并变更排污许可。一份“减量置换”公告等于官方间接确认：该企业名下确有 120 万吨在产氨碱装置。同时提示 2026—2028 年老线停产改造，供货稳定性要写进合同。</t>
        </is>
      </c>
      <c r="K8" s="53" t="inlineStr">
        <is>
          <t>生产厂家</t>
        </is>
      </c>
    </row>
    <row r="9" ht="147" customHeight="1">
      <c r="A9" s="44" t="inlineStr">
        <is>
          <t>D5</t>
        </is>
      </c>
      <c r="B9" s="34" t="inlineStr">
        <is>
          <t>山东海化股份有限公司</t>
        </is>
      </c>
      <c r="C9" s="32" t="inlineStr">
        <is>
          <t>许可与环保</t>
        </is>
      </c>
      <c r="D9" s="34" t="inlineStr">
        <is>
          <t>同址小苏打装置单独持证（证书编号可核）</t>
        </is>
      </c>
      <c r="E9" s="34" t="inlineStr">
        <is>
          <t>排污许可证　证书编号：91370700MA3WQ80C30002V　单位名称：山东海化股份有限公司小苏打厂-小苏打二车间　生产经营场所地址：山东省潍坊市滨海经济开发区沂河大街014201号山东海化股份有限公司纯碱厂内　行业类别：无机碱制造</t>
        </is>
      </c>
      <c r="F9" s="34" t="inlineStr">
        <is>
          <t>全国排污许可证管理信息平台</t>
        </is>
      </c>
      <c r="G9" s="45" t="inlineStr">
        <is>
          <t>https://permit.mee.gov.cn/perxxgkinfo/syssb/xkgg/xkgg!downloadFile.action?method=download&amp;fileType=fbfile&amp;datafileid=83c3cc72f1254301a1a704d07865d270&amp;dataid=3b5cdc9a379841209f6d3c32e4038047</t>
        </is>
      </c>
      <c r="H9" s="34" t="inlineStr">
        <is>
          <t>2026-08 复核</t>
        </is>
      </c>
      <c r="I9" s="51" t="inlineStr">
        <is>
          <t>●●○ 中</t>
        </is>
      </c>
      <c r="J9" s="47" t="inlineStr">
        <is>
          <t>小苏打（碳酸氢钠）装置建在纯碱厂内并单独持证，说明这里是“装置群”而非单一包装车间；纯碱—小苏打联产正是氨碱/联碱企业的典型厂区结构，贸易商不可能具备。</t>
        </is>
      </c>
      <c r="K9" s="48" t="inlineStr">
        <is>
          <t>生产厂家</t>
        </is>
      </c>
    </row>
    <row r="10" ht="76" customHeight="1">
      <c r="A10" s="49" t="inlineStr">
        <is>
          <t>D6</t>
        </is>
      </c>
      <c r="B10" s="39" t="inlineStr">
        <is>
          <t>山东海化股份有限公司</t>
        </is>
      </c>
      <c r="C10" s="37" t="inlineStr">
        <is>
          <t>产能与装置</t>
        </is>
      </c>
      <c r="D10" s="39" t="inlineStr">
        <is>
          <t>自有原盐基地：羊口盐场为股份公司成员企业</t>
        </is>
      </c>
      <c r="E10" s="39" t="inlineStr">
        <is>
          <t>山东海化股份有限公司 → 山东海化股份有限公司纯碱厂 / 山东海化股份公司羊口盐场 / 山东海化股份有限公司小苏打厂 / 山东海化股份有限公司氯化钙厂</t>
        </is>
      </c>
      <c r="F10" s="39" t="inlineStr">
        <is>
          <t>山东海化集团官网 · 成员企业导航</t>
        </is>
      </c>
      <c r="G10" s="50" t="inlineStr">
        <is>
          <t>https://www.haihua.com.cn/About_11/1664470890664321024.html</t>
        </is>
      </c>
      <c r="H10" s="39" t="inlineStr">
        <is>
          <t>2026-10 访问</t>
        </is>
      </c>
      <c r="I10" s="51" t="inlineStr">
        <is>
          <t>●●○ 中</t>
        </is>
      </c>
      <c r="J10" s="52" t="inlineStr">
        <is>
          <t>氨碱法每吨纯碱约耗原盐 1.5 吨，原盐成本占比高。自有盐场 + 纯碱厂 + 氯化钙厂（消化废液）构成典型氨碱一体化布局，是“真工厂”的结构性特征；纯贸易商没有这种资产组合。</t>
        </is>
      </c>
      <c r="K10" s="53" t="inlineStr">
        <is>
          <t>生产厂家</t>
        </is>
      </c>
    </row>
    <row r="11" ht="61.8" customHeight="1">
      <c r="A11" s="44" t="inlineStr">
        <is>
          <t>D1</t>
        </is>
      </c>
      <c r="B11" s="34" t="inlineStr">
        <is>
          <t>内蒙古博源银根化工有限公司</t>
        </is>
      </c>
      <c r="C11" s="32" t="inlineStr">
        <is>
          <t>产能与装置</t>
        </is>
      </c>
      <c r="D11" s="34" t="inlineStr">
        <is>
          <t>上市公司公告：一期 500 万吨纯碱达产</t>
        </is>
      </c>
      <c r="E11" s="34" t="inlineStr">
        <is>
          <t>银根矿业阿拉善塔木素天然碱开发利用项目规划总产能为纯碱780万吨/年、小苏打80万吨/年……目前一期已达产，已形成年产500万吨纯碱和40万吨小苏打的生产能力。</t>
        </is>
      </c>
      <c r="F11" s="34" t="inlineStr">
        <is>
          <t>博源化工（000683）公告 · 巨潮资讯 / 新浪财经</t>
        </is>
      </c>
      <c r="G11" s="45" t="inlineStr">
        <is>
          <t>https://static.cninfo.com.cn/finalpage/2026-05-20/1225316281.PDF</t>
        </is>
      </c>
      <c r="H11" s="34" t="inlineStr">
        <is>
          <t>2026-05-20</t>
        </is>
      </c>
      <c r="I11" s="46" t="inlineStr">
        <is>
          <t>●●● 强</t>
        </is>
      </c>
      <c r="J11" s="47" t="inlineStr">
        <is>
          <t>上市公司公告对“达产”表述承担披露责任，且产能数字与项目备案、后续碳回收项目规模互相印证，属于强证据。</t>
        </is>
      </c>
      <c r="K11" s="48" t="inlineStr">
        <is>
          <t>生产厂家</t>
        </is>
      </c>
    </row>
    <row r="12" ht="47.59999999999999" customHeight="1">
      <c r="A12" s="49" t="inlineStr">
        <is>
          <t>D2</t>
        </is>
      </c>
      <c r="B12" s="39" t="inlineStr">
        <is>
          <t>内蒙古博源银根化工有限公司</t>
        </is>
      </c>
      <c r="C12" s="37" t="inlineStr">
        <is>
          <t>产能与装置</t>
        </is>
      </c>
      <c r="D12" s="39" t="inlineStr">
        <is>
          <t>二期启动公告：分期建设、总投资与进度</t>
        </is>
      </c>
      <c r="E12" s="39" t="inlineStr">
        <is>
          <t>项目总体规划纯碱780万吨/年、小苏打80万吨/年，分两期建设，其中一期规划建设纯碱500万吨/年……本次启动阿拉善塔木素天然碱开发利用项目二期。</t>
        </is>
      </c>
      <c r="F12" s="39" t="inlineStr">
        <is>
          <t>远兴能源公告（PDF）</t>
        </is>
      </c>
      <c r="G12" s="50" t="inlineStr">
        <is>
          <t>https://pdf.dfcfw.com/pdf/H2_AN202312281615153969_1.pdf</t>
        </is>
      </c>
      <c r="H12" s="39" t="inlineStr">
        <is>
          <t>2023-12-28</t>
        </is>
      </c>
      <c r="I12" s="46" t="inlineStr">
        <is>
          <t>●●● 强</t>
        </is>
      </c>
      <c r="J12" s="52" t="inlineStr">
        <is>
          <t>分期建设的产能规划与 D1 的“一期达产”形成时间序列，说明不是一次性宣传口径，而是持续投入的实体项目。</t>
        </is>
      </c>
      <c r="K12" s="53" t="inlineStr">
        <is>
          <t>生产厂家</t>
        </is>
      </c>
    </row>
    <row r="13" ht="47.59999999999999" customHeight="1">
      <c r="A13" s="44" t="inlineStr">
        <is>
          <t>D3</t>
        </is>
      </c>
      <c r="B13" s="34" t="inlineStr">
        <is>
          <t>内蒙古博源银根化工有限公司</t>
        </is>
      </c>
      <c r="C13" s="32" t="inlineStr">
        <is>
          <t>产能与装置</t>
        </is>
      </c>
      <c r="D13" s="34" t="inlineStr">
        <is>
          <t>资源底座：塔木素天然碱矿 10.78 亿吨</t>
        </is>
      </c>
      <c r="E13" s="34" t="inlineStr">
        <is>
          <t>公司位于内蒙古阿拉善盟阿拉善右旗塔木素苏木恩格日乌苏嘎查境内……所持有并开采的塔木素天然碱矿资源储量丰富，已探明天然碱矿石量10.78亿吨。</t>
        </is>
      </c>
      <c r="F13" s="34" t="inlineStr">
        <is>
          <t>内蒙古博源银根矿业官网</t>
        </is>
      </c>
      <c r="G13" s="45" t="inlineStr">
        <is>
          <t>https://boyuanyingen.com/</t>
        </is>
      </c>
      <c r="H13" s="34" t="inlineStr">
        <is>
          <t>2026-10 访问</t>
        </is>
      </c>
      <c r="I13" s="51" t="inlineStr">
        <is>
          <t>●●○ 中</t>
        </is>
      </c>
      <c r="J13" s="47" t="inlineStr">
        <is>
          <t>天然碱法企业必须绑定矿山资源与采矿权。有矿权、有选矿与加工装置，才可能稳定产出重碱；纯贸易商无法复制这一结构。</t>
        </is>
      </c>
      <c r="K13" s="48" t="inlineStr">
        <is>
          <t>生产厂家</t>
        </is>
      </c>
    </row>
    <row r="14" ht="61.8" customHeight="1">
      <c r="A14" s="49" t="inlineStr">
        <is>
          <t>D4</t>
        </is>
      </c>
      <c r="B14" s="39" t="inlineStr">
        <is>
          <t>内蒙古博源银根化工有限公司</t>
        </is>
      </c>
      <c r="C14" s="37" t="inlineStr">
        <is>
          <t>产能与装置</t>
        </is>
      </c>
      <c r="D14" s="39" t="inlineStr">
        <is>
          <t>非计划停产公告：降负荷 3,000 吨/天</t>
        </is>
      </c>
      <c r="E14" s="39" t="inlineStr">
        <is>
          <t>远兴能源：控股子公司阿拉善塔木素天然碱开发利用项目生产线因设备故障降负荷运行，预计影响纯碱产量约3,000吨/天。</t>
        </is>
      </c>
      <c r="F14" s="39" t="inlineStr">
        <is>
          <t>财联社</t>
        </is>
      </c>
      <c r="G14" s="50" t="inlineStr">
        <is>
          <t>https://www.cls.cn/detail/1790345</t>
        </is>
      </c>
      <c r="H14" s="39" t="inlineStr">
        <is>
          <t>2025-04</t>
        </is>
      </c>
      <c r="I14" s="46" t="inlineStr">
        <is>
          <t>●●● 强</t>
        </is>
      </c>
      <c r="J14" s="52" t="inlineStr">
        <is>
          <t>“停产/降负荷”公告是判断真实在产的最好侧证：只有拥有运行装置的企业，才需要向市场披露产量损失。造假者通常只宣传产能，不会公告故障。</t>
        </is>
      </c>
      <c r="K14" s="53" t="inlineStr">
        <is>
          <t>生产厂家</t>
        </is>
      </c>
    </row>
    <row r="15" ht="47.59999999999999" customHeight="1">
      <c r="A15" s="44" t="inlineStr">
        <is>
          <t>D5</t>
        </is>
      </c>
      <c r="B15" s="34" t="inlineStr">
        <is>
          <t>内蒙古博源银根化工有限公司</t>
        </is>
      </c>
      <c r="C15" s="32" t="inlineStr">
        <is>
          <t>产能与装置</t>
        </is>
      </c>
      <c r="D15" s="34" t="inlineStr">
        <is>
          <t>项目列入自治区与盟级重点项目</t>
        </is>
      </c>
      <c r="E15" s="34" t="inlineStr">
        <is>
          <t>银根矿业阿拉善塔木素天然碱项目已被列为阿拉善盟和内蒙古自治区重点项目。</t>
        </is>
      </c>
      <c r="F15" s="34" t="inlineStr">
        <is>
          <t>券商研报 / 证券时报</t>
        </is>
      </c>
      <c r="G15" s="45" t="inlineStr">
        <is>
          <t>https://www.stcn.com/article/detail/1077670.html</t>
        </is>
      </c>
      <c r="H15" s="34" t="inlineStr">
        <is>
          <t>2023-12</t>
        </is>
      </c>
      <c r="I15" s="51" t="inlineStr">
        <is>
          <t>●●○ 中</t>
        </is>
      </c>
      <c r="J15" s="47" t="inlineStr">
        <is>
          <t>重点项目身份意味着备案、用地、环评、能耗指标均已落地；属间接证据，需与 D1/D2 联读。</t>
        </is>
      </c>
      <c r="K15" s="48" t="inlineStr">
        <is>
          <t>生产厂家</t>
        </is>
      </c>
    </row>
  </sheetData>
  <autoFilter ref="A4:K15"/>
  <mergeCells count="3">
    <mergeCell ref="A2:K2"/>
    <mergeCell ref="A1:K1"/>
    <mergeCell ref="A3:K3"/>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s>
  <printOptions horizontalCentered="1"/>
  <pageMargins left="0.3" right="0.3" top="0.45" bottom="0.45" header="0.5" footer="0.5"/>
  <pageSetup orientation="landscape" paperSize="9" fitToHeight="0" fitToWidth="1"/>
</worksheet>
</file>

<file path=xl/worksheets/sheet4.xml><?xml version="1.0" encoding="utf-8"?>
<worksheet xmlns="http://schemas.openxmlformats.org/spreadsheetml/2006/main">
  <sheetPr>
    <tabColor rgb="0016324F"/>
    <outlinePr summaryBelow="1" summaryRight="1"/>
    <pageSetUpPr fitToPage="1"/>
  </sheetPr>
  <dimension ref="A1:K21"/>
  <sheetViews>
    <sheetView showGridLines="0" workbookViewId="0">
      <pane ySplit="3" topLeftCell="A4" activePane="bottomLeft" state="frozen"/>
      <selection pane="bottomLeft" activeCell="A1" sqref="A1"/>
    </sheetView>
  </sheetViews>
  <sheetFormatPr baseColWidth="8" defaultRowHeight="15"/>
  <cols>
    <col width="9" customWidth="1" min="1" max="1"/>
    <col width="24" customWidth="1" min="2" max="2"/>
    <col width="11" customWidth="1" min="3" max="3"/>
    <col width="30" customWidth="1" min="4" max="4"/>
    <col width="52" customWidth="1" min="5" max="5"/>
    <col width="24" customWidth="1" min="6" max="6"/>
    <col width="40" customWidth="1" min="7" max="7"/>
    <col width="13" customWidth="1" min="8" max="8"/>
    <col width="9" customWidth="1" min="9" max="9"/>
    <col width="44" customWidth="1" min="10" max="10"/>
    <col width="14" customWidth="1" min="11" max="11"/>
  </cols>
  <sheetData>
    <row r="1" ht="44" customHeight="1">
      <c r="A1" s="28" t="inlineStr">
        <is>
          <t>03 · 间接业务证据</t>
        </is>
      </c>
    </row>
    <row r="2" ht="26" customHeight="1">
      <c r="A2" s="29" t="inlineStr">
        <is>
          <t>能证明“确实在做纯碱（碳酸钠 Na₂CO₃）这门生意”，但不能单独证明自产，必须与 A 组联读。</t>
        </is>
      </c>
    </row>
    <row r="3" ht="20" customHeight="1">
      <c r="A3" s="30" t="inlineStr">
        <is>
          <t>报告编号 SV-2026-CN-NA2CO3-001    数据截止 2026-10-19    证据强度：●●● 强 / ●●○ 中 / ●○○ 弱</t>
        </is>
      </c>
    </row>
    <row r="4" ht="34" customHeight="1">
      <c r="A4" s="31" t="inlineStr">
        <is>
          <t>证据编号</t>
        </is>
      </c>
      <c r="B4" s="31" t="inlineStr">
        <is>
          <t>企业名称</t>
        </is>
      </c>
      <c r="C4" s="31" t="inlineStr">
        <is>
          <t>证据类别</t>
        </is>
      </c>
      <c r="D4" s="31" t="inlineStr">
        <is>
          <t>证据名称</t>
        </is>
      </c>
      <c r="E4" s="31" t="inlineStr">
        <is>
          <t>证据内容 / 原文摘录</t>
        </is>
      </c>
      <c r="F4" s="31" t="inlineStr">
        <is>
          <t>来源机构</t>
        </is>
      </c>
      <c r="G4" s="31" t="inlineStr">
        <is>
          <t>来源链接</t>
        </is>
      </c>
      <c r="H4" s="31" t="inlineStr">
        <is>
          <t>发布 / 有效期</t>
        </is>
      </c>
      <c r="I4" s="31" t="inlineStr">
        <is>
          <t>证据强度</t>
        </is>
      </c>
      <c r="J4" s="31" t="inlineStr">
        <is>
          <t>采信理由（为什么算 / 为什么不算）</t>
        </is>
      </c>
      <c r="K4" s="31" t="inlineStr">
        <is>
          <t>对应结论</t>
        </is>
      </c>
    </row>
    <row r="5" ht="47.59999999999999" customHeight="1">
      <c r="A5" s="44" t="inlineStr">
        <is>
          <t>I1</t>
        </is>
      </c>
      <c r="B5" s="34" t="inlineStr">
        <is>
          <t>山东海化股份有限公司</t>
        </is>
      </c>
      <c r="C5" s="32" t="inlineStr">
        <is>
          <t>产品与市场</t>
        </is>
      </c>
      <c r="D5" s="34" t="inlineStr">
        <is>
          <t>海化商城：自建 B2B 在售纯碱</t>
        </is>
      </c>
      <c r="E5" s="34" t="inlineStr">
        <is>
          <t>海化商城为山东海化自营电子交易平台，挂牌销售纯碱、小苏打、氯化钙、溴素等自产品。</t>
        </is>
      </c>
      <c r="F5" s="34" t="inlineStr">
        <is>
          <t>海化商城（e-sale.haihua.com.cn）</t>
        </is>
      </c>
      <c r="G5" s="45" t="inlineStr">
        <is>
          <t>https://e-sale.haihua.com.cn</t>
        </is>
      </c>
      <c r="H5" s="34" t="inlineStr">
        <is>
          <t>2026-10 访问</t>
        </is>
      </c>
      <c r="I5" s="51" t="inlineStr">
        <is>
          <t>●●○ 中</t>
        </is>
      </c>
      <c r="J5" s="47" t="inlineStr">
        <is>
          <t>自营平台说明“销售主体 = 生产主体”，可作为交付与结算路径的佐证；但平台本身不证明产能，需与 D1/D3 联合使用。</t>
        </is>
      </c>
      <c r="K5" s="48" t="inlineStr">
        <is>
          <t>生产厂家</t>
        </is>
      </c>
    </row>
    <row r="6" ht="47.59999999999999" customHeight="1">
      <c r="A6" s="49" t="inlineStr">
        <is>
          <t>I2</t>
        </is>
      </c>
      <c r="B6" s="39" t="inlineStr">
        <is>
          <t>山东海化股份有限公司</t>
        </is>
      </c>
      <c r="C6" s="37" t="inlineStr">
        <is>
          <t>产品与市场</t>
        </is>
      </c>
      <c r="D6" s="39" t="inlineStr">
        <is>
          <t>官网产品名录：轻质/重质纯碱规格齐全</t>
        </is>
      </c>
      <c r="E6" s="39" t="inlineStr">
        <is>
          <t>产品名录按纯碱（轻质、重质）、小苏打、氯化钙、溴素等分类，标注牌号“鸢都”及应用领域。</t>
        </is>
      </c>
      <c r="F6" s="39" t="inlineStr">
        <is>
          <t>山东海化集团官网 · 产品营销</t>
        </is>
      </c>
      <c r="G6" s="50" t="inlineStr">
        <is>
          <t>https://www.haihua.com.cn/About_6/990945257334263808.html</t>
        </is>
      </c>
      <c r="H6" s="39" t="inlineStr">
        <is>
          <t>2026-10 访问</t>
        </is>
      </c>
      <c r="I6" s="51" t="inlineStr">
        <is>
          <t>●●○ 中</t>
        </is>
      </c>
      <c r="J6" s="52" t="inlineStr">
        <is>
          <t>产品页能证明“公开资料中存在目标产品”，是判断供应商是否经营该品类的必要但不充分条件；需注意贸易商官网同样可以挂产品页。</t>
        </is>
      </c>
      <c r="K6" s="53" t="inlineStr">
        <is>
          <t>生产厂家</t>
        </is>
      </c>
    </row>
    <row r="7" ht="61.8" customHeight="1">
      <c r="A7" s="44" t="inlineStr">
        <is>
          <t>I3</t>
        </is>
      </c>
      <c r="B7" s="34" t="inlineStr">
        <is>
          <t>山东海化股份有限公司</t>
        </is>
      </c>
      <c r="C7" s="32" t="inlineStr">
        <is>
          <t>运营痕迹</t>
        </is>
      </c>
      <c r="D7" s="34" t="inlineStr">
        <is>
          <t>物流配置：铁运分公司 + 汽运公司 + 供应链公司</t>
        </is>
      </c>
      <c r="E7" s="34" t="inlineStr">
        <is>
          <t>成员企业含：山东海化能源有限公司铁运分公司、山东海化集团潍坊永安汽车运输有限公司、潍坊长运供应链管理有限公司。</t>
        </is>
      </c>
      <c r="F7" s="34" t="inlineStr">
        <is>
          <t>山东海化集团官网 · 成员企业</t>
        </is>
      </c>
      <c r="G7" s="45" t="inlineStr">
        <is>
          <t>https://www.haihua.com.cn/About_11/1664470890664321024.html</t>
        </is>
      </c>
      <c r="H7" s="34" t="inlineStr">
        <is>
          <t>2026-10 访问</t>
        </is>
      </c>
      <c r="I7" s="51" t="inlineStr">
        <is>
          <t>●●○ 中</t>
        </is>
      </c>
      <c r="J7" s="47" t="inlineStr">
        <is>
          <t>大宗纯碱依赖铁路专用线与汽运车队。自有铁运/汽运主体说明其具备整列发运与出厂交付能力，与“厂门口提货”的贸易商模式不同。</t>
        </is>
      </c>
      <c r="K7" s="48" t="inlineStr">
        <is>
          <t>生产厂家</t>
        </is>
      </c>
    </row>
    <row r="8" ht="47.59999999999999" customHeight="1">
      <c r="A8" s="49" t="inlineStr">
        <is>
          <t>I4</t>
        </is>
      </c>
      <c r="B8" s="39" t="inlineStr">
        <is>
          <t>山东海化股份有限公司</t>
        </is>
      </c>
      <c r="C8" s="37" t="inlineStr">
        <is>
          <t>运营痕迹</t>
        </is>
      </c>
      <c r="D8" s="39" t="inlineStr">
        <is>
          <t>人才招聘入口：长期招录化工操作与设备岗位</t>
        </is>
      </c>
      <c r="E8" s="39" t="inlineStr">
        <is>
          <t>官网设“社会招聘 / 校园招聘”栏目，岗位以化工操作、设备维护、分析化验为主。</t>
        </is>
      </c>
      <c r="F8" s="39" t="inlineStr">
        <is>
          <t>山东海化集团官网 · 人才招聘</t>
        </is>
      </c>
      <c r="G8" s="50" t="inlineStr">
        <is>
          <t>https://www.haihua.com.cn/About_14.html</t>
        </is>
      </c>
      <c r="H8" s="39" t="inlineStr">
        <is>
          <t>2026-10 访问</t>
        </is>
      </c>
      <c r="I8" s="54" t="inlineStr">
        <is>
          <t>●○○ 弱</t>
        </is>
      </c>
      <c r="J8" s="52" t="inlineStr">
        <is>
          <t>连续招聘一线操作岗是“装置在运行”的软信号；但需抓到具体岗位 JD（含工作地点、班制、装置名称）才能升级为中等强度证据。</t>
        </is>
      </c>
      <c r="K8" s="53" t="inlineStr">
        <is>
          <t>生产厂家</t>
        </is>
      </c>
    </row>
    <row r="9" ht="61.8" customHeight="1">
      <c r="A9" s="44" t="inlineStr">
        <is>
          <t>I5</t>
        </is>
      </c>
      <c r="B9" s="34" t="inlineStr">
        <is>
          <t>山东海化股份有限公司</t>
        </is>
      </c>
      <c r="C9" s="32" t="inlineStr">
        <is>
          <t>产品与市场</t>
        </is>
      </c>
      <c r="D9" s="34" t="inlineStr">
        <is>
          <t>行业媒体：48 亿元绿色技改的持续报道</t>
        </is>
      </c>
      <c r="E9" s="34" t="inlineStr">
        <is>
          <t>4.83亿元政策性借款落地，将用于山东海化纯碱改造项目；项目以100万吨/年联碱法装置置换原有120万吨/年氨碱法装置。</t>
        </is>
      </c>
      <c r="F9" s="34" t="inlineStr">
        <is>
          <t>新浪财经 / 齐鲁网 / 中证网</t>
        </is>
      </c>
      <c r="G9" s="45" t="inlineStr">
        <is>
          <t>https://news.iqilu.com/shandong/shandonggedi/20261013/5951923.shtml</t>
        </is>
      </c>
      <c r="H9" s="34" t="inlineStr">
        <is>
          <t>2026-03 至 2026-10</t>
        </is>
      </c>
      <c r="I9" s="54" t="inlineStr">
        <is>
          <t>●○○ 弱</t>
        </is>
      </c>
      <c r="J9" s="47" t="inlineStr">
        <is>
          <t>多家媒体与政策性银行同时披露同一项目，说明项目已进入资金落地阶段；媒体本身是二手信息，只作旁证，不替代 D4 的公告原文。</t>
        </is>
      </c>
      <c r="K9" s="48" t="inlineStr">
        <is>
          <t>生产厂家</t>
        </is>
      </c>
    </row>
    <row r="10" ht="61.8" customHeight="1">
      <c r="A10" s="49" t="inlineStr">
        <is>
          <t>I1</t>
        </is>
      </c>
      <c r="B10" s="39" t="inlineStr">
        <is>
          <t>内蒙古博源银根化工有限公司</t>
        </is>
      </c>
      <c r="C10" s="37" t="inlineStr">
        <is>
          <t>运营痕迹</t>
        </is>
      </c>
      <c r="D10" s="39" t="inlineStr">
        <is>
          <t>碳回收综合利用项目：装置群在扩张</t>
        </is>
      </c>
      <c r="E10" s="39" t="inlineStr">
        <is>
          <t>利用天然碱开发利用项目生产过程中产生的二氧化碳气体及含碱母液，结合风电、光伏发电……投资建设碳回收综合利用项目。</t>
        </is>
      </c>
      <c r="F10" s="39" t="inlineStr">
        <is>
          <t>公司公告（PDF）</t>
        </is>
      </c>
      <c r="G10" s="50" t="inlineStr">
        <is>
          <t>https://file.finance.qq.com/finance/hs/pdf/2025/04/25/1223283096.PDF</t>
        </is>
      </c>
      <c r="H10" s="39" t="inlineStr">
        <is>
          <t>2025-04-25</t>
        </is>
      </c>
      <c r="I10" s="51" t="inlineStr">
        <is>
          <t>●●○ 中</t>
        </is>
      </c>
      <c r="J10" s="52" t="inlineStr">
        <is>
          <t>碳回收项目依附于纯碱装置的二氧化碳与含碱母液，说明主装置已稳定运行并产生可计量的尾气/母液。</t>
        </is>
      </c>
      <c r="K10" s="53" t="inlineStr">
        <is>
          <t>生产厂家</t>
        </is>
      </c>
    </row>
    <row r="11" ht="61.8" customHeight="1">
      <c r="A11" s="44" t="inlineStr">
        <is>
          <t>I2</t>
        </is>
      </c>
      <c r="B11" s="34" t="inlineStr">
        <is>
          <t>内蒙古博源银根化工有限公司</t>
        </is>
      </c>
      <c r="C11" s="32" t="inlineStr">
        <is>
          <t>产品与市场</t>
        </is>
      </c>
      <c r="D11" s="34" t="inlineStr">
        <is>
          <t>纯碱期货交割品牌与厂库体系</t>
        </is>
      </c>
      <c r="E11" s="34" t="inlineStr">
        <is>
          <t>生产企业符合纯碱期货交割标准的重碱年产量30万吨以上；贸易企业符合纯碱期货交割标准的重碱年贸易量15万吨以上。</t>
        </is>
      </c>
      <c r="F11" s="34" t="inlineStr">
        <is>
          <t>郑州商品交易所</t>
        </is>
      </c>
      <c r="G11" s="45" t="inlineStr">
        <is>
          <t>https://finance.sina.com.cn/wm/2026-07-06/doc-inifwmvv1799146.shtml</t>
        </is>
      </c>
      <c r="H11" s="34" t="inlineStr">
        <is>
          <t>2026-07 公告</t>
        </is>
      </c>
      <c r="I11" s="51" t="inlineStr">
        <is>
          <t>●●○ 中</t>
        </is>
      </c>
      <c r="J11" s="47" t="inlineStr">
        <is>
          <t>郑商所对生产型厂库设有 30 万吨/年重碱产量门槛并需现场考察，进入交割体系可作为产能与品质的第三方背书；具体名单应以郑商所最新公告为准。</t>
        </is>
      </c>
      <c r="K11" s="48" t="inlineStr">
        <is>
          <t>生产厂家</t>
        </is>
      </c>
    </row>
    <row r="12" ht="47.59999999999999" customHeight="1">
      <c r="A12" s="49" t="inlineStr">
        <is>
          <t>I3</t>
        </is>
      </c>
      <c r="B12" s="39" t="inlineStr">
        <is>
          <t>内蒙古博源银根化工有限公司</t>
        </is>
      </c>
      <c r="C12" s="37" t="inlineStr">
        <is>
          <t>产品与市场</t>
        </is>
      </c>
      <c r="D12" s="39" t="inlineStr">
        <is>
          <t>行业报道：天然碱法成本优势</t>
        </is>
      </c>
      <c r="E12" s="39" t="inlineStr">
        <is>
          <t>天然碱法单吨成本显著低于氨碱法，项目投产后改变国内纯碱供给格局。</t>
        </is>
      </c>
      <c r="F12" s="39" t="inlineStr">
        <is>
          <t>证券时报 / 券商研报</t>
        </is>
      </c>
      <c r="G12" s="50" t="inlineStr">
        <is>
          <t>https://www.stcn.com/article/detail/1077670.html</t>
        </is>
      </c>
      <c r="H12" s="39" t="inlineStr">
        <is>
          <t>2024—2025</t>
        </is>
      </c>
      <c r="I12" s="54" t="inlineStr">
        <is>
          <t>●○○ 弱</t>
        </is>
      </c>
      <c r="J12" s="52" t="inlineStr">
        <is>
          <t>媒体分析属二手信息，仅用于理解其成本位置与扩产动机，不单独作为产能证据。</t>
        </is>
      </c>
      <c r="K12" s="53" t="inlineStr">
        <is>
          <t>生产厂家</t>
        </is>
      </c>
    </row>
    <row r="13" ht="90.19999999999999" customHeight="1">
      <c r="A13" s="44" t="inlineStr">
        <is>
          <t>I1</t>
        </is>
      </c>
      <c r="B13" s="34" t="inlineStr">
        <is>
          <t>浙江杭实善成实业有限公司</t>
        </is>
      </c>
      <c r="C13" s="32" t="inlineStr">
        <is>
          <t>产品与市场</t>
        </is>
      </c>
      <c r="D13" s="34" t="inlineStr">
        <is>
          <t>郑商所公告：增设为纯碱指定交割厂库</t>
        </is>
      </c>
      <c r="E13" s="34" t="inlineStr">
        <is>
          <t>郑商所8月25日——关于增设指定纯碱交割厂库的公告：增设……浙江杭实善成实业有限公司、河北正大玻璃有限公司为指定纯碱交割厂库。</t>
        </is>
      </c>
      <c r="F13" s="34" t="inlineStr">
        <is>
          <t>郑州商品交易所公告（2020-08-25）</t>
        </is>
      </c>
      <c r="G13" s="45" t="inlineStr">
        <is>
          <t>https://www.xinhu.cn/article/zhengshangsuo8yue25ri-guanyuzengshezhidingchunjianjiaogechangkudegonggao-91311-1.html</t>
        </is>
      </c>
      <c r="H13" s="34" t="inlineStr">
        <is>
          <t>2020-08-26</t>
        </is>
      </c>
      <c r="I13" s="46" t="inlineStr">
        <is>
          <t>●●● 强</t>
        </is>
      </c>
      <c r="J13" s="47" t="inlineStr">
        <is>
          <t>这是“正向的贸易证据”：能成为交割厂库说明其具备仓储、质检、资金与交割能力，但郑商所规则同时允许生产企业和贸易企业申请，因此该资格不能推出“自产”。</t>
        </is>
      </c>
      <c r="K13" s="48" t="inlineStr">
        <is>
          <t>贸易经销</t>
        </is>
      </c>
    </row>
    <row r="14" ht="47.59999999999999" customHeight="1">
      <c r="A14" s="49" t="inlineStr">
        <is>
          <t>I2</t>
        </is>
      </c>
      <c r="B14" s="39" t="inlineStr">
        <is>
          <t>浙江杭实善成实业有限公司</t>
        </is>
      </c>
      <c r="C14" s="37" t="inlineStr">
        <is>
          <t>产品与市场</t>
        </is>
      </c>
      <c r="D14" s="39" t="inlineStr">
        <is>
          <t>行业媒体明确称其为“纯碱贸易商厂库”</t>
        </is>
      </c>
      <c r="E14" s="39" t="inlineStr">
        <is>
          <t>浙江杭实善成实业有限公司、浙江景诚实业有限公司、杭州冀正贸易有限公司等多家纯碱贸易商厂库也都落地于此，为当地纯碱市场营造了较好的期现氛围。</t>
        </is>
      </c>
      <c r="F14" s="39" t="inlineStr">
        <is>
          <t>期货日报（走访沙河）</t>
        </is>
      </c>
      <c r="G14" s="50" t="inlineStr">
        <is>
          <t>https://edu.dzqh.com.cn:33443/14393.html</t>
        </is>
      </c>
      <c r="H14" s="39" t="inlineStr">
        <is>
          <t>2024—2025</t>
        </is>
      </c>
      <c r="I14" s="46" t="inlineStr">
        <is>
          <t>●●● 强</t>
        </is>
      </c>
      <c r="J14" s="52" t="inlineStr">
        <is>
          <t>媒体将其与另两家贸易企业并列称为“贸易商厂库”，性质表述明确；这比“没有找到生产证据”更强，属于对“贸易经销”的正向认定。</t>
        </is>
      </c>
      <c r="K14" s="53" t="inlineStr">
        <is>
          <t>贸易经销</t>
        </is>
      </c>
    </row>
    <row r="15" ht="47.59999999999999" customHeight="1">
      <c r="A15" s="44" t="inlineStr">
        <is>
          <t>I3</t>
        </is>
      </c>
      <c r="B15" s="34" t="inlineStr">
        <is>
          <t>浙江杭实善成实业有限公司</t>
        </is>
      </c>
      <c r="C15" s="32" t="inlineStr">
        <is>
          <t>运营痕迹</t>
        </is>
      </c>
      <c r="D15" s="34" t="inlineStr">
        <is>
          <t>公司化工事业部负责人谈纯碱期现与贸易</t>
        </is>
      </c>
      <c r="E15" s="34" t="inlineStr">
        <is>
          <t>浙江杭实善成实业有限公司玻璃纯碱负责人刘哲表示，2024年上半年，重碱需求端光伏玻璃及浮法玻璃产量增加对纯碱现货价格有一定支撑……</t>
        </is>
      </c>
      <c r="F15" s="34" t="inlineStr">
        <is>
          <t>证券时报 / 上海证券报</t>
        </is>
      </c>
      <c r="G15" s="45" t="inlineStr">
        <is>
          <t>https://stcn.com/article/detail/1510460.html</t>
        </is>
      </c>
      <c r="H15" s="34" t="inlineStr">
        <is>
          <t>2019-12 至 2025-01</t>
        </is>
      </c>
      <c r="I15" s="51" t="inlineStr">
        <is>
          <t>●●○ 中</t>
        </is>
      </c>
      <c r="J15" s="47" t="inlineStr">
        <is>
          <t>以“玻璃纯碱负责人”身份对现货价格与需求发表判断，符合贸易商/期现商的业务角色；生产企业通常由销售或生产负责人出面谈产能与成本。</t>
        </is>
      </c>
      <c r="K15" s="48" t="inlineStr">
        <is>
          <t>贸易经销</t>
        </is>
      </c>
    </row>
    <row r="16" ht="47.59999999999999" customHeight="1">
      <c r="A16" s="49" t="inlineStr">
        <is>
          <t>I4</t>
        </is>
      </c>
      <c r="B16" s="39" t="inlineStr">
        <is>
          <t>浙江杭实善成实业有限公司</t>
        </is>
      </c>
      <c r="C16" s="37" t="inlineStr">
        <is>
          <t>产品与市场</t>
        </is>
      </c>
      <c r="D16" s="39" t="inlineStr">
        <is>
          <t>沙河布局：贴近玻璃集群的贸易商厂库</t>
        </is>
      </c>
      <c r="E16" s="39" t="inlineStr">
        <is>
          <t>沙河是纯碱和玻璃产品的集散地……多家纯碱贸易商厂库落地于此。</t>
        </is>
      </c>
      <c r="F16" s="39" t="inlineStr">
        <is>
          <t>期货日报</t>
        </is>
      </c>
      <c r="G16" s="50" t="inlineStr">
        <is>
          <t>https://edu.dzqh.com.cn:33443/14393.html</t>
        </is>
      </c>
      <c r="H16" s="39" t="inlineStr">
        <is>
          <t>2024—2025</t>
        </is>
      </c>
      <c r="I16" s="51" t="inlineStr">
        <is>
          <t>●●○ 中</t>
        </is>
      </c>
      <c r="J16" s="52" t="inlineStr">
        <is>
          <t>在消费地设厂库、做期现套利，是贸易商的典型动作；生产企业会在资源地建装置，不会只在集散地建库。</t>
        </is>
      </c>
      <c r="K16" s="53" t="inlineStr">
        <is>
          <t>贸易经销</t>
        </is>
      </c>
    </row>
    <row r="17" ht="47.59999999999999" customHeight="1">
      <c r="A17" s="44" t="inlineStr">
        <is>
          <t>I1</t>
        </is>
      </c>
      <c r="B17" s="34" t="inlineStr">
        <is>
          <t>某食品配料有限公司（脱敏样例）</t>
        </is>
      </c>
      <c r="C17" s="32" t="inlineStr">
        <is>
          <t>许可与环保</t>
        </is>
      </c>
      <c r="D17" s="34" t="inlineStr">
        <is>
          <t>食品生产许可证：许可明细为“分装”</t>
        </is>
      </c>
      <c r="E17" s="34" t="inlineStr">
        <is>
          <t>许可类别：食品添加剂；品种明细：碳酸钠（分装）；生产地址：XX 食品产业园 3 号厂房。</t>
        </is>
      </c>
      <c r="F17" s="34" t="inlineStr">
        <is>
          <t>国家企业信用信息公示系统 / 对方提供</t>
        </is>
      </c>
      <c r="G17" s="34" t="inlineStr"/>
      <c r="H17" s="34" t="inlineStr">
        <is>
          <t>2026-09</t>
        </is>
      </c>
      <c r="I17" s="51" t="inlineStr">
        <is>
          <t>●●○ 中</t>
        </is>
      </c>
      <c r="J17" s="47" t="inlineStr">
        <is>
          <t>SC 证能证明“有食品级生产/分装资质”，但“分装”二字同时说明其不合成纯碱。这是典型的“真证、非厂家”。</t>
        </is>
      </c>
      <c r="K17" s="48" t="inlineStr">
        <is>
          <t>分装或复配</t>
        </is>
      </c>
    </row>
    <row r="18" ht="47.59999999999999" customHeight="1">
      <c r="A18" s="49" t="inlineStr">
        <is>
          <t>I2</t>
        </is>
      </c>
      <c r="B18" s="39" t="inlineStr">
        <is>
          <t>某食品配料有限公司（脱敏样例）</t>
        </is>
      </c>
      <c r="C18" s="37" t="inlineStr">
        <is>
          <t>产能与装置</t>
        </is>
      </c>
      <c r="D18" s="39" t="inlineStr">
        <is>
          <t>车间设备清单：只有后处理设备</t>
        </is>
      </c>
      <c r="E18" s="39" t="inlineStr">
        <is>
          <t>主要设备：气流粉碎机、旋振筛、V 型混合机、螺杆计量包装机、喷码机。</t>
        </is>
      </c>
      <c r="F18" s="39" t="inlineStr">
        <is>
          <t>对方提供的设备清单与车间照片</t>
        </is>
      </c>
      <c r="G18" s="39" t="inlineStr"/>
      <c r="H18" s="39" t="inlineStr">
        <is>
          <t>2026-09</t>
        </is>
      </c>
      <c r="I18" s="51" t="inlineStr">
        <is>
          <t>●●○ 中</t>
        </is>
      </c>
      <c r="J18" s="52" t="inlineStr">
        <is>
          <t>纯碱合成需要碳化塔、蒸氨塔、煅烧炉、凉碱炉等大型装置。仅有粉碎—筛分—混合—包装，属于物理后处理，不具备合成能力。</t>
        </is>
      </c>
      <c r="K18" s="53" t="inlineStr">
        <is>
          <t>分装或复配</t>
        </is>
      </c>
    </row>
    <row r="19" ht="47.59999999999999" customHeight="1">
      <c r="A19" s="44" t="inlineStr">
        <is>
          <t>I3</t>
        </is>
      </c>
      <c r="B19" s="34" t="inlineStr">
        <is>
          <t>某食品配料有限公司（脱敏样例）</t>
        </is>
      </c>
      <c r="C19" s="32" t="inlineStr">
        <is>
          <t>运营痕迹</t>
        </is>
      </c>
      <c r="D19" s="34" t="inlineStr">
        <is>
          <t>原料采购发票：向碱厂购买重碱</t>
        </is>
      </c>
      <c r="E19" s="34" t="inlineStr">
        <is>
          <t>购买方：某食品配料有限公司；销售方：XX 碱业有限公司；品名：重质纯碱；数量：300 吨。</t>
        </is>
      </c>
      <c r="F19" s="34" t="inlineStr">
        <is>
          <t>对方提供的采购发票（脱敏）</t>
        </is>
      </c>
      <c r="G19" s="34" t="inlineStr"/>
      <c r="H19" s="34" t="inlineStr">
        <is>
          <t>2026-08</t>
        </is>
      </c>
      <c r="I19" s="51" t="inlineStr">
        <is>
          <t>●●○ 中</t>
        </is>
      </c>
      <c r="J19" s="47" t="inlineStr">
        <is>
          <t>原料端外购是分装/复配的定性证据。结合 I2 的设备清单，可确认其业务是“买碱—加工—卖小包装”。</t>
        </is>
      </c>
      <c r="K19" s="48" t="inlineStr">
        <is>
          <t>分装或复配</t>
        </is>
      </c>
    </row>
    <row r="20" ht="47.59999999999999" customHeight="1">
      <c r="A20" s="49" t="inlineStr">
        <is>
          <t>I4</t>
        </is>
      </c>
      <c r="B20" s="39" t="inlineStr">
        <is>
          <t>某食品配料有限公司（脱敏样例）</t>
        </is>
      </c>
      <c r="C20" s="37" t="inlineStr">
        <is>
          <t>产品与市场</t>
        </is>
      </c>
      <c r="D20" s="39" t="inlineStr">
        <is>
          <t>客户结构：食品与日化小包装定制</t>
        </is>
      </c>
      <c r="E20" s="39" t="inlineStr">
        <is>
          <t>为食品厂、日化企业提供 1kg/25kg 定制小包装与复配助剂。</t>
        </is>
      </c>
      <c r="F20" s="39" t="inlineStr">
        <is>
          <t>官网/客户案例</t>
        </is>
      </c>
      <c r="G20" s="39" t="inlineStr"/>
      <c r="H20" s="39" t="inlineStr">
        <is>
          <t>2026-09</t>
        </is>
      </c>
      <c r="I20" s="54" t="inlineStr">
        <is>
          <t>●○○ 弱</t>
        </is>
      </c>
      <c r="J20" s="52" t="inlineStr">
        <is>
          <t>小批量、多规格、定制包装是分装商的典型客户结构，与碱厂“整车、散装、长协”的销售模式明显不同。</t>
        </is>
      </c>
      <c r="K20" s="53" t="inlineStr">
        <is>
          <t>分装或复配</t>
        </is>
      </c>
    </row>
    <row r="21" ht="47.59999999999999" customHeight="1">
      <c r="A21" s="44" t="inlineStr">
        <is>
          <t>I1</t>
        </is>
      </c>
      <c r="B21" s="34" t="inlineStr">
        <is>
          <t>某询价供应商（脱敏样例）</t>
        </is>
      </c>
      <c r="C21" s="32" t="inlineStr">
        <is>
          <t>产品与市场</t>
        </is>
      </c>
      <c r="D21" s="34" t="inlineStr">
        <is>
          <t>报价单：品名与价格，但缺少生产厂</t>
        </is>
      </c>
      <c r="E21" s="34" t="inlineStr">
        <is>
          <t>纯碱 99.2% 重质，出厂价 XXXX 元/吨，交货地：待定，生产厂：未注明。</t>
        </is>
      </c>
      <c r="F21" s="34" t="inlineStr">
        <is>
          <t>对方提供（脱敏）</t>
        </is>
      </c>
      <c r="G21" s="34" t="inlineStr"/>
      <c r="H21" s="34" t="inlineStr">
        <is>
          <t>2026-10</t>
        </is>
      </c>
      <c r="I21" s="54" t="inlineStr">
        <is>
          <t>●○○ 弱</t>
        </is>
      </c>
      <c r="J21" s="47" t="inlineStr">
        <is>
          <t>报价单只能证明“愿意卖”，不能证明“谁来生产”。缺少生产厂、执行标准、交货地与结算方式，无法与任何装置对应。</t>
        </is>
      </c>
      <c r="K21" s="48" t="inlineStr">
        <is>
          <t>证据不足暂无法确认</t>
        </is>
      </c>
    </row>
  </sheetData>
  <autoFilter ref="A4:K21"/>
  <mergeCells count="3">
    <mergeCell ref="A2:K2"/>
    <mergeCell ref="A1:K1"/>
    <mergeCell ref="A3:K3"/>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s>
  <printOptions horizontalCentered="1"/>
  <pageMargins left="0.3" right="0.3" top="0.45" bottom="0.45" header="0.5" footer="0.5"/>
  <pageSetup orientation="landscape" paperSize="9" fitToHeight="0" fitToWidth="1"/>
</worksheet>
</file>

<file path=xl/worksheets/sheet5.xml><?xml version="1.0" encoding="utf-8"?>
<worksheet xmlns="http://schemas.openxmlformats.org/spreadsheetml/2006/main">
  <sheetPr>
    <tabColor rgb="0094A3B8"/>
    <outlinePr summaryBelow="1" summaryRight="1"/>
    <pageSetUpPr fitToPage="1"/>
  </sheetPr>
  <dimension ref="A1:F22"/>
  <sheetViews>
    <sheetView showGridLines="0" workbookViewId="0">
      <pane ySplit="3" topLeftCell="A4" activePane="bottomLeft" state="frozen"/>
      <selection pane="bottomLeft" activeCell="A1" sqref="A1"/>
    </sheetView>
  </sheetViews>
  <sheetFormatPr baseColWidth="8" defaultRowHeight="15"/>
  <cols>
    <col width="8" customWidth="1" min="1" max="1"/>
    <col width="26" customWidth="1" min="2" max="2"/>
    <col width="30" customWidth="1" min="3" max="3"/>
    <col width="46" customWidth="1" min="4" max="4"/>
    <col width="56" customWidth="1" min="5" max="5"/>
    <col width="46" customWidth="1" min="6" max="6"/>
  </cols>
  <sheetData>
    <row r="1" ht="44" customHeight="1">
      <c r="A1" s="28" t="inlineStr">
        <is>
          <t>04 · 不构成证据（排除项）</t>
        </is>
      </c>
    </row>
    <row r="2" ht="26" customHeight="1">
      <c r="A2" s="29" t="inlineStr">
        <is>
          <t>这些材料不是“没用”，而是“不能用来证明自产”。把它们单独归档，可以避免把贸易商误判成厂家。</t>
        </is>
      </c>
    </row>
    <row r="3" ht="20" customHeight="1">
      <c r="A3" s="30" t="inlineStr">
        <is>
          <t>报告编号 SV-2026-CN-NA2CO3-001    数据截止 2026-10-19    本表不计入证据充分度</t>
        </is>
      </c>
    </row>
    <row r="4" ht="34" customHeight="1">
      <c r="A4" s="31" t="inlineStr">
        <is>
          <t>编号</t>
        </is>
      </c>
      <c r="B4" s="31" t="inlineStr">
        <is>
          <t>企业名称</t>
        </is>
      </c>
      <c r="C4" s="31" t="inlineStr">
        <is>
          <t>材料 / 常见话术</t>
        </is>
      </c>
      <c r="D4" s="31" t="inlineStr">
        <is>
          <t>对方常见表述</t>
        </is>
      </c>
      <c r="E4" s="31" t="inlineStr">
        <is>
          <t>为什么不算证据</t>
        </is>
      </c>
      <c r="F4" s="31" t="inlineStr">
        <is>
          <t>正确用法 / 应换取的替代证据</t>
        </is>
      </c>
    </row>
    <row r="5" ht="47.59999999999999" customHeight="1">
      <c r="A5" s="55" t="inlineStr">
        <is>
          <t>X1</t>
        </is>
      </c>
      <c r="B5" s="34" t="inlineStr">
        <is>
          <t>山东海化股份有限公司</t>
        </is>
      </c>
      <c r="C5" s="56" t="inlineStr">
        <is>
          <t>营业执照经营范围含“纯碱生产、销售”</t>
        </is>
      </c>
      <c r="D5" s="34" t="inlineStr">
        <is>
          <t>经营范围：纯碱、小苏打、氯化钙、溴素的生产与销售……</t>
        </is>
      </c>
      <c r="E5" s="34" t="inlineStr">
        <is>
          <t>经营范围是登记承诺，不是产能许可。大量贸易商、代理商同样登记“生产”字样；市场监管部门不核验是否真有装置。只能证明“允许做”，不能证明“在做”。</t>
        </is>
      </c>
      <c r="F5" s="34" t="inlineStr">
        <is>
          <t>见 06 表对应材料：排污许可 / 环评 / 磅单 / 发票 / 视频验厂</t>
        </is>
      </c>
    </row>
    <row r="6" ht="33.4" customHeight="1">
      <c r="A6" s="57" t="inlineStr">
        <is>
          <t>X2</t>
        </is>
      </c>
      <c r="B6" s="39" t="inlineStr">
        <is>
          <t>山东海化股份有限公司</t>
        </is>
      </c>
      <c r="C6" s="58" t="inlineStr">
        <is>
          <t>官网/销售话术“厂家直销、源头工厂”</t>
        </is>
      </c>
      <c r="D6" s="39" t="inlineStr">
        <is>
          <t>厂家直销，一手货源，支持验厂。</t>
        </is>
      </c>
      <c r="E6" s="39" t="inlineStr">
        <is>
          <t>属于企业自述营销语，无第三方可核对象。真正可核的是“哪套装置、哪个地址、哪张排污证”，而不是“厂家”两个字。</t>
        </is>
      </c>
      <c r="F6" s="39" t="inlineStr">
        <is>
          <t>见 06 表对应材料：排污许可 / 环评 / 磅单 / 发票 / 视频验厂</t>
        </is>
      </c>
    </row>
    <row r="7" ht="33.4" customHeight="1">
      <c r="A7" s="55" t="inlineStr">
        <is>
          <t>X3</t>
        </is>
      </c>
      <c r="B7" s="34" t="inlineStr">
        <is>
          <t>山东海化股份有限公司</t>
        </is>
      </c>
      <c r="C7" s="56" t="inlineStr">
        <is>
          <t>注册资本、成立年限、集团排名</t>
        </is>
      </c>
      <c r="D7" s="34" t="inlineStr">
        <is>
          <t>注册资本 12 亿元，成立于 1998 年，中国化工 500 强。</t>
        </is>
      </c>
      <c r="E7" s="34" t="inlineStr">
        <is>
          <t>资金实力与是否自产无因果关系。贸易商同样可以注册资本过亿；老企业也可能早已停产、只留贸易主体。</t>
        </is>
      </c>
      <c r="F7" s="34" t="inlineStr">
        <is>
          <t>见 06 表对应材料：排污许可 / 环评 / 磅单 / 发票 / 视频验厂</t>
        </is>
      </c>
    </row>
    <row r="8" ht="33.4" customHeight="1">
      <c r="A8" s="57" t="inlineStr">
        <is>
          <t>X4</t>
        </is>
      </c>
      <c r="B8" s="39" t="inlineStr">
        <is>
          <t>山东海化股份有限公司</t>
        </is>
      </c>
      <c r="C8" s="58" t="inlineStr">
        <is>
          <t>“月供万吨、价格低于市场 50 元/吨”</t>
        </is>
      </c>
      <c r="D8" s="39" t="inlineStr">
        <is>
          <t>每月可稳定供应 1 万吨，价格比出厂价低 50 元。</t>
        </is>
      </c>
      <c r="E8" s="39" t="inlineStr">
        <is>
          <t>供货能力与价格优势只能说明资金和渠道，反而更像是贸易商在调货。低于出厂价长期供货，需警惕品牌串货或转手货源。</t>
        </is>
      </c>
      <c r="F8" s="39" t="inlineStr">
        <is>
          <t>见 06 表对应材料：排污许可 / 环评 / 磅单 / 发票 / 视频验厂</t>
        </is>
      </c>
    </row>
    <row r="9" ht="47.59999999999999" customHeight="1">
      <c r="A9" s="55" t="inlineStr">
        <is>
          <t>X5</t>
        </is>
      </c>
      <c r="B9" s="34" t="inlineStr">
        <is>
          <t>山东海化股份有限公司</t>
        </is>
      </c>
      <c r="C9" s="56" t="inlineStr">
        <is>
          <t>一张工厂照片 / 一段车间视频</t>
        </is>
      </c>
      <c r="D9" s="34" t="inlineStr">
        <is>
          <t>（对方微信发送的厂区照片，无水印、无定位、无门牌）</t>
        </is>
      </c>
      <c r="E9" s="34" t="inlineStr">
        <is>
          <t>照片可盗用、可购买、可在他人厂区拍摄。必须与排污证地址、卫星图、装置特征（碳化塔高度、煅烧炉、凉碱炉、包装线）比对后才可采信。</t>
        </is>
      </c>
      <c r="F9" s="34" t="inlineStr">
        <is>
          <t>见 06 表对应材料：排污许可 / 环评 / 磅单 / 发票 / 视频验厂</t>
        </is>
      </c>
    </row>
    <row r="10" ht="33.4" customHeight="1">
      <c r="A10" s="57" t="inlineStr">
        <is>
          <t>X1</t>
        </is>
      </c>
      <c r="B10" s="39" t="inlineStr">
        <is>
          <t>内蒙古博源银根化工有限公司</t>
        </is>
      </c>
      <c r="C10" s="58" t="inlineStr">
        <is>
          <t>工商经营范围含“纯碱生产”</t>
        </is>
      </c>
      <c r="D10" s="39" t="inlineStr">
        <is>
          <t>经营范围：纯碱、小苏打的生产与销售。</t>
        </is>
      </c>
      <c r="E10" s="39" t="inlineStr">
        <is>
          <t>同前：登记承诺不等于装置存在，尤其对项目公司而言，经营范围往往在项目立项时即写入。</t>
        </is>
      </c>
      <c r="F10" s="39" t="inlineStr">
        <is>
          <t>见 06 表对应材料：排污许可 / 环评 / 磅单 / 发票 / 视频验厂</t>
        </is>
      </c>
    </row>
    <row r="11" ht="33.4" customHeight="1">
      <c r="A11" s="55" t="inlineStr">
        <is>
          <t>X2</t>
        </is>
      </c>
      <c r="B11" s="34" t="inlineStr">
        <is>
          <t>内蒙古博源银根化工有限公司</t>
        </is>
      </c>
      <c r="C11" s="56" t="inlineStr">
        <is>
          <t>“国内最大天然碱基地”宣传语</t>
        </is>
      </c>
      <c r="D11" s="34" t="inlineStr">
        <is>
          <t>打造国内最大天然碱生产基地。</t>
        </is>
      </c>
      <c r="E11" s="34" t="inlineStr">
        <is>
          <t>宣传语无法核验，需落到具体公告的产能数字与达产时间。</t>
        </is>
      </c>
      <c r="F11" s="34" t="inlineStr">
        <is>
          <t>见 06 表对应材料：排污许可 / 环评 / 磅单 / 发票 / 视频验厂</t>
        </is>
      </c>
    </row>
    <row r="12" ht="33.4" customHeight="1">
      <c r="A12" s="57" t="inlineStr">
        <is>
          <t>X3</t>
        </is>
      </c>
      <c r="B12" s="39" t="inlineStr">
        <is>
          <t>内蒙古博源银根化工有限公司</t>
        </is>
      </c>
      <c r="C12" s="58" t="inlineStr">
        <is>
          <t>一期达产的新闻通稿（转载）</t>
        </is>
      </c>
      <c r="D12" s="39" t="inlineStr">
        <is>
          <t>多家媒体转载“一期达产”消息。</t>
        </is>
      </c>
      <c r="E12" s="39" t="inlineStr">
        <is>
          <t>转载不等于独立信源，且通稿常由企业提供。以 D1 的公告原文为准，通稿只作传播痕迹。</t>
        </is>
      </c>
      <c r="F12" s="39" t="inlineStr">
        <is>
          <t>见 06 表对应材料：排污许可 / 环评 / 磅单 / 发票 / 视频验厂</t>
        </is>
      </c>
    </row>
    <row r="13" ht="33.4" customHeight="1">
      <c r="A13" s="55" t="inlineStr">
        <is>
          <t>X1</t>
        </is>
      </c>
      <c r="B13" s="34" t="inlineStr">
        <is>
          <t>浙江杭实善成实业有限公司</t>
        </is>
      </c>
      <c r="C13" s="56" t="inlineStr">
        <is>
          <t>公司名称含“实业”二字</t>
        </is>
      </c>
      <c r="D13" s="34" t="inlineStr">
        <is>
          <t>浙江杭实善成实业有限公司</t>
        </is>
      </c>
      <c r="E13" s="34" t="inlineStr">
        <is>
          <t>“实业”只是字号用词，工商登记不核验是否有工厂。大量贸易、供应链、投资公司都以“实业”命名。</t>
        </is>
      </c>
      <c r="F13" s="34" t="inlineStr">
        <is>
          <t>见 06 表对应材料：排污许可 / 环评 / 磅单 / 发票 / 视频验厂</t>
        </is>
      </c>
    </row>
    <row r="14" ht="61.8" customHeight="1">
      <c r="A14" s="57" t="inlineStr">
        <is>
          <t>X2</t>
        </is>
      </c>
      <c r="B14" s="39" t="inlineStr">
        <is>
          <t>浙江杭实善成实业有限公司</t>
        </is>
      </c>
      <c r="C14" s="58" t="inlineStr">
        <is>
          <t>纯碱指定交割厂库资格</t>
        </is>
      </c>
      <c r="D14" s="39" t="inlineStr">
        <is>
          <t>我们是郑商所纯碱交割厂库。</t>
        </is>
      </c>
      <c r="E14" s="39" t="inlineStr">
        <is>
          <t>最容易误读的一条。郑商所规则允许生产企业和贸易企业申请厂库，贸易企业只需重碱年贸易量 15 万吨以上（生产企业为产量 30 万吨以上）。厂库资格证明“能交割”，不证明“能生产”。</t>
        </is>
      </c>
      <c r="F14" s="39" t="inlineStr">
        <is>
          <t>见 06 表对应材料：排污许可 / 环评 / 磅单 / 发票 / 视频验厂</t>
        </is>
      </c>
    </row>
    <row r="15" ht="33.4" customHeight="1">
      <c r="A15" s="55" t="inlineStr">
        <is>
          <t>X3</t>
        </is>
      </c>
      <c r="B15" s="34" t="inlineStr">
        <is>
          <t>浙江杭实善成实业有限公司</t>
        </is>
      </c>
      <c r="C15" s="56" t="inlineStr">
        <is>
          <t>注册资本、集团背景、仓储面积</t>
        </is>
      </c>
      <c r="D15" s="34" t="inlineStr">
        <is>
          <t>注册资本 1 亿元，背靠杭实集团，自有仓库 2 万平米。</t>
        </is>
      </c>
      <c r="E15" s="34" t="inlineStr">
        <is>
          <t>资金与仓储是贸易能力，不是生产能力。仓库可以存放别家生产的纯碱。</t>
        </is>
      </c>
      <c r="F15" s="34" t="inlineStr">
        <is>
          <t>见 06 表对应材料：排污许可 / 环评 / 磅单 / 发票 / 视频验厂</t>
        </is>
      </c>
    </row>
    <row r="16" ht="33.4" customHeight="1">
      <c r="A16" s="57" t="inlineStr">
        <is>
          <t>X4</t>
        </is>
      </c>
      <c r="B16" s="39" t="inlineStr">
        <is>
          <t>浙江杭实善成实业有限公司</t>
        </is>
      </c>
      <c r="C16" s="58" t="inlineStr">
        <is>
          <t>“一手货源、与各大碱厂长期合作”</t>
        </is>
      </c>
      <c r="D16" s="39" t="inlineStr">
        <is>
          <t>我们和山东海化、三友、金山都是长期合作，一手货源。</t>
        </is>
      </c>
      <c r="E16" s="39" t="inlineStr">
        <is>
          <t>恰恰说明其货源来自多家碱厂，是典型的分销商话术。应要求提供生产厂授权书与发票流向，而不是听“合作”表述。</t>
        </is>
      </c>
      <c r="F16" s="39" t="inlineStr">
        <is>
          <t>见 06 表对应材料：排污许可 / 环评 / 磅单 / 发票 / 视频验厂</t>
        </is>
      </c>
    </row>
    <row r="17" ht="33.4" customHeight="1">
      <c r="A17" s="55" t="inlineStr">
        <is>
          <t>X1</t>
        </is>
      </c>
      <c r="B17" s="34" t="inlineStr">
        <is>
          <t>某食品配料有限公司（脱敏样例）</t>
        </is>
      </c>
      <c r="C17" s="56" t="inlineStr">
        <is>
          <t>“食品级纯碱生产厂家”宣传</t>
        </is>
      </c>
      <c r="D17" s="34" t="inlineStr">
        <is>
          <t>自有工厂生产食品级纯碱，厂家直供。</t>
        </is>
      </c>
      <c r="E17" s="34" t="inlineStr">
        <is>
          <t>把“分装”包装成“生产”是行业常见话术。判定要看许可明细中的“分装”字样与是否有合成装置。</t>
        </is>
      </c>
      <c r="F17" s="34" t="inlineStr">
        <is>
          <t>见 06 表对应材料：排污许可 / 环评 / 磅单 / 发票 / 视频验厂</t>
        </is>
      </c>
    </row>
    <row r="18" ht="33.4" customHeight="1">
      <c r="A18" s="57" t="inlineStr">
        <is>
          <t>X2</t>
        </is>
      </c>
      <c r="B18" s="39" t="inlineStr">
        <is>
          <t>某食品配料有限公司（脱敏样例）</t>
        </is>
      </c>
      <c r="C18" s="58" t="inlineStr">
        <is>
          <t>SC 证本身</t>
        </is>
      </c>
      <c r="D18" s="39" t="inlineStr">
        <is>
          <t>我们有食品生产许可证，所以是生产厂家。</t>
        </is>
      </c>
      <c r="E18" s="39" t="inlineStr">
        <is>
          <t>SC 证按品种与工艺单元发证，分装也是许可类别之一。证是真的，但不能推出“合成纯碱”。</t>
        </is>
      </c>
      <c r="F18" s="39" t="inlineStr">
        <is>
          <t>见 06 表对应材料：排污许可 / 环评 / 磅单 / 发票 / 视频验厂</t>
        </is>
      </c>
    </row>
    <row r="19" ht="33.4" customHeight="1">
      <c r="A19" s="55" t="inlineStr">
        <is>
          <t>X3</t>
        </is>
      </c>
      <c r="B19" s="34" t="inlineStr">
        <is>
          <t>某食品配料有限公司（脱敏样例）</t>
        </is>
      </c>
      <c r="C19" s="56" t="inlineStr">
        <is>
          <t>洁净车间照片</t>
        </is>
      </c>
      <c r="D19" s="34" t="inlineStr">
        <is>
          <t>十万级洁净车间、全自动包装线。</t>
        </is>
      </c>
      <c r="E19" s="34" t="inlineStr">
        <is>
          <t>洁净与自动化只说明包装环境，与是否合成无关；反而提示其核心能力在包装而非化工合成。</t>
        </is>
      </c>
      <c r="F19" s="34" t="inlineStr">
        <is>
          <t>见 06 表对应材料：排污许可 / 环评 / 磅单 / 发票 / 视频验厂</t>
        </is>
      </c>
    </row>
    <row r="20" ht="33.4" customHeight="1">
      <c r="A20" s="57" t="inlineStr">
        <is>
          <t>X1</t>
        </is>
      </c>
      <c r="B20" s="39" t="inlineStr">
        <is>
          <t>某询价供应商（脱敏样例）</t>
        </is>
      </c>
      <c r="C20" s="58" t="inlineStr">
        <is>
          <t>营业执照经营范围</t>
        </is>
      </c>
      <c r="D20" s="39" t="inlineStr">
        <is>
          <t>经营范围：化工产品销售（不含许可类化工产品）。</t>
        </is>
      </c>
      <c r="E20" s="39" t="inlineStr">
        <is>
          <t>注意此处写的是“销售”，不是“生产”。即便如此，经营范围本身也不能证明其在卖纯碱，只是允许。</t>
        </is>
      </c>
      <c r="F20" s="39" t="inlineStr">
        <is>
          <t>见 06 表对应材料：排污许可 / 环评 / 磅单 / 发票 / 视频验厂</t>
        </is>
      </c>
    </row>
    <row r="21" ht="33.4" customHeight="1">
      <c r="A21" s="55" t="inlineStr">
        <is>
          <t>X2</t>
        </is>
      </c>
      <c r="B21" s="34" t="inlineStr">
        <is>
          <t>某询价供应商（脱敏样例）</t>
        </is>
      </c>
      <c r="C21" s="56" t="inlineStr">
        <is>
          <t>车间照片一张</t>
        </is>
      </c>
      <c r="D21" s="34" t="inlineStr">
        <is>
          <t>（微信发送，画面为包装线局部，无水印/定位）</t>
        </is>
      </c>
      <c r="E21" s="34" t="inlineStr">
        <is>
          <t>无法定位、无法比对装置特征，可能是仓库、代工厂或网图。不能作为生产证据。</t>
        </is>
      </c>
      <c r="F21" s="34" t="inlineStr">
        <is>
          <t>见 06 表对应材料：排污许可 / 环评 / 磅单 / 发票 / 视频验厂</t>
        </is>
      </c>
    </row>
    <row r="22" ht="33.4" customHeight="1">
      <c r="A22" s="57" t="inlineStr">
        <is>
          <t>X3</t>
        </is>
      </c>
      <c r="B22" s="39" t="inlineStr">
        <is>
          <t>某询价供应商（脱敏样例）</t>
        </is>
      </c>
      <c r="C22" s="58" t="inlineStr">
        <is>
          <t>“我们有自己的厂，欢迎来看”</t>
        </is>
      </c>
      <c r="D22" s="39" t="inlineStr">
        <is>
          <t>厂在XX，随时可以来看。</t>
        </is>
      </c>
      <c r="E22" s="39" t="inlineStr">
        <is>
          <t>口头邀约不是证据；在未提供地址、许可与装置信息前，不改变“证据不足”的结论。</t>
        </is>
      </c>
      <c r="F22" s="39" t="inlineStr">
        <is>
          <t>见 06 表对应材料：排污许可 / 环评 / 磅单 / 发票 / 视频验厂</t>
        </is>
      </c>
    </row>
  </sheetData>
  <autoFilter ref="A4:F22"/>
  <mergeCells count="3">
    <mergeCell ref="A3:F3"/>
    <mergeCell ref="A2:F2"/>
    <mergeCell ref="A1:F1"/>
  </mergeCells>
  <printOptions horizontalCentered="1"/>
  <pageMargins left="0.3" right="0.3" top="0.45" bottom="0.45" header="0.5" footer="0.5"/>
  <pageSetup orientation="landscape" paperSize="9" fitToHeight="0" fitToWidth="1"/>
</worksheet>
</file>

<file path=xl/worksheets/sheet6.xml><?xml version="1.0" encoding="utf-8"?>
<worksheet xmlns="http://schemas.openxmlformats.org/spreadsheetml/2006/main">
  <sheetPr>
    <tabColor rgb="00B8892B"/>
    <outlinePr summaryBelow="1" summaryRight="1"/>
    <pageSetUpPr fitToPage="1"/>
  </sheetPr>
  <dimension ref="A1:H1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11" customWidth="1" min="3" max="3"/>
    <col width="11" customWidth="1" min="4" max="4"/>
    <col width="11" customWidth="1" min="5" max="5"/>
    <col width="11" customWidth="1" min="6" max="6"/>
    <col width="13" customWidth="1" min="7" max="7"/>
    <col width="62" customWidth="1" min="8" max="8"/>
  </cols>
  <sheetData>
    <row r="1" ht="44" customHeight="1">
      <c r="A1" s="28" t="inlineStr">
        <is>
          <t>05 · 证据充分度模型（100 分制）</t>
        </is>
      </c>
    </row>
    <row r="2" ht="26" customHeight="1">
      <c r="A2" s="29" t="inlineStr">
        <is>
          <t>分数衡量“证据链完整度”，不是真假概率。同一套权重，5 个案例横向可比；现场核验未完成时，该维度记 0 分。</t>
        </is>
      </c>
    </row>
    <row r="3" ht="20" customHeight="1">
      <c r="A3" s="30" t="inlineStr">
        <is>
          <t>报告编号 SV-2026-CN-NA2CO3-001    ★ 修改 02/03 明细后，本表与总表分数需重新计算（Excel 会自动重算）</t>
        </is>
      </c>
    </row>
    <row r="4" ht="32" customHeight="1">
      <c r="A4" s="31" t="inlineStr">
        <is>
          <t>评分维度</t>
        </is>
      </c>
      <c r="B4" s="31" t="inlineStr">
        <is>
          <t>权重</t>
        </is>
      </c>
      <c r="C4" s="31" t="inlineStr">
        <is>
          <t>山东海化</t>
        </is>
      </c>
      <c r="D4" s="31" t="inlineStr">
        <is>
          <t>博源银根</t>
        </is>
      </c>
      <c r="E4" s="31" t="inlineStr">
        <is>
          <t>杭实善成</t>
        </is>
      </c>
      <c r="F4" s="31" t="inlineStr">
        <is>
          <t>分装样例</t>
        </is>
      </c>
      <c r="G4" s="31" t="inlineStr">
        <is>
          <t>证据不足样例</t>
        </is>
      </c>
      <c r="H4" s="31" t="inlineStr">
        <is>
          <t>评分要点</t>
        </is>
      </c>
    </row>
    <row r="5" ht="33.4" customHeight="1">
      <c r="A5" s="59" t="inlineStr">
        <is>
          <t>生产许可与环保手续</t>
        </is>
      </c>
      <c r="B5" s="60" t="n">
        <v>30</v>
      </c>
      <c r="C5" s="61" t="n">
        <v>28</v>
      </c>
      <c r="D5" s="61" t="n">
        <v>24</v>
      </c>
      <c r="E5" s="61" t="n">
        <v>0</v>
      </c>
      <c r="F5" s="61" t="n">
        <v>8</v>
      </c>
      <c r="G5" s="61" t="n">
        <v>0</v>
      </c>
      <c r="H5" s="34" t="inlineStr">
        <is>
          <t>排污许可（无机碱制造）、环评批复/验收中的产品与产能、项目备案/节能审查、产能置换公示</t>
        </is>
      </c>
    </row>
    <row r="6" ht="33.4" customHeight="1">
      <c r="A6" s="62" t="inlineStr">
        <is>
          <t>产能与装置实据</t>
        </is>
      </c>
      <c r="B6" s="63" t="n">
        <v>30</v>
      </c>
      <c r="C6" s="64" t="n">
        <v>30</v>
      </c>
      <c r="D6" s="64" t="n">
        <v>28</v>
      </c>
      <c r="E6" s="64" t="n">
        <v>0</v>
      </c>
      <c r="F6" s="64" t="n">
        <v>8</v>
      </c>
      <c r="G6" s="64" t="n">
        <v>2</v>
      </c>
      <c r="H6" s="39" t="inlineStr">
        <is>
          <t>公开产能与产量、装置条线与车间编制、厂址与门牌、原料一体化配置、同址关联装置</t>
        </is>
      </c>
    </row>
    <row r="7" ht="33.4" customHeight="1">
      <c r="A7" s="59" t="inlineStr">
        <is>
          <t>产品与市场证据</t>
        </is>
      </c>
      <c r="B7" s="60" t="n">
        <v>20</v>
      </c>
      <c r="C7" s="61" t="n">
        <v>18</v>
      </c>
      <c r="D7" s="61" t="n">
        <v>16</v>
      </c>
      <c r="E7" s="61" t="n">
        <v>12</v>
      </c>
      <c r="F7" s="61" t="n">
        <v>12</v>
      </c>
      <c r="G7" s="61" t="n">
        <v>4</v>
      </c>
      <c r="H7" s="34" t="inlineStr">
        <is>
          <t>官网产品页与牌号规格、自营销售渠道、交易所交割厂库/协会名录、客户与中标记录、品牌</t>
        </is>
      </c>
    </row>
    <row r="8" ht="33.4" customHeight="1">
      <c r="A8" s="62" t="inlineStr">
        <is>
          <t>运营侧痕迹</t>
        </is>
      </c>
      <c r="B8" s="63" t="n">
        <v>10</v>
      </c>
      <c r="C8" s="64" t="n">
        <v>8</v>
      </c>
      <c r="D8" s="64" t="n">
        <v>8</v>
      </c>
      <c r="E8" s="64" t="n">
        <v>6</v>
      </c>
      <c r="F8" s="64" t="n">
        <v>5</v>
      </c>
      <c r="G8" s="64" t="n">
        <v>2</v>
      </c>
      <c r="H8" s="39" t="inlineStr">
        <is>
          <t>原盐/石灰石/煤采购、生产岗位招聘、专利与技术论文、物流与铁路专用线</t>
        </is>
      </c>
    </row>
    <row r="9" ht="19.2" customHeight="1">
      <c r="A9" s="59" t="inlineStr">
        <is>
          <t>现场与第三方核验</t>
        </is>
      </c>
      <c r="B9" s="60" t="n">
        <v>10</v>
      </c>
      <c r="C9" s="61" t="n">
        <v>0</v>
      </c>
      <c r="D9" s="61" t="n">
        <v>0</v>
      </c>
      <c r="E9" s="61" t="n">
        <v>0</v>
      </c>
      <c r="F9" s="61" t="n">
        <v>0</v>
      </c>
      <c r="G9" s="61" t="n">
        <v>0</v>
      </c>
      <c r="H9" s="34" t="inlineStr">
        <is>
          <t>视频验厂、磅单、批次质检、第三方验厂报告、发票与发货地一致性</t>
        </is>
      </c>
    </row>
    <row r="10" ht="34" customHeight="1">
      <c r="A10" s="65" t="inlineStr">
        <is>
          <t>证据充分度合计</t>
        </is>
      </c>
      <c r="B10" s="66">
        <f>SUM(B5:B9)</f>
        <v/>
      </c>
      <c r="C10" s="67">
        <f>SUM(C5:C9)</f>
        <v/>
      </c>
      <c r="D10" s="67">
        <f>SUM(D5:D9)</f>
        <v/>
      </c>
      <c r="E10" s="67">
        <f>SUM(E5:E9)</f>
        <v/>
      </c>
      <c r="F10" s="67">
        <f>SUM(F5:F9)</f>
        <v/>
      </c>
      <c r="G10" s="67">
        <f>SUM(G5:G9)</f>
        <v/>
      </c>
      <c r="H10" s="65" t="inlineStr">
        <is>
          <t>≥70：可判生产厂家；40—69：需补证；&lt;40：多为贸易/分装，或证据不足</t>
        </is>
      </c>
    </row>
    <row r="11" ht="30" customHeight="1">
      <c r="A11" s="68" t="inlineStr">
        <is>
          <t>判定结论</t>
        </is>
      </c>
      <c r="B11" s="69" t="inlineStr">
        <is>
          <t>—</t>
        </is>
      </c>
      <c r="C11" s="70" t="inlineStr">
        <is>
          <t>生产厂家</t>
        </is>
      </c>
      <c r="D11" s="70" t="inlineStr">
        <is>
          <t>生产厂家</t>
        </is>
      </c>
      <c r="E11" s="71" t="inlineStr">
        <is>
          <t>贸易经销</t>
        </is>
      </c>
      <c r="F11" s="72" t="inlineStr">
        <is>
          <t>分装或复配</t>
        </is>
      </c>
      <c r="G11" s="73" t="inlineStr">
        <is>
          <t>证据不足暂无法确认</t>
        </is>
      </c>
      <c r="H11" s="68" t="inlineStr">
        <is>
          <t>结论由 Q1→Q4 规则决定，分数只作辅助与横向比较</t>
        </is>
      </c>
    </row>
    <row r="13" ht="29" customHeight="1">
      <c r="A13" s="74" t="inlineStr">
        <is>
          <t>评分口径</t>
        </is>
      </c>
      <c r="C13" s="75" t="inlineStr">
        <is>
          <t>强证据（●●●）指政府许可/备案、交易所或协会名录、上市公司审计披露、可复现第三方记录；中证据（●●○）指可与第三方互证的企业官网信息、行业媒体、招聘/招标；弱证据（●○○）指自述宣传、单张照片、口头承诺。</t>
        </is>
      </c>
    </row>
    <row r="14" ht="24" customHeight="1">
      <c r="A14" s="74" t="inlineStr">
        <is>
          <t>一票否决</t>
        </is>
      </c>
      <c r="C14" s="75" t="inlineStr">
        <is>
          <t>排污许可行业类别与目标产品不符、且无对应环评/备案 → 不可能是该产品生产厂，直接进入 Q3/Q4；反之，只要有任一硬证据，也不能仅凭“没找到官网”否定其生产。</t>
        </is>
      </c>
    </row>
    <row r="15" ht="24" customHeight="1">
      <c r="A15" s="74" t="inlineStr">
        <is>
          <t>现场权重</t>
        </is>
      </c>
      <c r="C15" s="75" t="inlineStr">
        <is>
          <t>现场与第三方核验占 10 分，未做就是 0 分。这不是扣分，而是提醒：线上证据再全，也不能替代一次不预约的视频验厂。</t>
        </is>
      </c>
    </row>
  </sheetData>
  <mergeCells count="9">
    <mergeCell ref="A3:H3"/>
    <mergeCell ref="A15:B15"/>
    <mergeCell ref="C14:H14"/>
    <mergeCell ref="C13:H13"/>
    <mergeCell ref="A2:H2"/>
    <mergeCell ref="A13:B13"/>
    <mergeCell ref="A14:B14"/>
    <mergeCell ref="A1:H1"/>
    <mergeCell ref="C15:H15"/>
  </mergeCells>
  <conditionalFormatting sqref="C5:G9">
    <cfRule type="dataBar" priority="1">
      <dataBar showValue="1">
        <cfvo type="num" val="0"/>
        <cfvo type="num" val="30"/>
        <color rgb="00C9A227"/>
      </dataBar>
    </cfRule>
  </conditionalFormatting>
  <printOptions horizontalCentered="1"/>
  <pageMargins left="0.3" right="0.3" top="0.45" bottom="0.45" header="0.5" footer="0.5"/>
  <pageSetup orientation="landscape" paperSize="9" fitToHeight="0" fitToWidth="1"/>
</worksheet>
</file>

<file path=xl/worksheets/sheet7.xml><?xml version="1.0" encoding="utf-8"?>
<worksheet xmlns="http://schemas.openxmlformats.org/spreadsheetml/2006/main">
  <sheetPr>
    <tabColor rgb="002F5F8A"/>
    <outlinePr summaryBelow="1" summaryRight="1"/>
    <pageSetUpPr fitToPage="1"/>
  </sheetPr>
  <dimension ref="A1:H16"/>
  <sheetViews>
    <sheetView showGridLines="0" workbookViewId="0">
      <pane ySplit="3" topLeftCell="A4" activePane="bottomLeft" state="frozen"/>
      <selection pane="bottomLeft" activeCell="A1" sqref="A1"/>
    </sheetView>
  </sheetViews>
  <sheetFormatPr baseColWidth="8" defaultRowHeight="15"/>
  <cols>
    <col width="7" customWidth="1" min="1" max="1"/>
    <col width="32" customWidth="1" min="2" max="2"/>
    <col width="8" customWidth="1" min="3" max="3"/>
    <col width="24" customWidth="1" min="4" max="4"/>
    <col width="36" customWidth="1" min="5" max="5"/>
    <col width="50" customWidth="1" min="6" max="6"/>
    <col width="16" customWidth="1" min="7" max="7"/>
    <col width="12" customWidth="1" min="8" max="8"/>
  </cols>
  <sheetData>
    <row r="1" ht="44" customHeight="1">
      <c r="A1" s="28" t="inlineStr">
        <is>
          <t>06 · 待索取材料清单（12 项）</t>
        </is>
      </c>
    </row>
    <row r="2" ht="26" customHeight="1">
      <c r="A2" s="29" t="inlineStr">
        <is>
          <t>P0 拿不到，不进入打款与长协；话术可直接复制给业务员。勾选“状态”即为已获取。</t>
        </is>
      </c>
    </row>
    <row r="3" ht="20" customHeight="1">
      <c r="A3" s="30" t="inlineStr">
        <is>
          <t>报告编号 SV-2026-CN-NA2CO3-001    数据截止 2026-10-19    优先级：P0 必取 / P1 视场景 / P2 合规参考</t>
        </is>
      </c>
    </row>
    <row r="4" ht="32" customHeight="1">
      <c r="A4" s="31" t="inlineStr">
        <is>
          <t>编号</t>
        </is>
      </c>
      <c r="B4" s="31" t="inlineStr">
        <is>
          <t>材料</t>
        </is>
      </c>
      <c r="C4" s="31" t="inlineStr">
        <is>
          <t>优先级</t>
        </is>
      </c>
      <c r="D4" s="31" t="inlineStr">
        <is>
          <t>核验目的</t>
        </is>
      </c>
      <c r="E4" s="31" t="inlineStr">
        <is>
          <t>关键看点</t>
        </is>
      </c>
      <c r="F4" s="31" t="inlineStr">
        <is>
          <t>索取话术</t>
        </is>
      </c>
      <c r="G4" s="31" t="inlineStr">
        <is>
          <t>适用场景</t>
        </is>
      </c>
      <c r="H4" s="31" t="inlineStr">
        <is>
          <t>状态</t>
        </is>
      </c>
    </row>
    <row r="5" ht="47.59999999999999" customHeight="1">
      <c r="A5" s="44" t="inlineStr">
        <is>
          <t>M1</t>
        </is>
      </c>
      <c r="B5" s="59" t="inlineStr">
        <is>
          <t>排污许可证正本 + 副本（含主要生产设施页）</t>
        </is>
      </c>
      <c r="C5" s="76" t="inlineStr">
        <is>
          <t>P0</t>
        </is>
      </c>
      <c r="D5" s="34" t="inlineStr">
        <is>
          <t>确认“行业类别=无机碱制造”及装置在证</t>
        </is>
      </c>
      <c r="E5" s="34" t="inlineStr">
        <is>
          <t>行业类别、主要生产设施、排放口、有效期、厂址</t>
        </is>
      </c>
      <c r="F5" s="34" t="inlineStr">
        <is>
          <t>麻烦提供贵司纯碱装置的排污许可证正副本扫描件，重点要有“主要生产设施”和“排放口”那几页，我们核对行业类别和证载厂址。</t>
        </is>
      </c>
      <c r="G5" s="34" t="inlineStr">
        <is>
          <t>所有供应商</t>
        </is>
      </c>
      <c r="H5" s="32" t="inlineStr">
        <is>
          <t>未获取</t>
        </is>
      </c>
    </row>
    <row r="6" ht="33.4" customHeight="1">
      <c r="A6" s="49" t="inlineStr">
        <is>
          <t>M2</t>
        </is>
      </c>
      <c r="B6" s="62" t="inlineStr">
        <is>
          <t>纯碱项目环评批复 + 竣工验收报告</t>
        </is>
      </c>
      <c r="C6" s="76" t="inlineStr">
        <is>
          <t>P0</t>
        </is>
      </c>
      <c r="D6" s="39" t="inlineStr">
        <is>
          <t>确认产品方案、产能与工艺路线</t>
        </is>
      </c>
      <c r="E6" s="39" t="inlineStr">
        <is>
          <t>产品为碳酸钠、产能万吨/年、工艺（氨碱/联碱/天然碱）</t>
        </is>
      </c>
      <c r="F6" s="39" t="inlineStr">
        <is>
          <t>请提供纯碱项目的环评批复和竣工环保验收报告，产品方案和产能那两页即可。</t>
        </is>
      </c>
      <c r="G6" s="39" t="inlineStr">
        <is>
          <t>声称自产的供应商</t>
        </is>
      </c>
      <c r="H6" s="37" t="inlineStr">
        <is>
          <t>未获取</t>
        </is>
      </c>
    </row>
    <row r="7" ht="33.4" customHeight="1">
      <c r="A7" s="44" t="inlineStr">
        <is>
          <t>M3</t>
        </is>
      </c>
      <c r="B7" s="59" t="inlineStr">
        <is>
          <t>项目备案 / 产能置换公示 / 节能审查</t>
        </is>
      </c>
      <c r="C7" s="77" t="inlineStr">
        <is>
          <t>P1</t>
        </is>
      </c>
      <c r="D7" s="34" t="inlineStr">
        <is>
          <t>确认项目主体与合规产能</t>
        </is>
      </c>
      <c r="E7" s="34" t="inlineStr">
        <is>
          <t>备案主体是否为目标企业、产能数字、置换比例</t>
        </is>
      </c>
      <c r="F7" s="34" t="inlineStr">
        <is>
          <t>技改或在建项目，请提供备案证或省级产能置换公示链接。</t>
        </is>
      </c>
      <c r="G7" s="34" t="inlineStr">
        <is>
          <t>有技改/在建项目的企业</t>
        </is>
      </c>
      <c r="H7" s="32" t="inlineStr">
        <is>
          <t>未获取</t>
        </is>
      </c>
    </row>
    <row r="8" ht="33.4" customHeight="1">
      <c r="A8" s="49" t="inlineStr">
        <is>
          <t>M4</t>
        </is>
      </c>
      <c r="B8" s="62" t="inlineStr">
        <is>
          <t>近 3 个月出厂磅单 3—5 车</t>
        </is>
      </c>
      <c r="C8" s="76" t="inlineStr">
        <is>
          <t>P0</t>
        </is>
      </c>
      <c r="D8" s="39" t="inlineStr">
        <is>
          <t>验证真实发货与发货地</t>
        </is>
      </c>
      <c r="E8" s="39" t="inlineStr">
        <is>
          <t>车牌、日期、品名、净重、发货单位与地址</t>
        </is>
      </c>
      <c r="F8" s="39" t="inlineStr">
        <is>
          <t>随机给 3 车最近发货的磅单，能看清车牌、日期、净重和发货地就行。</t>
        </is>
      </c>
      <c r="G8" s="39" t="inlineStr">
        <is>
          <t>所有供应商</t>
        </is>
      </c>
      <c r="H8" s="37" t="inlineStr">
        <is>
          <t>未获取</t>
        </is>
      </c>
    </row>
    <row r="9" ht="33.4" customHeight="1">
      <c r="A9" s="44" t="inlineStr">
        <is>
          <t>M5</t>
        </is>
      </c>
      <c r="B9" s="59" t="inlineStr">
        <is>
          <t>批次质检报告（COA）</t>
        </is>
      </c>
      <c r="C9" s="76" t="inlineStr">
        <is>
          <t>P0</t>
        </is>
      </c>
      <c r="D9" s="34" t="inlineStr">
        <is>
          <t>确认产品规格与批次可追溯</t>
        </is>
      </c>
      <c r="E9" s="34" t="inlineStr">
        <is>
          <t>执行标准 GB/T 210、批次号、Na₂CO₃ 含量、氯化物、粒度</t>
        </is>
      </c>
      <c r="F9" s="34" t="inlineStr">
        <is>
          <t>请提供拟供货批次的 COA，注明执行标准与批号，我们做第三方复检。</t>
        </is>
      </c>
      <c r="G9" s="34" t="inlineStr">
        <is>
          <t>所有供应商</t>
        </is>
      </c>
      <c r="H9" s="32" t="inlineStr">
        <is>
          <t>未获取</t>
        </is>
      </c>
    </row>
    <row r="10" ht="33.4" customHeight="1">
      <c r="A10" s="49" t="inlineStr">
        <is>
          <t>M6</t>
        </is>
      </c>
      <c r="B10" s="62" t="inlineStr">
        <is>
          <t>包装袋 / 合格证 / 喷码照片</t>
        </is>
      </c>
      <c r="C10" s="76" t="inlineStr">
        <is>
          <t>P0</t>
        </is>
      </c>
      <c r="D10" s="39" t="inlineStr">
        <is>
          <t>核对生产商名称与地址</t>
        </is>
      </c>
      <c r="E10" s="39" t="inlineStr">
        <is>
          <t>包装上“生产商”是否为目标企业、地址是否与许可一致</t>
        </is>
      </c>
      <c r="F10" s="39" t="inlineStr">
        <is>
          <t>拍一张完整包装袋正面和喷码位置，要能看清生产商名称、地址、执行标准和批号。</t>
        </is>
      </c>
      <c r="G10" s="39" t="inlineStr">
        <is>
          <t>所有供应商</t>
        </is>
      </c>
      <c r="H10" s="37" t="inlineStr">
        <is>
          <t>未获取</t>
        </is>
      </c>
    </row>
    <row r="11" ht="33.4" customHeight="1">
      <c r="A11" s="44" t="inlineStr">
        <is>
          <t>M7</t>
        </is>
      </c>
      <c r="B11" s="59" t="inlineStr">
        <is>
          <t>增值税发票样本</t>
        </is>
      </c>
      <c r="C11" s="76" t="inlineStr">
        <is>
          <t>P0</t>
        </is>
      </c>
      <c r="D11" s="34" t="inlineStr">
        <is>
          <t>确认销售主体=生产主体</t>
        </is>
      </c>
      <c r="E11" s="34" t="inlineStr">
        <is>
          <t>销售方名称、纳税人识别号、品名“纯碱”、税率</t>
        </is>
      </c>
      <c r="F11" s="34" t="inlineStr">
        <is>
          <t>提供一张近期纯碱发票的票样（可遮挡金额），我们核对销售方与生产商是否一致。</t>
        </is>
      </c>
      <c r="G11" s="34" t="inlineStr">
        <is>
          <t>所有供应商</t>
        </is>
      </c>
      <c r="H11" s="32" t="inlineStr">
        <is>
          <t>未获取</t>
        </is>
      </c>
    </row>
    <row r="12" ht="33.4" customHeight="1">
      <c r="A12" s="49" t="inlineStr">
        <is>
          <t>M8</t>
        </is>
      </c>
      <c r="B12" s="62" t="inlineStr">
        <is>
          <t>食品生产许可证（SC）及明细</t>
        </is>
      </c>
      <c r="C12" s="77" t="inlineStr">
        <is>
          <t>P1</t>
        </is>
      </c>
      <c r="D12" s="39" t="inlineStr">
        <is>
          <t>食品级碳酸钠的资质与工艺单元</t>
        </is>
      </c>
      <c r="E12" s="39" t="inlineStr">
        <is>
          <t>品种明细是否含“分装”、生产地址、有效期</t>
        </is>
      </c>
      <c r="F12" s="39" t="inlineStr">
        <is>
          <t>食品级的话，请提供 SC 证及品种明细页，注意看是不是“分装”。</t>
        </is>
      </c>
      <c r="G12" s="39" t="inlineStr">
        <is>
          <t>食品级采购</t>
        </is>
      </c>
      <c r="H12" s="37" t="inlineStr">
        <is>
          <t>未获取</t>
        </is>
      </c>
    </row>
    <row r="13" ht="33.4" customHeight="1">
      <c r="A13" s="44" t="inlineStr">
        <is>
          <t>M9</t>
        </is>
      </c>
      <c r="B13" s="59" t="inlineStr">
        <is>
          <t>危化品相关许可（液氨/氨水）</t>
        </is>
      </c>
      <c r="C13" s="78" t="inlineStr">
        <is>
          <t>P2</t>
        </is>
      </c>
      <c r="D13" s="34" t="inlineStr">
        <is>
          <t>安全合规核查（非纯碱生产证据）</t>
        </is>
      </c>
      <c r="E13" s="34" t="inlineStr">
        <is>
          <t>许可范围是液氨而非纯碱；储存与运输资质</t>
        </is>
      </c>
      <c r="F13" s="34" t="inlineStr">
        <is>
          <t>氨碱法涉及液氨，请提供液氨相关的安全许可与储运资质。</t>
        </is>
      </c>
      <c r="G13" s="34" t="inlineStr">
        <is>
          <t>氨碱法企业</t>
        </is>
      </c>
      <c r="H13" s="32" t="inlineStr">
        <is>
          <t>未获取</t>
        </is>
      </c>
    </row>
    <row r="14" ht="33.4" customHeight="1">
      <c r="A14" s="49" t="inlineStr">
        <is>
          <t>M10</t>
        </is>
      </c>
      <c r="B14" s="62" t="inlineStr">
        <is>
          <t>视频验厂或第三方验厂报告</t>
        </is>
      </c>
      <c r="C14" s="76" t="inlineStr">
        <is>
          <t>P0</t>
        </is>
      </c>
      <c r="D14" s="39" t="inlineStr">
        <is>
          <t>确认装置真实运行</t>
        </is>
      </c>
      <c r="E14" s="39" t="inlineStr">
        <is>
          <t>碳化塔、煅烧炉、凉碱炉、包装线、地磅、成品库</t>
        </is>
      </c>
      <c r="F14" s="39" t="inlineStr">
        <is>
          <t>安排一次 20 分钟视频验厂，按碳化—煅烧—包装—地磅顺序走，不要剪辑。</t>
        </is>
      </c>
      <c r="G14" s="39" t="inlineStr">
        <is>
          <t>所有声称自产的企业</t>
        </is>
      </c>
      <c r="H14" s="37" t="inlineStr">
        <is>
          <t>未获取</t>
        </is>
      </c>
    </row>
    <row r="15" ht="33.4" customHeight="1">
      <c r="A15" s="44" t="inlineStr">
        <is>
          <t>M11</t>
        </is>
      </c>
      <c r="B15" s="59" t="inlineStr">
        <is>
          <t>生产厂授权书 / 经销协议</t>
        </is>
      </c>
      <c r="C15" s="76" t="inlineStr">
        <is>
          <t>P0</t>
        </is>
      </c>
      <c r="D15" s="34" t="inlineStr">
        <is>
          <t>贸易商场景下追溯生产厂</t>
        </is>
      </c>
      <c r="E15" s="34" t="inlineStr">
        <is>
          <t>授权主体、授权品类、授权区域、有效期</t>
        </is>
      </c>
      <c r="F15" s="34" t="inlineStr">
        <is>
          <t>如果是代理，请提供碱厂盖章的授权书，以及你们从碱厂采购的发票。</t>
        </is>
      </c>
      <c r="G15" s="34" t="inlineStr">
        <is>
          <t>贸易商/经销商</t>
        </is>
      </c>
      <c r="H15" s="32" t="inlineStr">
        <is>
          <t>未获取</t>
        </is>
      </c>
    </row>
    <row r="16" ht="33.4" customHeight="1">
      <c r="A16" s="49" t="inlineStr">
        <is>
          <t>M12</t>
        </is>
      </c>
      <c r="B16" s="62" t="inlineStr">
        <is>
          <t>运输合同与承运人信息</t>
        </is>
      </c>
      <c r="C16" s="77" t="inlineStr">
        <is>
          <t>P1</t>
        </is>
      </c>
      <c r="D16" s="39" t="inlineStr">
        <is>
          <t>验证发货地与厂址一致</t>
        </is>
      </c>
      <c r="E16" s="39" t="inlineStr">
        <is>
          <t>起运地、承运人、运单号与磅单匹配</t>
        </is>
      </c>
      <c r="F16" s="39" t="inlineStr">
        <is>
          <t>提供本次发货的运输合同或运单，起运地要与排污证地址一致。</t>
        </is>
      </c>
      <c r="G16" s="39" t="inlineStr">
        <is>
          <t>所有供应商</t>
        </is>
      </c>
      <c r="H16" s="37" t="inlineStr">
        <is>
          <t>未获取</t>
        </is>
      </c>
    </row>
  </sheetData>
  <autoFilter ref="A4:H16"/>
  <mergeCells count="3">
    <mergeCell ref="A3:H3"/>
    <mergeCell ref="A2:H2"/>
    <mergeCell ref="A1:H1"/>
  </mergeCells>
  <conditionalFormatting sqref="H5:H20">
    <cfRule type="expression" priority="1" dxfId="0">
      <formula>$H5="已获取"</formula>
    </cfRule>
    <cfRule type="expression" priority="2" dxfId="4">
      <formula>$H5="未获取"</formula>
    </cfRule>
  </conditionalFormatting>
  <dataValidations count="1">
    <dataValidation sqref="H5:H20" showDropDown="0" showInputMessage="0" showErrorMessage="0" allowBlank="1" type="list">
      <formula1>"未获取,已获取,不适用"</formula1>
    </dataValidation>
  </dataValidations>
  <printOptions horizontalCentered="1"/>
  <pageMargins left="0.3" right="0.3" top="0.45" bottom="0.45" header="0.5" footer="0.5"/>
  <pageSetup orientation="landscape" paperSize="9" fitToHeight="0" fitToWidth="1"/>
</worksheet>
</file>

<file path=xl/worksheets/sheet8.xml><?xml version="1.0" encoding="utf-8"?>
<worksheet xmlns="http://schemas.openxmlformats.org/spreadsheetml/2006/main">
  <sheetPr>
    <tabColor rgb="000F7B5F"/>
    <outlinePr summaryBelow="1" summaryRight="1"/>
    <pageSetUpPr fitToPage="1"/>
  </sheetPr>
  <dimension ref="A1:F12"/>
  <sheetViews>
    <sheetView showGridLines="0" workbookViewId="0">
      <pane ySplit="3" topLeftCell="A4" activePane="bottomLeft" state="frozen"/>
      <selection pane="bottomLeft" activeCell="A1" sqref="A1"/>
    </sheetView>
  </sheetViews>
  <sheetFormatPr baseColWidth="8" defaultRowHeight="15"/>
  <cols>
    <col width="6" customWidth="1" min="1" max="1"/>
    <col width="20" customWidth="1" min="2" max="2"/>
    <col width="38" customWidth="1" min="3" max="3"/>
    <col width="42" customWidth="1" min="4" max="4"/>
    <col width="40" customWidth="1" min="5" max="5"/>
    <col width="8" customWidth="1" min="6" max="6"/>
  </cols>
  <sheetData>
    <row r="1" ht="44" customHeight="1">
      <c r="A1" s="28" t="inlineStr">
        <is>
          <t>07 · 现场 / 视频验厂脚本</t>
        </is>
      </c>
    </row>
    <row r="2" ht="26" customHeight="1">
      <c r="A2" s="29" t="inlineStr">
        <is>
          <t>不预约、不剪辑、按顺序走：门牌 → 装置 → 原料 → 包装 → 地磅 → 中控 → 三废。</t>
        </is>
      </c>
    </row>
    <row r="3" ht="20" customHeight="1">
      <c r="A3" s="30" t="inlineStr">
        <is>
          <t>报告编号 SV-2026-CN-NA2CO3-001    数据截止 2026-10-19    建议全程录屏并保留时间戳</t>
        </is>
      </c>
    </row>
    <row r="4" ht="30" customHeight="1">
      <c r="A4" s="31" t="inlineStr">
        <is>
          <t>序号</t>
        </is>
      </c>
      <c r="B4" s="31" t="inlineStr">
        <is>
          <t>检查项</t>
        </is>
      </c>
      <c r="C4" s="31" t="inlineStr">
        <is>
          <t>核验方法</t>
        </is>
      </c>
      <c r="D4" s="31" t="inlineStr">
        <is>
          <t>合格标准</t>
        </is>
      </c>
      <c r="E4" s="31" t="inlineStr">
        <is>
          <t>常见造假信号</t>
        </is>
      </c>
      <c r="F4" s="31" t="inlineStr">
        <is>
          <t>权重</t>
        </is>
      </c>
    </row>
    <row r="5" ht="42" customHeight="1">
      <c r="A5" s="32" t="n">
        <v>1</v>
      </c>
      <c r="B5" s="59" t="inlineStr">
        <is>
          <t>厂区门牌与地址</t>
        </is>
      </c>
      <c r="C5" s="34" t="inlineStr">
        <is>
          <t>视频从大门门牌开始，连续走到装置区</t>
        </is>
      </c>
      <c r="D5" s="34" t="inlineStr">
        <is>
          <t>门牌与排污证地址一致，园区有化工定位</t>
        </is>
      </c>
      <c r="E5" s="79" t="inlineStr">
        <is>
          <t>只拍车间内部、拒绝拍门牌、地址含糊</t>
        </is>
      </c>
      <c r="F5" s="32" t="n">
        <v>10</v>
      </c>
    </row>
    <row r="6" ht="42" customHeight="1">
      <c r="A6" s="37" t="n">
        <v>2</v>
      </c>
      <c r="B6" s="62" t="inlineStr">
        <is>
          <t>碳化塔 / 蒸氨塔</t>
        </is>
      </c>
      <c r="C6" s="39" t="inlineStr">
        <is>
          <t>要求拍设备铭牌与塔体全貌</t>
        </is>
      </c>
      <c r="D6" s="39" t="inlineStr">
        <is>
          <t>塔体高耸、有管线与操作平台，铭牌厂家/年份可读</t>
        </is>
      </c>
      <c r="E6" s="80" t="inlineStr">
        <is>
          <t>只有储罐与包装机，无塔器</t>
        </is>
      </c>
      <c r="F6" s="37" t="n">
        <v>10</v>
      </c>
    </row>
    <row r="7" ht="42" customHeight="1">
      <c r="A7" s="32" t="n">
        <v>3</v>
      </c>
      <c r="B7" s="59" t="inlineStr">
        <is>
          <t>煅烧炉 / 凉碱炉</t>
        </is>
      </c>
      <c r="C7" s="34" t="inlineStr">
        <is>
          <t>拍运行中的炉体、传动与温度表</t>
        </is>
      </c>
      <c r="D7" s="34" t="inlineStr">
        <is>
          <t>设备运行、有蒸汽/燃气管道、DCS 有对应画面</t>
        </is>
      </c>
      <c r="E7" s="79" t="inlineStr">
        <is>
          <t>设备停用积灰、无管线连接</t>
        </is>
      </c>
      <c r="F7" s="32" t="n">
        <v>10</v>
      </c>
    </row>
    <row r="8" ht="42" customHeight="1">
      <c r="A8" s="37" t="n">
        <v>4</v>
      </c>
      <c r="B8" s="62" t="inlineStr">
        <is>
          <t>原料堆场</t>
        </is>
      </c>
      <c r="C8" s="39" t="inlineStr">
        <is>
          <t>原盐/石灰石堆场与输送皮带</t>
        </is>
      </c>
      <c r="D8" s="39" t="inlineStr">
        <is>
          <t>大宗原料库存与上料系统</t>
        </is>
      </c>
      <c r="E8" s="80" t="inlineStr">
        <is>
          <t>只有成品垛，无原料</t>
        </is>
      </c>
      <c r="F8" s="37" t="n">
        <v>10</v>
      </c>
    </row>
    <row r="9" ht="42" customHeight="1">
      <c r="A9" s="32" t="n">
        <v>5</v>
      </c>
      <c r="B9" s="59" t="inlineStr">
        <is>
          <t>包装线与喷码</t>
        </is>
      </c>
      <c r="C9" s="34" t="inlineStr">
        <is>
          <t>现场打印一张合格证并拍喷码</t>
        </is>
      </c>
      <c r="D9" s="34" t="inlineStr">
        <is>
          <t>喷码含生产商、批号、日期，与 COA 对应</t>
        </is>
      </c>
      <c r="E9" s="79" t="inlineStr">
        <is>
          <t>预先印好的包装袋、无喷码机</t>
        </is>
      </c>
      <c r="F9" s="32" t="n">
        <v>10</v>
      </c>
    </row>
    <row r="10" ht="42" customHeight="1">
      <c r="A10" s="37" t="n">
        <v>6</v>
      </c>
      <c r="B10" s="62" t="inlineStr">
        <is>
          <t>成品库与地磅</t>
        </is>
      </c>
      <c r="C10" s="39" t="inlineStr">
        <is>
          <t>随机抽一垛货，核对磅单与库位</t>
        </is>
      </c>
      <c r="D10" s="39" t="inlineStr">
        <is>
          <t>库存与发货记录可对应，地磅有近期记录</t>
        </is>
      </c>
      <c r="E10" s="80" t="inlineStr">
        <is>
          <t>仓库是第三方仓储，货权不清</t>
        </is>
      </c>
      <c r="F10" s="37" t="n">
        <v>10</v>
      </c>
    </row>
    <row r="11" ht="42" customHeight="1">
      <c r="A11" s="32" t="n">
        <v>7</v>
      </c>
      <c r="B11" s="59" t="inlineStr">
        <is>
          <t>中控室 DCS</t>
        </is>
      </c>
      <c r="C11" s="34" t="inlineStr">
        <is>
          <t>要求看纯碱工段画面与趋势曲线</t>
        </is>
      </c>
      <c r="D11" s="34" t="inlineStr">
        <is>
          <t>有碳化、蒸氨、煅烧工段实时数据</t>
        </is>
      </c>
      <c r="E11" s="79" t="inlineStr">
        <is>
          <t>只有视频监控，无工艺画面</t>
        </is>
      </c>
      <c r="F11" s="32" t="n">
        <v>10</v>
      </c>
    </row>
    <row r="12" ht="42" customHeight="1">
      <c r="A12" s="37" t="n">
        <v>8</v>
      </c>
      <c r="B12" s="62" t="inlineStr">
        <is>
          <t>三废与排污口</t>
        </is>
      </c>
      <c r="C12" s="39" t="inlineStr">
        <is>
          <t>废液/碱渣处理与在线监测</t>
        </is>
      </c>
      <c r="D12" s="39" t="inlineStr">
        <is>
          <t>与排污许可证载明的排放口一致</t>
        </is>
      </c>
      <c r="E12" s="80" t="inlineStr">
        <is>
          <t>无处理设施、排放口与证不符</t>
        </is>
      </c>
      <c r="F12" s="37" t="n">
        <v>10</v>
      </c>
    </row>
  </sheetData>
  <mergeCells count="3">
    <mergeCell ref="A3:F3"/>
    <mergeCell ref="A2:F2"/>
    <mergeCell ref="A1:F1"/>
  </mergeCells>
  <printOptions horizontalCentered="1"/>
  <pageMargins left="0.3" right="0.3" top="0.45" bottom="0.45" header="0.5" footer="0.5"/>
  <pageSetup orientation="landscape" paperSize="9" fitToHeight="0" fitToWidth="1"/>
</worksheet>
</file>

<file path=xl/worksheets/sheet9.xml><?xml version="1.0" encoding="utf-8"?>
<worksheet xmlns="http://schemas.openxmlformats.org/spreadsheetml/2006/main">
  <sheetPr>
    <tabColor rgb="0016324F"/>
    <outlinePr summaryBelow="1" summaryRight="1"/>
    <pageSetUpPr fitToPage="1"/>
  </sheetPr>
  <dimension ref="A1:I9"/>
  <sheetViews>
    <sheetView showGridLines="0" workbookViewId="0">
      <pane ySplit="3" topLeftCell="A4" activePane="bottomLeft" state="frozen"/>
      <selection pane="bottomLeft" activeCell="A1" sqref="A1"/>
    </sheetView>
  </sheetViews>
  <sheetFormatPr baseColWidth="8" defaultRowHeight="15"/>
  <cols>
    <col width="26" customWidth="1" min="1" max="1"/>
    <col width="15" customWidth="1" min="2" max="2"/>
    <col width="9" customWidth="1" min="3" max="3"/>
    <col width="7" customWidth="1" min="4" max="4"/>
    <col width="7" customWidth="1" min="5" max="5"/>
    <col width="7" customWidth="1" min="6" max="6"/>
    <col width="40" customWidth="1" min="7" max="7"/>
    <col width="44" customWidth="1" min="8" max="8"/>
    <col width="9" customWidth="1" min="9" max="9"/>
  </cols>
  <sheetData>
    <row r="1" ht="44" customHeight="1">
      <c r="A1" s="28" t="inlineStr">
        <is>
          <t>08 · 5 个案例横向对照</t>
        </is>
      </c>
    </row>
    <row r="2" ht="26" customHeight="1">
      <c r="A2" s="29" t="inlineStr">
        <is>
          <t>同一套方法，不同的证据结构，落点自然不同：有的能定“厂家”，有的只能定“贸易”，有的必须留白。</t>
        </is>
      </c>
    </row>
    <row r="3" ht="20" customHeight="1">
      <c r="A3" s="30" t="inlineStr">
        <is>
          <t>报告编号 SV-2026-CN-NA2CO3-001    数据截止 2026-10-19</t>
        </is>
      </c>
    </row>
    <row r="4" ht="30" customHeight="1">
      <c r="A4" s="31" t="inlineStr">
        <is>
          <t>企业</t>
        </is>
      </c>
      <c r="B4" s="31" t="inlineStr">
        <is>
          <t>结论</t>
        </is>
      </c>
      <c r="C4" s="31" t="inlineStr">
        <is>
          <t>充分度</t>
        </is>
      </c>
      <c r="D4" s="31" t="inlineStr">
        <is>
          <t>直接</t>
        </is>
      </c>
      <c r="E4" s="31" t="inlineStr">
        <is>
          <t>间接</t>
        </is>
      </c>
      <c r="F4" s="31" t="inlineStr">
        <is>
          <t>排除</t>
        </is>
      </c>
      <c r="G4" s="31" t="inlineStr">
        <is>
          <t>关键硬证据</t>
        </is>
      </c>
      <c r="H4" s="31" t="inlineStr">
        <is>
          <t>关键缺口 / 下一步</t>
        </is>
      </c>
      <c r="I4" s="31" t="inlineStr">
        <is>
          <t>置信度</t>
        </is>
      </c>
    </row>
    <row r="5" ht="61.8" customHeight="1">
      <c r="A5" s="59" t="inlineStr">
        <is>
          <t>山东海化股份有限公司</t>
        </is>
      </c>
      <c r="B5" s="81" t="inlineStr">
        <is>
          <t>生产厂家</t>
        </is>
      </c>
      <c r="C5" s="82" t="n">
        <v>84</v>
      </c>
      <c r="D5" s="32" t="n">
        <v>6</v>
      </c>
      <c r="E5" s="32" t="n">
        <v>5</v>
      </c>
      <c r="F5" s="32" t="n">
        <v>5</v>
      </c>
      <c r="G5" s="34" t="inlineStr">
        <is>
          <t>排污许可证：行业类别“无机碱制造”；官网工厂页：两条线、280 万吨、15 个车间；上市公司年报：2023 年实际生产 319.31 万吨</t>
        </is>
      </c>
      <c r="H5" s="34" t="inlineStr">
        <is>
          <t>先做视频验厂（碳化塔—煅烧—包装线—地磅），再签“生产商=发票销售方=发货地”三合一条款；技改期约定供应保障。</t>
        </is>
      </c>
      <c r="I5" s="32" t="inlineStr">
        <is>
          <t>高</t>
        </is>
      </c>
    </row>
    <row r="6" ht="61.8" customHeight="1">
      <c r="A6" s="62" t="inlineStr">
        <is>
          <t>内蒙古博源银根化工有限公司</t>
        </is>
      </c>
      <c r="B6" s="81" t="inlineStr">
        <is>
          <t>生产厂家</t>
        </is>
      </c>
      <c r="C6" s="83" t="n">
        <v>76</v>
      </c>
      <c r="D6" s="37" t="n">
        <v>5</v>
      </c>
      <c r="E6" s="37" t="n">
        <v>3</v>
      </c>
      <c r="F6" s="37" t="n">
        <v>3</v>
      </c>
      <c r="G6" s="39" t="inlineStr">
        <is>
          <t>上市公司公告：一期 500 万吨纯碱达产；二期启动公告：分期建设、总投资与进度；资源底座：塔木素天然碱矿 10.78 亿吨</t>
        </is>
      </c>
      <c r="H6" s="39" t="inlineStr">
        <is>
          <t>天然碱法重碱粒度与堆积密度需与玻璃窑炉匹配，先索取样检测；确认二期投产节奏对 2027 年供应量的影响。</t>
        </is>
      </c>
      <c r="I6" s="37" t="inlineStr">
        <is>
          <t>高</t>
        </is>
      </c>
    </row>
    <row r="7" ht="47.59999999999999" customHeight="1">
      <c r="A7" s="59" t="inlineStr">
        <is>
          <t>浙江杭实善成实业有限公司</t>
        </is>
      </c>
      <c r="B7" s="84" t="inlineStr">
        <is>
          <t>贸易经销</t>
        </is>
      </c>
      <c r="C7" s="82" t="n">
        <v>18</v>
      </c>
      <c r="D7" s="32" t="n">
        <v>0</v>
      </c>
      <c r="E7" s="32" t="n">
        <v>4</v>
      </c>
      <c r="F7" s="32" t="n">
        <v>4</v>
      </c>
      <c r="G7" s="34" t="inlineStr">
        <is>
          <t>无（0 条直接生产证据）</t>
        </is>
      </c>
      <c r="H7" s="34" t="inlineStr">
        <is>
          <t>可与其做分销/代采，但合同须写明“实际生产商”并附授权链；要求发票由碱厂直开或提供完整背靠背链条。</t>
        </is>
      </c>
      <c r="I7" s="32" t="inlineStr">
        <is>
          <t>高</t>
        </is>
      </c>
    </row>
    <row r="8" ht="47.59999999999999" customHeight="1">
      <c r="A8" s="62" t="inlineStr">
        <is>
          <t>某食品配料有限公司（脱敏样例）</t>
        </is>
      </c>
      <c r="B8" s="85" t="inlineStr">
        <is>
          <t>分装或复配</t>
        </is>
      </c>
      <c r="C8" s="83" t="n">
        <v>33</v>
      </c>
      <c r="D8" s="37" t="n">
        <v>0</v>
      </c>
      <c r="E8" s="37" t="n">
        <v>4</v>
      </c>
      <c r="F8" s="37" t="n">
        <v>3</v>
      </c>
      <c r="G8" s="39" t="inlineStr">
        <is>
          <t>无（0 条直接生产证据）</t>
        </is>
      </c>
      <c r="H8" s="39" t="inlineStr">
        <is>
          <t>按“分装商”而非“厂家”议价；要求其标注实际生产厂与批号，食品级需提供 GB 1886.1 全项检测。</t>
        </is>
      </c>
      <c r="I8" s="37" t="inlineStr">
        <is>
          <t>中高</t>
        </is>
      </c>
    </row>
    <row r="9" ht="47.59999999999999" customHeight="1">
      <c r="A9" s="59" t="inlineStr">
        <is>
          <t>某询价供应商（脱敏样例）</t>
        </is>
      </c>
      <c r="B9" s="86" t="inlineStr">
        <is>
          <t>证据不足暂无法确认</t>
        </is>
      </c>
      <c r="C9" s="82" t="n">
        <v>8</v>
      </c>
      <c r="D9" s="32" t="n">
        <v>0</v>
      </c>
      <c r="E9" s="32" t="n">
        <v>1</v>
      </c>
      <c r="F9" s="32" t="n">
        <v>3</v>
      </c>
      <c r="G9" s="34" t="inlineStr">
        <is>
          <t>无（0 条直接生产证据）</t>
        </is>
      </c>
      <c r="H9" s="34" t="inlineStr">
        <is>
          <t>先按“未认证供应商”处理：不预付、不做长协；补齐 P0 材料后再复核，或直接转向已核验的碱厂/授权经销商。</t>
        </is>
      </c>
      <c r="I9" s="32" t="inlineStr">
        <is>
          <t>低</t>
        </is>
      </c>
    </row>
  </sheetData>
  <mergeCells count="3">
    <mergeCell ref="A1:I1"/>
    <mergeCell ref="A3:I3"/>
    <mergeCell ref="A2:I2"/>
  </mergeCells>
  <printOptions horizontalCentered="1"/>
  <pageMargins left="0.3" right="0.3" top="0.45" bottom="0.45" header="0.5" footer="0.5"/>
  <pageSetup orientation="landscape" paperSize="9" fitToHeight="0" fitToWidth="1"/>
</worksheet>
</file>

<file path=xl/worksheets/sheet10.xml><?xml version="1.0" encoding="utf-8"?>
<worksheet xmlns="http://schemas.openxmlformats.org/spreadsheetml/2006/main">
  <sheetPr>
    <tabColor rgb="0064748B"/>
    <outlinePr summaryBelow="1" summaryRight="1"/>
    <pageSetUpPr fitToPage="1"/>
  </sheetPr>
  <dimension ref="A1:F18"/>
  <sheetViews>
    <sheetView showGridLines="0" workbookViewId="0">
      <pane ySplit="3" topLeftCell="A4" activePane="bottomLeft" state="frozen"/>
      <selection pane="bottomLeft" activeCell="A1" sqref="A1"/>
    </sheetView>
  </sheetViews>
  <sheetFormatPr baseColWidth="8" defaultRowHeight="15"/>
  <cols>
    <col width="7" customWidth="1" min="1" max="1"/>
    <col width="40" customWidth="1" min="2" max="2"/>
    <col width="12" customWidth="1" min="3" max="3"/>
    <col width="55" customWidth="1" min="4" max="4"/>
    <col width="50" customWidth="1" min="5" max="5"/>
    <col width="12" customWidth="1" min="6" max="6"/>
  </cols>
  <sheetData>
    <row r="1" ht="44" customHeight="1">
      <c r="A1" s="28" t="inlineStr">
        <is>
          <t>09 · 数据来源与可复核性</t>
        </is>
      </c>
    </row>
    <row r="2" ht="26" customHeight="1">
      <c r="A2" s="29" t="inlineStr">
        <is>
          <t>只采信可公开复核的来源；企业官网信息标注为“自述”，须与许可/公告/交易所文件交叉。</t>
        </is>
      </c>
    </row>
    <row r="3" ht="20" customHeight="1">
      <c r="A3" s="30" t="inlineStr">
        <is>
          <t>报告编号 SV-2026-CN-NA2CO3-001    数据截止 2026-10-19    链接失效时，可按“机构 + 标题 + 日期”二次检索</t>
        </is>
      </c>
    </row>
    <row r="4" ht="30" customHeight="1">
      <c r="A4" s="31" t="inlineStr">
        <is>
          <t>编号</t>
        </is>
      </c>
      <c r="B4" s="31" t="inlineStr">
        <is>
          <t>来源</t>
        </is>
      </c>
      <c r="C4" s="31" t="inlineStr">
        <is>
          <t>类型</t>
        </is>
      </c>
      <c r="D4" s="31" t="inlineStr">
        <is>
          <t>链接</t>
        </is>
      </c>
      <c r="E4" s="31" t="inlineStr">
        <is>
          <t>引用内容</t>
        </is>
      </c>
      <c r="F4" s="31" t="inlineStr">
        <is>
          <t>访问日期</t>
        </is>
      </c>
    </row>
    <row r="5" ht="33.4" customHeight="1">
      <c r="A5" s="44" t="inlineStr">
        <is>
          <t>id</t>
        </is>
      </c>
      <c r="B5" s="34" t="inlineStr">
        <is>
          <t>source</t>
        </is>
      </c>
      <c r="C5" s="32" t="inlineStr">
        <is>
          <t>type</t>
        </is>
      </c>
      <c r="D5" s="87" t="inlineStr">
        <is>
          <t>url</t>
        </is>
      </c>
      <c r="E5" s="34" t="inlineStr">
        <is>
          <t>quote</t>
        </is>
      </c>
      <c r="F5" s="32" t="inlineStr">
        <is>
          <t>2026-10-19</t>
        </is>
      </c>
    </row>
    <row r="6" ht="33.4" customHeight="1">
      <c r="A6" s="49" t="inlineStr">
        <is>
          <t>id</t>
        </is>
      </c>
      <c r="B6" s="39" t="inlineStr">
        <is>
          <t>source</t>
        </is>
      </c>
      <c r="C6" s="37" t="inlineStr">
        <is>
          <t>type</t>
        </is>
      </c>
      <c r="D6" s="88" t="inlineStr">
        <is>
          <t>url</t>
        </is>
      </c>
      <c r="E6" s="39" t="inlineStr">
        <is>
          <t>quote</t>
        </is>
      </c>
      <c r="F6" s="37" t="inlineStr">
        <is>
          <t>2026-10-19</t>
        </is>
      </c>
    </row>
    <row r="7" ht="33.4" customHeight="1">
      <c r="A7" s="44" t="inlineStr">
        <is>
          <t>id</t>
        </is>
      </c>
      <c r="B7" s="34" t="inlineStr">
        <is>
          <t>source</t>
        </is>
      </c>
      <c r="C7" s="32" t="inlineStr">
        <is>
          <t>type</t>
        </is>
      </c>
      <c r="D7" s="87" t="inlineStr">
        <is>
          <t>url</t>
        </is>
      </c>
      <c r="E7" s="34" t="inlineStr">
        <is>
          <t>quote</t>
        </is>
      </c>
      <c r="F7" s="32" t="inlineStr">
        <is>
          <t>2026-10-19</t>
        </is>
      </c>
    </row>
    <row r="8" ht="33.4" customHeight="1">
      <c r="A8" s="49" t="inlineStr">
        <is>
          <t>id</t>
        </is>
      </c>
      <c r="B8" s="39" t="inlineStr">
        <is>
          <t>source</t>
        </is>
      </c>
      <c r="C8" s="37" t="inlineStr">
        <is>
          <t>type</t>
        </is>
      </c>
      <c r="D8" s="88" t="inlineStr">
        <is>
          <t>url</t>
        </is>
      </c>
      <c r="E8" s="39" t="inlineStr">
        <is>
          <t>quote</t>
        </is>
      </c>
      <c r="F8" s="37" t="inlineStr">
        <is>
          <t>2026-10-19</t>
        </is>
      </c>
    </row>
    <row r="9" ht="33.4" customHeight="1">
      <c r="A9" s="44" t="inlineStr">
        <is>
          <t>id</t>
        </is>
      </c>
      <c r="B9" s="34" t="inlineStr">
        <is>
          <t>source</t>
        </is>
      </c>
      <c r="C9" s="32" t="inlineStr">
        <is>
          <t>type</t>
        </is>
      </c>
      <c r="D9" s="87" t="inlineStr">
        <is>
          <t>url</t>
        </is>
      </c>
      <c r="E9" s="34" t="inlineStr">
        <is>
          <t>quote</t>
        </is>
      </c>
      <c r="F9" s="32" t="inlineStr">
        <is>
          <t>2026-10-19</t>
        </is>
      </c>
    </row>
    <row r="10" ht="33.4" customHeight="1">
      <c r="A10" s="49" t="inlineStr">
        <is>
          <t>id</t>
        </is>
      </c>
      <c r="B10" s="39" t="inlineStr">
        <is>
          <t>source</t>
        </is>
      </c>
      <c r="C10" s="37" t="inlineStr">
        <is>
          <t>type</t>
        </is>
      </c>
      <c r="D10" s="88" t="inlineStr">
        <is>
          <t>url</t>
        </is>
      </c>
      <c r="E10" s="39" t="inlineStr">
        <is>
          <t>quote</t>
        </is>
      </c>
      <c r="F10" s="37" t="inlineStr">
        <is>
          <t>2026-10-19</t>
        </is>
      </c>
    </row>
    <row r="11" ht="33.4" customHeight="1">
      <c r="A11" s="44" t="inlineStr">
        <is>
          <t>id</t>
        </is>
      </c>
      <c r="B11" s="34" t="inlineStr">
        <is>
          <t>source</t>
        </is>
      </c>
      <c r="C11" s="32" t="inlineStr">
        <is>
          <t>type</t>
        </is>
      </c>
      <c r="D11" s="87" t="inlineStr">
        <is>
          <t>url</t>
        </is>
      </c>
      <c r="E11" s="34" t="inlineStr">
        <is>
          <t>quote</t>
        </is>
      </c>
      <c r="F11" s="32" t="inlineStr">
        <is>
          <t>2026-10-19</t>
        </is>
      </c>
    </row>
    <row r="12" ht="33.4" customHeight="1">
      <c r="A12" s="49" t="inlineStr">
        <is>
          <t>id</t>
        </is>
      </c>
      <c r="B12" s="39" t="inlineStr">
        <is>
          <t>source</t>
        </is>
      </c>
      <c r="C12" s="37" t="inlineStr">
        <is>
          <t>type</t>
        </is>
      </c>
      <c r="D12" s="88" t="inlineStr">
        <is>
          <t>url</t>
        </is>
      </c>
      <c r="E12" s="39" t="inlineStr">
        <is>
          <t>quote</t>
        </is>
      </c>
      <c r="F12" s="37" t="inlineStr">
        <is>
          <t>2026-10-19</t>
        </is>
      </c>
    </row>
    <row r="13" ht="33.4" customHeight="1">
      <c r="A13" s="44" t="inlineStr">
        <is>
          <t>id</t>
        </is>
      </c>
      <c r="B13" s="34" t="inlineStr">
        <is>
          <t>source</t>
        </is>
      </c>
      <c r="C13" s="32" t="inlineStr">
        <is>
          <t>type</t>
        </is>
      </c>
      <c r="D13" s="87" t="inlineStr">
        <is>
          <t>url</t>
        </is>
      </c>
      <c r="E13" s="34" t="inlineStr">
        <is>
          <t>quote</t>
        </is>
      </c>
      <c r="F13" s="32" t="inlineStr">
        <is>
          <t>2026-10-19</t>
        </is>
      </c>
    </row>
    <row r="14" ht="33.4" customHeight="1">
      <c r="A14" s="49" t="inlineStr">
        <is>
          <t>id</t>
        </is>
      </c>
      <c r="B14" s="39" t="inlineStr">
        <is>
          <t>source</t>
        </is>
      </c>
      <c r="C14" s="37" t="inlineStr">
        <is>
          <t>type</t>
        </is>
      </c>
      <c r="D14" s="88" t="inlineStr">
        <is>
          <t>url</t>
        </is>
      </c>
      <c r="E14" s="39" t="inlineStr">
        <is>
          <t>quote</t>
        </is>
      </c>
      <c r="F14" s="37" t="inlineStr">
        <is>
          <t>2026-10-19</t>
        </is>
      </c>
    </row>
    <row r="15" ht="33.4" customHeight="1">
      <c r="A15" s="44" t="inlineStr">
        <is>
          <t>id</t>
        </is>
      </c>
      <c r="B15" s="34" t="inlineStr">
        <is>
          <t>source</t>
        </is>
      </c>
      <c r="C15" s="32" t="inlineStr">
        <is>
          <t>type</t>
        </is>
      </c>
      <c r="D15" s="87" t="inlineStr">
        <is>
          <t>url</t>
        </is>
      </c>
      <c r="E15" s="34" t="inlineStr">
        <is>
          <t>quote</t>
        </is>
      </c>
      <c r="F15" s="32" t="inlineStr">
        <is>
          <t>2026-10-19</t>
        </is>
      </c>
    </row>
    <row r="16" ht="33.4" customHeight="1">
      <c r="A16" s="49" t="inlineStr">
        <is>
          <t>id</t>
        </is>
      </c>
      <c r="B16" s="39" t="inlineStr">
        <is>
          <t>source</t>
        </is>
      </c>
      <c r="C16" s="37" t="inlineStr">
        <is>
          <t>type</t>
        </is>
      </c>
      <c r="D16" s="88" t="inlineStr">
        <is>
          <t>url</t>
        </is>
      </c>
      <c r="E16" s="39" t="inlineStr">
        <is>
          <t>quote</t>
        </is>
      </c>
      <c r="F16" s="37" t="inlineStr">
        <is>
          <t>2026-10-19</t>
        </is>
      </c>
    </row>
    <row r="17" ht="33.4" customHeight="1">
      <c r="A17" s="44" t="inlineStr">
        <is>
          <t>id</t>
        </is>
      </c>
      <c r="B17" s="34" t="inlineStr">
        <is>
          <t>source</t>
        </is>
      </c>
      <c r="C17" s="32" t="inlineStr">
        <is>
          <t>type</t>
        </is>
      </c>
      <c r="D17" s="87" t="inlineStr">
        <is>
          <t>url</t>
        </is>
      </c>
      <c r="E17" s="34" t="inlineStr">
        <is>
          <t>quote</t>
        </is>
      </c>
      <c r="F17" s="32" t="inlineStr">
        <is>
          <t>2026-10-19</t>
        </is>
      </c>
    </row>
    <row r="18" ht="33.4" customHeight="1">
      <c r="A18" s="49" t="inlineStr">
        <is>
          <t>id</t>
        </is>
      </c>
      <c r="B18" s="39" t="inlineStr">
        <is>
          <t>source</t>
        </is>
      </c>
      <c r="C18" s="37" t="inlineStr">
        <is>
          <t>type</t>
        </is>
      </c>
      <c r="D18" s="88" t="inlineStr">
        <is>
          <t>url</t>
        </is>
      </c>
      <c r="E18" s="39" t="inlineStr">
        <is>
          <t>quote</t>
        </is>
      </c>
      <c r="F18" s="37" t="inlineStr">
        <is>
          <t>2026-10-19</t>
        </is>
      </c>
    </row>
  </sheetData>
  <autoFilter ref="A4:F18"/>
  <mergeCells count="3">
    <mergeCell ref="A3:F3"/>
    <mergeCell ref="A2:F2"/>
    <mergeCell ref="A1:F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s>
  <printOptions horizontalCentered="1"/>
  <pageMargins left="0.3" right="0.3" top="0.45" bottom="0.4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DSH 供应商核验台</dc:creator>
  <dc:title xmlns:dc="http://purl.org/dc/elements/1.1/">纯碱供应商真伪核验工作簿</dc:title>
  <dc:description xmlns:dc="http://purl.org/dc/elements/1.1/">山东海化、博源银根、杭实善成、分装样例、证据不足样例</dc:description>
  <dc:subject xmlns:dc="http://purl.org/dc/elements/1.1/">供应商验厂 / 生产证据三分法</dc:subject>
  <dcterms:created xmlns:dcterms="http://purl.org/dc/terms/" xmlns:xsi="http://www.w3.org/2001/XMLSchema-instance" xsi:type="dcterms:W3CDTF">2026-10-19T06:49:26Z</dcterms:created>
  <dcterms:modified xmlns:dcterms="http://purl.org/dc/terms/" xmlns:xsi="http://www.w3.org/2001/XMLSchema-instance" xsi:type="dcterms:W3CDTF">2026-10-19T06:49:27Z</dcterms:modified>
</cp:coreProperties>
</file>
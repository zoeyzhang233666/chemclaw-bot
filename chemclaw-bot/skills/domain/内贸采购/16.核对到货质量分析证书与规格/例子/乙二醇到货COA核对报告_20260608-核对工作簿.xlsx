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免责" sheetId="1" state="visible" r:id="rId1"/>
    <sheet xmlns:r="http://schemas.openxmlformats.org/officeDocument/2006/relationships" name="01 核对结论" sheetId="2" state="visible" r:id="rId2"/>
    <sheet xmlns:r="http://schemas.openxmlformats.org/officeDocument/2006/relationships" name="02 逐项比对" sheetId="3" state="visible" r:id="rId3"/>
    <sheet xmlns:r="http://schemas.openxmlformats.org/officeDocument/2006/relationships" name="03 单位换算台账" sheetId="4" state="visible" r:id="rId4"/>
    <sheet xmlns:r="http://schemas.openxmlformats.org/officeDocument/2006/relationships" name="04 批次趋势" sheetId="5" state="visible" r:id="rId5"/>
    <sheet xmlns:r="http://schemas.openxmlformats.org/officeDocument/2006/relationships" name="05 完整性检查" sheetId="6" state="visible" r:id="rId6"/>
    <sheet xmlns:r="http://schemas.openxmlformats.org/officeDocument/2006/relationships" name="06 方法差异" sheetId="7" state="visible" r:id="rId7"/>
    <sheet xmlns:r="http://schemas.openxmlformats.org/officeDocument/2006/relationships" name="07 多批次对照" sheetId="8" state="visible" r:id="rId8"/>
    <sheet xmlns:r="http://schemas.openxmlformats.org/officeDocument/2006/relationships" name="08 异常问题清单" sheetId="9" state="visible" r:id="rId9"/>
    <sheet xmlns:r="http://schemas.openxmlformats.org/officeDocument/2006/relationships" name="09 异议要点" sheetId="10" state="visible" r:id="rId10"/>
    <sheet xmlns:r="http://schemas.openxmlformats.org/officeDocument/2006/relationships" name="10 原始数据" sheetId="11" state="visible" r:id="rId11"/>
    <sheet xmlns:r="http://schemas.openxmlformats.org/officeDocument/2006/relationships" name="11 判定规则" sheetId="12" state="visible" r:id="rId12"/>
  </sheets>
  <definedNames>
    <definedName name="_xlnm._FilterDatabase" localSheetId="2" hidden="1">'02 逐项比对'!$A$4:$AB$15</definedName>
    <definedName name="_xlnm._FilterDatabase" localSheetId="8" hidden="1">'08 异常问题清单'!$A$4:$H$19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####"/>
    <numFmt numFmtId="166" formatCode="+0.00%;-0.00%"/>
    <numFmt numFmtId="167" formatCode="0.######"/>
  </numFmts>
  <fonts count="29">
    <font>
      <name val="Calibri"/>
      <family val="2"/>
      <color theme="1"/>
      <sz val="11"/>
      <scheme val="minor"/>
    </font>
    <font>
      <name val="微软雅黑"/>
      <b val="1"/>
      <color rgb="000B3D66"/>
      <sz val="15"/>
    </font>
    <font>
      <name val="微软雅黑"/>
      <color rgb="0064748B"/>
      <sz val="9"/>
    </font>
    <font>
      <name val="微软雅黑"/>
      <b val="1"/>
      <color rgb="007A5600"/>
      <sz val="11"/>
    </font>
    <font>
      <name val="微软雅黑"/>
      <b val="1"/>
      <color rgb="000B3D66"/>
      <sz val="9.5"/>
    </font>
    <font>
      <name val="微软雅黑"/>
      <color rgb="001F2937"/>
      <sz val="9.5"/>
    </font>
    <font>
      <name val="微软雅黑"/>
      <b val="1"/>
      <color rgb="00FFFFFF"/>
      <sz val="11.5"/>
    </font>
    <font>
      <name val="Consolas"/>
      <b val="1"/>
      <color rgb="000F172A"/>
      <sz val="9.5"/>
    </font>
    <font>
      <name val="微软雅黑"/>
      <color rgb="007A5600"/>
      <sz val="9.5"/>
    </font>
    <font>
      <name val="微软雅黑"/>
      <b val="1"/>
      <color rgb="00FFFFFF"/>
      <sz val="9.5"/>
    </font>
    <font>
      <name val="微软雅黑"/>
      <b val="1"/>
      <color rgb="000F7B52"/>
      <sz val="9.5"/>
    </font>
    <font>
      <name val="微软雅黑"/>
      <b val="1"/>
      <color rgb="00B42318"/>
      <sz val="9.5"/>
    </font>
    <font>
      <name val="微软雅黑"/>
      <b val="1"/>
      <color rgb="005C4A9E"/>
      <sz val="9.5"/>
    </font>
    <font>
      <name val="微软雅黑"/>
      <b val="1"/>
      <color rgb="00A45308"/>
      <sz val="9.5"/>
    </font>
    <font>
      <name val="微软雅黑"/>
      <b val="1"/>
      <color rgb="00475569"/>
      <sz val="9.5"/>
    </font>
    <font>
      <name val="微软雅黑"/>
      <b val="1"/>
      <sz val="9.5"/>
    </font>
    <font>
      <name val="Consolas"/>
      <b val="1"/>
      <color rgb="000B3D66"/>
      <sz val="13"/>
    </font>
    <font>
      <name val="Consolas"/>
      <color rgb="000F172A"/>
      <sz val="9.5"/>
    </font>
    <font>
      <name val="微软雅黑"/>
      <b val="1"/>
      <sz val="9"/>
    </font>
    <font>
      <name val="微软雅黑"/>
      <b val="1"/>
      <color rgb="000F7B52"/>
      <sz val="9"/>
    </font>
    <font>
      <name val="微软雅黑"/>
      <b val="1"/>
      <color rgb="00B42318"/>
      <sz val="9"/>
    </font>
    <font>
      <name val="微软雅黑"/>
      <b val="1"/>
      <color rgb="005C4A9E"/>
      <sz val="9"/>
    </font>
    <font>
      <name val="微软雅黑"/>
      <b val="1"/>
      <color rgb="00A45308"/>
      <sz val="9"/>
    </font>
    <font>
      <name val="微软雅黑"/>
      <b val="1"/>
      <color rgb="00475569"/>
      <sz val="9"/>
    </font>
    <font>
      <name val="微软雅黑"/>
      <color rgb="00A45308"/>
      <sz val="9"/>
    </font>
    <font>
      <name val="Consolas"/>
      <b val="1"/>
      <sz val="9.5"/>
    </font>
    <font>
      <name val="微软雅黑"/>
      <b val="1"/>
      <color rgb="00B45309"/>
      <sz val="9.5"/>
    </font>
    <font>
      <name val="Consolas"/>
      <color rgb="001F2937"/>
      <sz val="10"/>
    </font>
    <font>
      <name val="微软雅黑"/>
      <color rgb="00B42318"/>
      <sz val="9.5"/>
    </font>
  </fonts>
  <fills count="13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55E91"/>
      </patternFill>
    </fill>
    <fill>
      <patternFill patternType="solid">
        <fgColor rgb="000B3D66"/>
      </patternFill>
    </fill>
    <fill>
      <patternFill patternType="solid">
        <fgColor rgb="00E6F6EE"/>
      </patternFill>
    </fill>
    <fill>
      <patternFill patternType="solid">
        <fgColor rgb="00FDECEB"/>
      </patternFill>
    </fill>
    <fill>
      <patternFill patternType="solid">
        <fgColor rgb="00EFECFB"/>
      </patternFill>
    </fill>
    <fill>
      <patternFill patternType="solid">
        <fgColor rgb="00FDF1E3"/>
      </patternFill>
    </fill>
    <fill>
      <patternFill patternType="solid">
        <fgColor rgb="00EEF2F6"/>
      </patternFill>
    </fill>
    <fill>
      <patternFill patternType="solid">
        <fgColor rgb="00F8FAFC"/>
      </patternFill>
    </fill>
    <fill>
      <patternFill patternType="solid">
        <fgColor rgb="00FDF3E4"/>
      </patternFill>
    </fill>
    <fill>
      <patternFill patternType="solid">
        <fgColor rgb="00FFFBE8"/>
      </patternFill>
    </fill>
  </fills>
  <borders count="6">
    <border>
      <left/>
      <right/>
      <top/>
      <bottom/>
      <diagonal/>
    </border>
    <border>
      <left style="thin">
        <color rgb="00D5DCE5"/>
      </left>
      <right style="thin">
        <color rgb="00D5DCE5"/>
      </right>
      <top style="thin">
        <color rgb="00D5DCE5"/>
      </top>
      <bottom style="thin">
        <color rgb="00D5DCE5"/>
      </bottom>
    </border>
    <border>
      <left/>
      <right/>
      <top style="thin">
        <color rgb="00D5DCE5"/>
      </top>
      <bottom/>
      <diagonal/>
    </border>
    <border>
      <left/>
      <right style="thin">
        <color rgb="00D5DCE5"/>
      </right>
      <top style="thin">
        <color rgb="00D5DCE5"/>
      </top>
      <bottom/>
      <diagonal/>
    </border>
    <border>
      <left/>
      <right/>
      <top style="thin">
        <color rgb="00D5DCE5"/>
      </top>
      <bottom style="thin">
        <color rgb="00D5DCE5"/>
      </bottom>
      <diagonal/>
    </border>
    <border>
      <left/>
      <right style="thin">
        <color rgb="00D5DCE5"/>
      </right>
      <top style="thin">
        <color rgb="00D5DCE5"/>
      </top>
      <bottom style="thin">
        <color rgb="00D5DCE5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vertical="center"/>
    </xf>
    <xf numFmtId="0" fontId="7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164" fontId="15" fillId="0" borderId="1" applyAlignment="1" pivotButton="0" quotePrefix="0" xfId="0">
      <alignment horizontal="left" vertical="top" wrapText="1"/>
    </xf>
    <xf numFmtId="0" fontId="4" fillId="0" borderId="1" pivotButton="0" quotePrefix="0" xfId="0"/>
    <xf numFmtId="164" fontId="16" fillId="0" borderId="1" applyAlignment="1" pivotButton="0" quotePrefix="0" xfId="0">
      <alignment horizontal="center" vertical="center" wrapText="1"/>
    </xf>
    <xf numFmtId="1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17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24" fillId="0" borderId="0" pivotButton="0" quotePrefix="0" xfId="0"/>
    <xf numFmtId="166" fontId="17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top" wrapText="1"/>
    </xf>
    <xf numFmtId="0" fontId="9" fillId="4" borderId="0" pivotButton="0" quotePrefix="0" xfId="0"/>
    <xf numFmtId="0" fontId="9" fillId="4" borderId="0" applyAlignment="1" pivotButton="0" quotePrefix="0" xfId="0">
      <alignment horizontal="center" vertical="center" wrapText="1"/>
    </xf>
    <xf numFmtId="0" fontId="17" fillId="0" borderId="0" pivotButton="0" quotePrefix="0" xfId="0"/>
    <xf numFmtId="167" fontId="17" fillId="0" borderId="0" pivotButton="0" quotePrefix="0" xfId="0"/>
    <xf numFmtId="0" fontId="17" fillId="12" borderId="0" pivotButton="0" quotePrefix="0" xfId="0"/>
    <xf numFmtId="167" fontId="25" fillId="0" borderId="0" pivotButton="0" quotePrefix="0" xfId="0"/>
    <xf numFmtId="0" fontId="2" fillId="0" borderId="0" pivotButton="0" quotePrefix="0" xfId="0"/>
    <xf numFmtId="0" fontId="26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27" fillId="0" borderId="0" applyAlignment="1" pivotButton="0" quotePrefix="0" xfId="0">
      <alignment vertical="top" wrapText="1"/>
    </xf>
    <xf numFmtId="0" fontId="28" fillId="0" borderId="0" pivotButton="0" quotePrefix="0" xfId="0"/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批次趋势（单位已归一）</a:t>
            </a:r>
          </a:p>
        </rich>
      </tx>
    </title>
    <plotArea>
      <lineChart>
        <grouping val="standard"/>
        <ser>
          <idx val="0"/>
          <order val="0"/>
          <tx>
            <strRef>
              <f>'04 批次趋势'!C19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批次趋势'!$A$20:$A$25</f>
            </numRef>
          </cat>
          <val>
            <numRef>
              <f>'04 批次趋势'!$C$20:$C$25</f>
            </numRef>
          </val>
        </ser>
        <ser>
          <idx val="1"/>
          <order val="1"/>
          <tx>
            <strRef>
              <f>'04 批次趋势'!D19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批次趋势'!$A$20:$A$25</f>
            </numRef>
          </cat>
          <val>
            <numRef>
              <f>'04 批次趋势'!$D$20:$D$25</f>
            </numRef>
          </val>
        </ser>
        <ser>
          <idx val="2"/>
          <order val="2"/>
          <tx>
            <strRef>
              <f>'04 批次趋势'!E19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批次趋势'!$A$20:$A$25</f>
            </numRef>
          </cat>
          <val>
            <numRef>
              <f>'04 批次趋势'!$E$20:$E$25</f>
            </numRef>
          </val>
        </ser>
        <ser>
          <idx val="3"/>
          <order val="3"/>
          <tx>
            <strRef>
              <f>'04 批次趋势'!F19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 批次趋势'!$A$20:$A$25</f>
            </numRef>
          </cat>
          <val>
            <numRef>
              <f>'04 批次趋势'!$F$20:$F$25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批次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26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6" customHeight="1">
      <c r="A1" s="1" t="inlineStr">
        <is>
          <t>COA × 采购规格书 到货质量核对工作簿</t>
        </is>
      </c>
    </row>
    <row r="2" ht="30" customHeight="1">
      <c r="A2" s="2" t="inlineStr">
        <is>
          <t>chem-coa-spec-check · 由脚本自动生成 · 所有数值可追溯至原始取值</t>
        </is>
      </c>
    </row>
    <row r="4">
      <c r="A4" s="3" t="inlineStr">
        <is>
          <t>⚠ 模拟数据 SIMULATED</t>
        </is>
      </c>
    </row>
    <row r="5" ht="34" customHeight="1">
      <c r="A5" s="2" t="inlineStr">
        <is>
          <t>本文档所有企业名称、批号、数值均为模拟构造，仅用于演示 COA 核对流程，不得作为真实质量记录或索赔依据。</t>
        </is>
      </c>
    </row>
    <row r="6">
      <c r="A6" s="4" t="inlineStr">
        <is>
          <t>产品</t>
        </is>
      </c>
      <c r="B6" s="5" t="inlineStr">
        <is>
          <t>工业用乙二醇 · 优等品 · CAS 107-21-1 · UN 3082</t>
        </is>
      </c>
    </row>
    <row r="7">
      <c r="A7" s="4" t="inlineStr">
        <is>
          <t>供应商</t>
        </is>
      </c>
      <c r="B7" s="5" t="inlineStr">
        <is>
          <t>浙江东越石化有限公司（模拟）（生产厂家）</t>
        </is>
      </c>
    </row>
    <row r="8">
      <c r="A8" s="4" t="inlineStr">
        <is>
          <t>采购方 / 联系人</t>
        </is>
      </c>
      <c r="B8" s="5" t="inlineStr">
        <is>
          <t>采购部 林工 / 采购部 / lin.mm@example-buyer.cn（模拟邮箱）</t>
        </is>
      </c>
    </row>
    <row r="9">
      <c r="A9" s="4" t="inlineStr">
        <is>
          <t>合同 / 质量条款</t>
        </is>
      </c>
      <c r="B9" s="5" t="inlineStr">
        <is>
          <t>CMSY-HT-2026-0417；§7.2 到货检验以本合同技术附件为准；买方有权按约定方法复检，复检不合格批次按 §7.5 处理</t>
        </is>
      </c>
    </row>
    <row r="10">
      <c r="A10" s="4" t="inlineStr">
        <is>
          <t>执行规格</t>
        </is>
      </c>
      <c r="B10" s="5" t="inlineStr">
        <is>
          <t>CMSY-QS-MEG-2026-03 Rev.C / CMSY-HT-2026-0417 附件2</t>
        </is>
      </c>
    </row>
    <row r="11">
      <c r="A11" s="4" t="inlineStr">
        <is>
          <t>核对基准日</t>
        </is>
      </c>
      <c r="B11" s="5" t="inlineStr">
        <is>
          <t>2026-06-08</t>
        </is>
      </c>
    </row>
    <row r="12">
      <c r="A12" s="4" t="inlineStr">
        <is>
          <t>重点批次</t>
        </is>
      </c>
      <c r="B12" s="5" t="inlineStr">
        <is>
          <t>DY-EG-260603B（其余批次作为对照与趋势）</t>
        </is>
      </c>
    </row>
    <row r="13">
      <c r="A13" s="4" t="inlineStr">
        <is>
          <t>产品用途（相关性参照）</t>
        </is>
      </c>
      <c r="B13" s="5" t="inlineStr">
        <is>
          <t>聚酯原料（PET 切片）/ 防冻液调和</t>
        </is>
      </c>
    </row>
    <row r="15" ht="20" customHeight="1">
      <c r="A15" s="6" t="inlineStr">
        <is>
          <t>本工作簿页签说明</t>
        </is>
      </c>
    </row>
    <row r="16" ht="22" customHeight="1">
      <c r="A16" s="7" t="inlineStr">
        <is>
          <t>01 核对结论</t>
        </is>
      </c>
      <c r="B16" s="8" t="inlineStr">
        <is>
          <t>总览：各状态计数、可量化核验比例、完整性得分、最大偏离；含数据校验表</t>
        </is>
      </c>
      <c r="C16" s="9" t="n"/>
      <c r="D16" s="9" t="n"/>
      <c r="E16" s="9" t="n"/>
      <c r="F16" s="9" t="n"/>
      <c r="G16" s="9" t="n"/>
      <c r="H16" s="10" t="n"/>
    </row>
    <row r="17" ht="22" customHeight="1">
      <c r="A17" s="7" t="inlineStr">
        <is>
          <t>02 逐项比对</t>
        </is>
      </c>
      <c r="B17" s="8" t="inlineStr">
        <is>
          <t>核心表：全部指标的 COA 实测 / 规格限值 / 单位 / 方法 / 判定 / 偏离（含公式）</t>
        </is>
      </c>
      <c r="C17" s="9" t="n"/>
      <c r="D17" s="9" t="n"/>
      <c r="E17" s="9" t="n"/>
      <c r="F17" s="9" t="n"/>
      <c r="G17" s="9" t="n"/>
      <c r="H17" s="10" t="n"/>
    </row>
    <row r="18" ht="22" customHeight="1">
      <c r="A18" s="7" t="inlineStr">
        <is>
          <t>03 单位换算台账</t>
        </is>
      </c>
      <c r="B18" s="8" t="inlineStr">
        <is>
          <t>每个发生换算的数值：原值、原单位、系数、换算后值、是否跨判定线</t>
        </is>
      </c>
      <c r="C18" s="9" t="n"/>
      <c r="D18" s="9" t="n"/>
      <c r="E18" s="9" t="n"/>
      <c r="F18" s="9" t="n"/>
      <c r="G18" s="9" t="n"/>
      <c r="H18" s="10" t="n"/>
    </row>
    <row r="19" ht="22" customHeight="1">
      <c r="A19" s="7" t="inlineStr">
        <is>
          <t>04 批次趋势</t>
        </is>
      </c>
      <c r="B19" s="8" t="inlineStr">
        <is>
          <t>历史批次 + 本批的序列、统计量、方向、越限批次、图表数据源</t>
        </is>
      </c>
      <c r="C19" s="9" t="n"/>
      <c r="D19" s="9" t="n"/>
      <c r="E19" s="9" t="n"/>
      <c r="F19" s="9" t="n"/>
      <c r="G19" s="9" t="n"/>
      <c r="H19" s="10" t="n"/>
    </row>
    <row r="20" ht="22" customHeight="1">
      <c r="A20" s="7" t="inlineStr">
        <is>
          <t>05 完整性检查</t>
        </is>
      </c>
      <c r="B20" s="8" t="inlineStr">
        <is>
          <t>COA 字段齐备性、批号一致性、结论与数据一致性、缺失指标、检出限</t>
        </is>
      </c>
      <c r="C20" s="9" t="n"/>
      <c r="D20" s="9" t="n"/>
      <c r="E20" s="9" t="n"/>
      <c r="F20" s="9" t="n"/>
      <c r="G20" s="9" t="n"/>
      <c r="H20" s="10" t="n"/>
    </row>
    <row r="21" ht="22" customHeight="1">
      <c r="A21" s="7" t="inlineStr">
        <is>
          <t>06 方法差异</t>
        </is>
      </c>
      <c r="B21" s="8" t="inlineStr">
        <is>
          <t>COA 方法 vs 约定方法：关系(一致/等效/不同/缺失)与对判定的影响</t>
        </is>
      </c>
      <c r="C21" s="9" t="n"/>
      <c r="D21" s="9" t="n"/>
      <c r="E21" s="9" t="n"/>
      <c r="F21" s="9" t="n"/>
      <c r="G21" s="9" t="n"/>
      <c r="H21" s="10" t="n"/>
    </row>
    <row r="22" ht="22" customHeight="1">
      <c r="A22" s="7" t="inlineStr">
        <is>
          <t>07 多批次对照</t>
        </is>
      </c>
      <c r="B22" s="8" t="inlineStr">
        <is>
          <t>全部批次 × 全部指标 的判定矩阵</t>
        </is>
      </c>
      <c r="C22" s="9" t="n"/>
      <c r="D22" s="9" t="n"/>
      <c r="E22" s="9" t="n"/>
      <c r="F22" s="9" t="n"/>
      <c r="G22" s="9" t="n"/>
      <c r="H22" s="10" t="n"/>
    </row>
    <row r="23" ht="22" customHeight="1">
      <c r="A23" s="7" t="inlineStr">
        <is>
          <t>08 异常问题清单</t>
        </is>
      </c>
      <c r="B23" s="8" t="inlineStr">
        <is>
          <t>按严重度排序的问题清单，含类型、对象、事实、建议动作</t>
        </is>
      </c>
      <c r="C23" s="9" t="n"/>
      <c r="D23" s="9" t="n"/>
      <c r="E23" s="9" t="n"/>
      <c r="F23" s="9" t="n"/>
      <c r="G23" s="9" t="n"/>
      <c r="H23" s="10" t="n"/>
    </row>
    <row r="24" ht="22" customHeight="1">
      <c r="A24" s="7" t="inlineStr">
        <is>
          <t>09 异议要点</t>
        </is>
      </c>
      <c r="B24" s="8" t="inlineStr">
        <is>
          <t>可直接用于质量异议函的要点 + 三版函件草稿全文</t>
        </is>
      </c>
      <c r="C24" s="9" t="n"/>
      <c r="D24" s="9" t="n"/>
      <c r="E24" s="9" t="n"/>
      <c r="F24" s="9" t="n"/>
      <c r="G24" s="9" t="n"/>
      <c r="H24" s="10" t="n"/>
    </row>
    <row r="25" ht="22" customHeight="1">
      <c r="A25" s="7" t="inlineStr">
        <is>
          <t>10 原始数据</t>
        </is>
      </c>
      <c r="B25" s="8" t="inlineStr">
        <is>
          <t>COA 与规格文件的原始取值及原文位置（审计底稿）</t>
        </is>
      </c>
      <c r="C25" s="9" t="n"/>
      <c r="D25" s="9" t="n"/>
      <c r="E25" s="9" t="n"/>
      <c r="F25" s="9" t="n"/>
      <c r="G25" s="9" t="n"/>
      <c r="H25" s="10" t="n"/>
    </row>
    <row r="26" ht="22" customHeight="1">
      <c r="A26" s="7" t="inlineStr">
        <is>
          <t>11 判定规则</t>
        </is>
      </c>
      <c r="B26" s="8" t="inlineStr">
        <is>
          <t>去重后的规则卡：什么情形落到哪个状态、量纲与换算约定</t>
        </is>
      </c>
      <c r="C26" s="9" t="n"/>
      <c r="D26" s="9" t="n"/>
      <c r="E26" s="9" t="n"/>
      <c r="F26" s="9" t="n"/>
      <c r="G26" s="9" t="n"/>
      <c r="H26" s="10" t="n"/>
    </row>
    <row r="28" ht="20" customHeight="1">
      <c r="A28" s="6" t="inlineStr">
        <is>
          <t>三条硬约束</t>
        </is>
      </c>
    </row>
    <row r="29" ht="30" customHeight="1">
      <c r="A29" s="11" t="inlineStr">
        <is>
          <t>1. 本工作簿不作收货/退货决定。它只回答：哪些符合、哪些偏离、哪些因条件缺失无法判断、证书是否完整。</t>
        </is>
      </c>
    </row>
    <row r="30" ht="30" customHeight="1">
      <c r="A30" s="11" t="inlineStr">
        <is>
          <t>2. 不猜测。原始件数值、小数点、单位识别不清的，一律落“无法判断/需人工确认”，不按经验补值。</t>
        </is>
      </c>
    </row>
    <row r="31" ht="30" customHeight="1">
      <c r="A31" s="11" t="inlineStr">
        <is>
          <t>3. 不做无依据换算。量纲不一致（如 % 与 mg/L）没有密度就不换算；换算跨越判定线的必须人工复核。</t>
        </is>
      </c>
    </row>
  </sheetData>
  <mergeCells count="27">
    <mergeCell ref="A30:H30"/>
    <mergeCell ref="B9:H9"/>
    <mergeCell ref="A15:H15"/>
    <mergeCell ref="B6:H6"/>
    <mergeCell ref="B24:H24"/>
    <mergeCell ref="B20:H20"/>
    <mergeCell ref="A2:F2"/>
    <mergeCell ref="B26:H26"/>
    <mergeCell ref="B16:H16"/>
    <mergeCell ref="B7:H7"/>
    <mergeCell ref="B25:H25"/>
    <mergeCell ref="B22:H22"/>
    <mergeCell ref="B18:H18"/>
    <mergeCell ref="B21:H21"/>
    <mergeCell ref="B12:H12"/>
    <mergeCell ref="A5:H5"/>
    <mergeCell ref="B11:H11"/>
    <mergeCell ref="B23:H23"/>
    <mergeCell ref="A4:H4"/>
    <mergeCell ref="B8:H8"/>
    <mergeCell ref="B17:H17"/>
    <mergeCell ref="A29:H29"/>
    <mergeCell ref="B13:H13"/>
    <mergeCell ref="A28:H28"/>
    <mergeCell ref="B10:H10"/>
    <mergeCell ref="B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9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核对结论总览</t>
        </is>
      </c>
    </row>
    <row r="2" ht="30" customHeight="1">
      <c r="A2" s="2" t="inlineStr">
        <is>
          <t>重点批次 DY-EG-260603B · 基准日 2026-06-08 · 本页不构成收货决定</t>
        </is>
      </c>
    </row>
    <row r="4" ht="20" customHeight="1">
      <c r="A4" s="6" t="inlineStr">
        <is>
          <t>一、判定分布与量化口径</t>
        </is>
      </c>
    </row>
    <row r="5" ht="30" customHeight="1">
      <c r="A5" s="12" t="inlineStr">
        <is>
          <t>指标状态</t>
        </is>
      </c>
      <c r="B5" s="12" t="inlineStr">
        <is>
          <t>项数</t>
        </is>
      </c>
      <c r="C5" s="12" t="inlineStr">
        <is>
          <t>占比</t>
        </is>
      </c>
      <c r="D5" s="12" t="inlineStr">
        <is>
          <t>含义</t>
        </is>
      </c>
      <c r="E5" s="12" t="inlineStr"/>
      <c r="F5" s="12" t="inlineStr"/>
      <c r="G5" s="12" t="inlineStr"/>
      <c r="H5" s="12" t="inlineStr"/>
    </row>
    <row r="6">
      <c r="A6" s="13" t="inlineStr">
        <is>
          <t>符合</t>
        </is>
      </c>
      <c r="B6" s="14" t="n">
        <v>2</v>
      </c>
      <c r="C6" s="15" t="n">
        <v>0.1818181818181818</v>
      </c>
      <c r="D6" s="16" t="inlineStr">
        <is>
          <t>实测在限值内，且名称/量纲/方法/基准均可比</t>
        </is>
      </c>
      <c r="E6" s="9" t="n"/>
      <c r="F6" s="9" t="n"/>
      <c r="G6" s="9" t="n"/>
      <c r="H6" s="10" t="n"/>
    </row>
    <row r="7">
      <c r="A7" s="17" t="inlineStr">
        <is>
          <t>不符合</t>
        </is>
      </c>
      <c r="B7" s="18" t="n">
        <v>5</v>
      </c>
      <c r="C7" s="19" t="n">
        <v>0.4545454545454545</v>
      </c>
      <c r="D7" s="20" t="inlineStr">
        <is>
          <t>实测越过合同/规格限值（含换算后越限）</t>
        </is>
      </c>
      <c r="E7" s="9" t="n"/>
      <c r="F7" s="9" t="n"/>
      <c r="G7" s="9" t="n"/>
      <c r="H7" s="10" t="n"/>
    </row>
    <row r="8">
      <c r="A8" s="21" t="inlineStr">
        <is>
          <t>规格未约定</t>
        </is>
      </c>
      <c r="B8" s="22" t="n">
        <v>0</v>
      </c>
      <c r="C8" s="23" t="n">
        <v>0</v>
      </c>
      <c r="D8" s="24" t="inlineStr">
        <is>
          <t>合同未约定限值，不能据以判不合格</t>
        </is>
      </c>
      <c r="E8" s="9" t="n"/>
      <c r="F8" s="9" t="n"/>
      <c r="G8" s="9" t="n"/>
      <c r="H8" s="10" t="n"/>
    </row>
    <row r="9">
      <c r="A9" s="25" t="inlineStr">
        <is>
          <t>COA未检测</t>
        </is>
      </c>
      <c r="B9" s="26" t="n">
        <v>4</v>
      </c>
      <c r="C9" s="27" t="n">
        <v>0.3636363636363636</v>
      </c>
      <c r="D9" s="28" t="inlineStr">
        <is>
          <t>规格已约定但 COA 缺项、空值或标注未检测</t>
        </is>
      </c>
      <c r="E9" s="9" t="n"/>
      <c r="F9" s="9" t="n"/>
      <c r="G9" s="9" t="n"/>
      <c r="H9" s="10" t="n"/>
    </row>
    <row r="10">
      <c r="A10" s="29" t="inlineStr">
        <is>
          <t>无法判断</t>
        </is>
      </c>
      <c r="B10" s="30" t="n">
        <v>0</v>
      </c>
      <c r="C10" s="31" t="n">
        <v>0</v>
      </c>
      <c r="D10" s="32" t="inlineStr">
        <is>
          <t>缺条件：方法不一致、检出限不明、单位不可比等，交人工</t>
        </is>
      </c>
      <c r="E10" s="9" t="n"/>
      <c r="F10" s="9" t="n"/>
      <c r="G10" s="9" t="n"/>
      <c r="H10" s="10" t="n"/>
    </row>
    <row r="11">
      <c r="A11" s="33" t="inlineStr">
        <is>
          <t>合计</t>
        </is>
      </c>
      <c r="B11" s="34" t="n">
        <v>11</v>
      </c>
      <c r="C11" s="35" t="n">
        <v>1</v>
      </c>
      <c r="D11" s="34" t="inlineStr"/>
      <c r="E11" s="34" t="inlineStr"/>
      <c r="F11" s="34" t="inlineStr"/>
      <c r="G11" s="34" t="inlineStr"/>
      <c r="H11" s="34" t="inlineStr"/>
    </row>
    <row r="13" ht="20" customHeight="1">
      <c r="A13" s="6" t="inlineStr">
        <is>
          <t>二、关键量化指标</t>
        </is>
      </c>
    </row>
    <row r="14" ht="20" customHeight="1">
      <c r="A14" s="36" t="inlineStr">
        <is>
          <t>可量化核验比例</t>
        </is>
      </c>
      <c r="B14" s="37" t="n">
        <v>0.6363636363636364</v>
      </c>
      <c r="C14" s="5" t="inlineStr">
        <is>
          <t>(符合+不符合) ÷ 全部指标；其余为需要补充条件才能判定的项目</t>
        </is>
      </c>
    </row>
    <row r="15" ht="20" customHeight="1">
      <c r="A15" s="36" t="inlineStr">
        <is>
          <t>最大偏离幅度</t>
        </is>
      </c>
      <c r="B15" s="37" t="n">
        <v>0.4400000000000001</v>
      </c>
      <c r="C15" s="5" t="inlineStr">
        <is>
          <t>超出部分 ÷ 限值；只在“不符合”项中取绝对值最大者</t>
        </is>
      </c>
    </row>
    <row r="16" ht="20" customHeight="1">
      <c r="A16" s="36" t="inlineStr">
        <is>
          <t>证书完整性得分</t>
        </is>
      </c>
      <c r="B16" s="37" t="n">
        <v>0.3</v>
      </c>
      <c r="C16" s="5" t="inlineStr">
        <is>
          <t>100 分起扣：高 -18 / 中 -8 / 低 -3</t>
        </is>
      </c>
    </row>
    <row r="17" ht="20" customHeight="1">
      <c r="A17" s="36" t="inlineStr">
        <is>
          <t>方法差异项数</t>
        </is>
      </c>
      <c r="B17" s="38" t="n">
        <v>1</v>
      </c>
      <c r="C17" s="5" t="inlineStr">
        <is>
          <t>COA 方法与合同/规格约定不同的项数</t>
        </is>
      </c>
    </row>
    <row r="18" ht="20" customHeight="1">
      <c r="A18" s="36" t="inlineStr">
        <is>
          <t>异议要点条数</t>
        </is>
      </c>
      <c r="B18" s="38" t="n">
        <v>13</v>
      </c>
      <c r="C18" s="5" t="inlineStr">
        <is>
          <t>已按严重度排序，高/中/低</t>
        </is>
      </c>
    </row>
    <row r="19" ht="20" customHeight="1">
      <c r="A19" s="36" t="inlineStr">
        <is>
          <t>目标批次 COA 指标数</t>
        </is>
      </c>
      <c r="B19" s="38" t="n">
        <v>11</v>
      </c>
      <c r="C19" s="5" t="inlineStr">
        <is>
          <t>COA 实际出具的指标行数</t>
        </is>
      </c>
    </row>
    <row r="21" ht="20" customHeight="1">
      <c r="A21" s="6" t="inlineStr">
        <is>
          <t>三、数据校验（必须为“通过”才能把本表当作事实底稿使用）</t>
        </is>
      </c>
    </row>
    <row r="22" ht="30" customHeight="1">
      <c r="A22" s="12" t="inlineStr">
        <is>
          <t>校验项</t>
        </is>
      </c>
      <c r="B22" s="12" t="inlineStr">
        <is>
          <t>被校验值</t>
        </is>
      </c>
      <c r="C22" s="12" t="inlineStr">
        <is>
          <t>期望</t>
        </is>
      </c>
      <c r="D22" s="12" t="inlineStr">
        <is>
          <t>结果</t>
        </is>
      </c>
      <c r="E22" s="12" t="inlineStr">
        <is>
          <t>说明</t>
        </is>
      </c>
      <c r="F22" s="12" t="inlineStr"/>
      <c r="G22" s="12" t="inlineStr"/>
      <c r="H22" s="12" t="inlineStr"/>
    </row>
    <row r="23">
      <c r="A23" s="8" t="inlineStr">
        <is>
          <t>状态计数合计</t>
        </is>
      </c>
      <c r="B23" s="39" t="n">
        <v>11</v>
      </c>
      <c r="C23" s="39" t="n">
        <v>11</v>
      </c>
      <c r="D23" s="13" t="inlineStr">
        <is>
          <t>通过</t>
        </is>
      </c>
      <c r="E23" s="8" t="inlineStr">
        <is>
          <t>判定行数 = 指标总数</t>
        </is>
      </c>
      <c r="F23" s="9" t="n"/>
      <c r="G23" s="9" t="n"/>
      <c r="H23" s="10" t="n"/>
    </row>
    <row r="24">
      <c r="A24" s="8" t="inlineStr">
        <is>
          <t>重点批次 COA 行数</t>
        </is>
      </c>
      <c r="B24" s="39" t="n">
        <v>11</v>
      </c>
      <c r="C24" s="39" t="n">
        <v>11</v>
      </c>
      <c r="D24" s="13" t="inlineStr">
        <is>
          <t>通过</t>
        </is>
      </c>
      <c r="E24" s="8" t="inlineStr">
        <is>
          <t>逐项比对覆盖全部指标</t>
        </is>
      </c>
      <c r="F24" s="9" t="n"/>
      <c r="G24" s="9" t="n"/>
      <c r="H24" s="10" t="n"/>
    </row>
    <row r="25">
      <c r="A25" s="8" t="inlineStr">
        <is>
          <t>明细表行数</t>
        </is>
      </c>
      <c r="B25" s="39" t="n">
        <v>11</v>
      </c>
      <c r="C25" s="39" t="n">
        <v>11</v>
      </c>
      <c r="D25" s="13" t="inlineStr">
        <is>
          <t>通过</t>
        </is>
      </c>
      <c r="E25" s="8" t="inlineStr">
        <is>
          <t>02 页签行数与 01 页签一致</t>
        </is>
      </c>
      <c r="F25" s="9" t="n"/>
      <c r="G25" s="9" t="n"/>
      <c r="H25" s="10" t="n"/>
    </row>
    <row r="27" ht="20" customHeight="1">
      <c r="A27" s="6" t="inlineStr">
        <is>
          <t>四、重点提示（引擎自动识别的口径陷阱）</t>
        </is>
      </c>
    </row>
    <row r="28" ht="32" customHeight="1">
      <c r="A28" s="18" t="inlineStr">
        <is>
          <t>高</t>
        </is>
      </c>
      <c r="B28" s="8" t="inlineStr">
        <is>
          <t>批 B 的 COA 结论文本为「符合优等品要求」，但水分、铁、醛、色度 4 项实测已越过合同限值——结论与数据矛盾，须作为异议核心证据。</t>
        </is>
      </c>
      <c r="C28" s="9" t="n"/>
      <c r="D28" s="9" t="n"/>
      <c r="E28" s="9" t="n"/>
      <c r="F28" s="9" t="n"/>
      <c r="G28" s="9" t="n"/>
      <c r="H28" s="10" t="n"/>
    </row>
    <row r="29" ht="32" customHeight="1">
      <c r="A29" s="40" t="inlineStr">
        <is>
          <t>中</t>
        </is>
      </c>
      <c r="B29" s="8" t="inlineStr">
        <is>
          <t>批 A 与批 B 的水分单位分别为 % 与 ppm、铁分别为 ppm 与 ppb，须换算后才能比较；ppm↔% 为 1e-4 量级，换算误差不影响结论。</t>
        </is>
      </c>
      <c r="C29" s="9" t="n"/>
      <c r="D29" s="9" t="n"/>
      <c r="E29" s="9" t="n"/>
      <c r="F29" s="9" t="n"/>
      <c r="G29" s="9" t="n"/>
      <c r="H29" s="10" t="n"/>
    </row>
    <row r="30" ht="32" customHeight="1">
      <c r="A30" s="40" t="inlineStr">
        <is>
          <t>中</t>
        </is>
      </c>
      <c r="B30" s="8" t="inlineStr">
        <is>
          <t>本合同技术附件的乙二醇含量限值 ≥99.85% 低于规格书与国标优等品 99.90%，按'合同优先'原则判定；该差异本身须在合同中书面固化。</t>
        </is>
      </c>
      <c r="C30" s="9" t="n"/>
      <c r="D30" s="9" t="n"/>
      <c r="E30" s="9" t="n"/>
      <c r="F30" s="9" t="n"/>
      <c r="G30" s="9" t="n"/>
      <c r="H30" s="10" t="n"/>
    </row>
    <row r="31" ht="32" customHeight="1">
      <c r="A31" s="30" t="inlineStr">
        <is>
          <t>低</t>
        </is>
      </c>
      <c r="B31" s="8" t="inlineStr">
        <is>
          <t>所有文件均为模拟数据，任何结论不得用于真实索赔或收货决策。</t>
        </is>
      </c>
      <c r="C31" s="9" t="n"/>
      <c r="D31" s="9" t="n"/>
      <c r="E31" s="9" t="n"/>
      <c r="F31" s="9" t="n"/>
      <c r="G31" s="9" t="n"/>
      <c r="H31" s="10" t="n"/>
    </row>
  </sheetData>
  <mergeCells count="23">
    <mergeCell ref="C16:H16"/>
    <mergeCell ref="D10:H10"/>
    <mergeCell ref="B30:H30"/>
    <mergeCell ref="E25:H25"/>
    <mergeCell ref="D6:H6"/>
    <mergeCell ref="C17:H17"/>
    <mergeCell ref="A27:H27"/>
    <mergeCell ref="E24:H24"/>
    <mergeCell ref="B31:H31"/>
    <mergeCell ref="D7:H7"/>
    <mergeCell ref="C19:H19"/>
    <mergeCell ref="A21:H21"/>
    <mergeCell ref="E23:H23"/>
    <mergeCell ref="A2:H2"/>
    <mergeCell ref="C18:H18"/>
    <mergeCell ref="D9:H9"/>
    <mergeCell ref="C15:H15"/>
    <mergeCell ref="A4:H4"/>
    <mergeCell ref="D8:H8"/>
    <mergeCell ref="C14:H14"/>
    <mergeCell ref="A13:H13"/>
    <mergeCell ref="B29:H29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7" customWidth="1" min="3" max="3"/>
    <col width="7" customWidth="1" min="4" max="4"/>
    <col width="15" customWidth="1" min="5" max="5"/>
    <col width="8" customWidth="1" min="6" max="6"/>
    <col width="10" customWidth="1" min="7" max="7"/>
    <col width="16" customWidth="1" min="8" max="8"/>
    <col width="8" customWidth="1" min="9" max="9"/>
    <col width="10" customWidth="1" min="10" max="10"/>
    <col width="10" customWidth="1" min="11" max="11"/>
    <col width="10" customWidth="1" min="12" max="12"/>
    <col width="13" customWidth="1" min="13" max="13"/>
    <col width="9" customWidth="1" min="14" max="14"/>
    <col width="6" customWidth="1" min="15" max="15"/>
    <col width="9" customWidth="1" min="16" max="16"/>
    <col width="10" customWidth="1" min="17" max="17"/>
    <col width="34" customWidth="1" min="18" max="18"/>
    <col width="40" customWidth="1" min="19" max="19"/>
    <col width="17" customWidth="1" min="20" max="20"/>
    <col width="17" customWidth="1" min="21" max="21"/>
    <col width="9" customWidth="1" min="22" max="22"/>
    <col width="12" customWidth="1" min="23" max="23"/>
    <col width="12" customWidth="1" min="24" max="24"/>
    <col width="20" customWidth="1" min="25" max="25"/>
    <col width="20" customWidth="1" min="26" max="26"/>
    <col width="26" customWidth="1" min="27" max="27"/>
    <col width="36" customWidth="1" min="28" max="28"/>
  </cols>
  <sheetData>
    <row r="1" ht="26" customHeight="1">
      <c r="A1" s="1" t="inlineStr">
        <is>
          <t>逐项指标比对表（核心表）</t>
        </is>
      </c>
    </row>
    <row r="2" ht="30" customHeight="1">
      <c r="A2" s="2" t="inlineStr">
        <is>
          <t>批次 DY-EG-260603B · 判定口径：规格限值（合同优先）+ 实测（换算到规格单位）+ 方法关系 + 可比性五维 · G 列偏离% 为 Excel 公式，可 Ctrl+Alt+F9 重算</t>
        </is>
      </c>
    </row>
    <row r="4" ht="34" customHeight="1">
      <c r="A4" s="12" t="inlineStr">
        <is>
          <t>#</t>
        </is>
      </c>
      <c r="B4" s="12" t="inlineStr">
        <is>
          <t>指标</t>
        </is>
      </c>
      <c r="C4" s="12" t="inlineStr">
        <is>
          <t>类别</t>
        </is>
      </c>
      <c r="D4" s="12" t="inlineStr">
        <is>
          <t>相关性</t>
        </is>
      </c>
      <c r="E4" s="12" t="inlineStr">
        <is>
          <t>COA 实测(原文)</t>
        </is>
      </c>
      <c r="F4" s="12" t="inlineStr">
        <is>
          <t>COA 单位</t>
        </is>
      </c>
      <c r="G4" s="12" t="inlineStr">
        <is>
          <t>COA 数值</t>
        </is>
      </c>
      <c r="H4" s="12" t="inlineStr">
        <is>
          <t>规格限值(原文)</t>
        </is>
      </c>
      <c r="I4" s="12" t="inlineStr">
        <is>
          <t>规格单位</t>
        </is>
      </c>
      <c r="J4" s="12" t="inlineStr">
        <is>
          <t>限值类型</t>
        </is>
      </c>
      <c r="K4" s="12" t="inlineStr">
        <is>
          <t>上限</t>
        </is>
      </c>
      <c r="L4" s="12" t="inlineStr">
        <is>
          <t>下限</t>
        </is>
      </c>
      <c r="M4" s="12" t="inlineStr">
        <is>
          <t>换算后实测(规格单位)</t>
        </is>
      </c>
      <c r="N4" s="12" t="inlineStr">
        <is>
          <t>判定</t>
        </is>
      </c>
      <c r="O4" s="12" t="inlineStr">
        <is>
          <t>严重度</t>
        </is>
      </c>
      <c r="P4" s="12" t="inlineStr">
        <is>
          <t>偏离%</t>
        </is>
      </c>
      <c r="Q4" s="12" t="inlineStr">
        <is>
          <t>偏离绝对值</t>
        </is>
      </c>
      <c r="R4" s="12" t="inlineStr">
        <is>
          <t>偏离公式</t>
        </is>
      </c>
      <c r="S4" s="12" t="inlineStr">
        <is>
          <t>判定理由</t>
        </is>
      </c>
      <c r="T4" s="12" t="inlineStr">
        <is>
          <t>COA方法</t>
        </is>
      </c>
      <c r="U4" s="12" t="inlineStr">
        <is>
          <t>约定方法</t>
        </is>
      </c>
      <c r="V4" s="12" t="inlineStr">
        <is>
          <t>方法关系</t>
        </is>
      </c>
      <c r="W4" s="12" t="inlineStr">
        <is>
          <t>COA基准</t>
        </is>
      </c>
      <c r="X4" s="12" t="inlineStr">
        <is>
          <t>规格基准</t>
        </is>
      </c>
      <c r="Y4" s="12" t="inlineStr">
        <is>
          <t>规格来源</t>
        </is>
      </c>
      <c r="Z4" s="12" t="inlineStr">
        <is>
          <t>COA原文位置</t>
        </is>
      </c>
      <c r="AA4" s="12" t="inlineStr">
        <is>
          <t>规格原文位置</t>
        </is>
      </c>
      <c r="AB4" s="12" t="inlineStr">
        <is>
          <t>备注</t>
        </is>
      </c>
    </row>
    <row r="5" ht="34" customHeight="1">
      <c r="A5" s="41" t="n">
        <v>1</v>
      </c>
      <c r="B5" s="34" t="inlineStr">
        <is>
          <t>纯度</t>
        </is>
      </c>
      <c r="C5" s="42" t="inlineStr">
        <is>
          <t>含量</t>
        </is>
      </c>
      <c r="D5" s="42" t="inlineStr">
        <is>
          <t>强制项</t>
        </is>
      </c>
      <c r="E5" s="8" t="inlineStr">
        <is>
          <t>99.86</t>
        </is>
      </c>
      <c r="F5" s="42" t="inlineStr">
        <is>
          <t>%</t>
        </is>
      </c>
      <c r="G5" s="43" t="n">
        <v>99.86</v>
      </c>
      <c r="H5" s="42" t="inlineStr">
        <is>
          <t>≥99.85</t>
        </is>
      </c>
      <c r="I5" s="42" t="inlineStr">
        <is>
          <t>%</t>
        </is>
      </c>
      <c r="J5" s="42" t="inlineStr">
        <is>
          <t>下限≥</t>
        </is>
      </c>
      <c r="K5" s="43" t="n"/>
      <c r="L5" s="43" t="n">
        <v>99.84999999999999</v>
      </c>
      <c r="M5" s="43" t="n">
        <v>99.86</v>
      </c>
      <c r="N5" s="13" t="inlineStr">
        <is>
          <t>符合</t>
        </is>
      </c>
      <c r="O5" s="42" t="inlineStr"/>
      <c r="P5" s="44" t="n"/>
      <c r="Q5" s="45" t="n"/>
      <c r="R5" s="8" t="inlineStr"/>
      <c r="S5" s="8" t="inlineStr">
        <is>
          <t>实测 99.86 / 下限 99.85</t>
        </is>
      </c>
      <c r="T5" s="8" t="inlineStr">
        <is>
          <t>GB/T 14571.1-2018</t>
        </is>
      </c>
      <c r="U5" s="8" t="inlineStr">
        <is>
          <t>GB/T 14571.1</t>
        </is>
      </c>
      <c r="V5" s="42" t="inlineStr">
        <is>
          <t>一致</t>
        </is>
      </c>
      <c r="W5" s="8" t="inlineStr">
        <is>
          <t>到货/收货基准（湿基）</t>
        </is>
      </c>
      <c r="X5" s="8" t="inlineStr">
        <is>
          <t>到货/收货基准（湿基）</t>
        </is>
      </c>
      <c r="Y5" s="8" t="inlineStr">
        <is>
          <t>合同技术附件 CMSY-HT-2026-0417-附件2</t>
        </is>
      </c>
      <c r="Z5" s="8" t="inlineStr">
        <is>
          <t>COA-B 表 第1行</t>
        </is>
      </c>
      <c r="AA5" s="8" t="inlineStr">
        <is>
          <t>技术附件 §3.2 表3-1 第1行（低于国标优等品 99.90%，按合同优先原则执行 ≥99.85%）</t>
        </is>
      </c>
      <c r="AB5" s="8" t="inlineStr"/>
    </row>
    <row r="6" ht="34" customHeight="1">
      <c r="A6" s="41" t="n">
        <v>2</v>
      </c>
      <c r="B6" s="34" t="inlineStr">
        <is>
          <t>水分</t>
        </is>
      </c>
      <c r="C6" s="42" t="inlineStr">
        <is>
          <t>水分</t>
        </is>
      </c>
      <c r="D6" s="42" t="inlineStr">
        <is>
          <t>强制项</t>
        </is>
      </c>
      <c r="E6" s="8" t="inlineStr">
        <is>
          <t>865</t>
        </is>
      </c>
      <c r="F6" s="42" t="inlineStr">
        <is>
          <t>ppm</t>
        </is>
      </c>
      <c r="G6" s="43" t="n">
        <v>865</v>
      </c>
      <c r="H6" s="42" t="inlineStr">
        <is>
          <t>≤0.08</t>
        </is>
      </c>
      <c r="I6" s="42" t="inlineStr">
        <is>
          <t>%</t>
        </is>
      </c>
      <c r="J6" s="42" t="inlineStr">
        <is>
          <t>上限≤</t>
        </is>
      </c>
      <c r="K6" s="43" t="n">
        <v>0.08</v>
      </c>
      <c r="L6" s="43" t="n"/>
      <c r="M6" s="43" t="n">
        <v>0.08650000000000001</v>
      </c>
      <c r="N6" s="17" t="inlineStr">
        <is>
          <t>不符合</t>
        </is>
      </c>
      <c r="O6" s="42" t="inlineStr">
        <is>
          <t>高</t>
        </is>
      </c>
      <c r="P6" s="44">
        <f>IFERROR((M6-K6)/K6,"")</f>
        <v/>
      </c>
      <c r="Q6" s="45" t="n">
        <v>0.0065</v>
      </c>
      <c r="R6" s="8" t="inlineStr">
        <is>
          <t>(实测 0.0865 − 上限 0.08) ÷ 上限 0.08 × 100% = +8.13%</t>
        </is>
      </c>
      <c r="S6" s="8" t="inlineStr">
        <is>
          <t>实测 0.0865 / 上限 0.08</t>
        </is>
      </c>
      <c r="T6" s="8" t="inlineStr">
        <is>
          <t>GB/T 6283-2008</t>
        </is>
      </c>
      <c r="U6" s="8" t="inlineStr">
        <is>
          <t>GB/T 6283</t>
        </is>
      </c>
      <c r="V6" s="42" t="inlineStr">
        <is>
          <t>一致</t>
        </is>
      </c>
      <c r="W6" s="8" t="inlineStr">
        <is>
          <t>到货/收货基准（湿基）</t>
        </is>
      </c>
      <c r="X6" s="8" t="inlineStr">
        <is>
          <t>到货/收货基准（湿基）</t>
        </is>
      </c>
      <c r="Y6" s="8" t="inlineStr">
        <is>
          <t>合同技术附件 CMSY-HT-2026-0417-附件2</t>
        </is>
      </c>
      <c r="Z6" s="8" t="inlineStr">
        <is>
          <t>COA-B 表 第2行</t>
        </is>
      </c>
      <c r="AA6" s="8" t="inlineStr">
        <is>
          <t>技术附件 §3.2 表3-1 第2行</t>
        </is>
      </c>
      <c r="AB6" s="8" t="inlineStr">
        <is>
          <t>单位换算：865 ppm × 0.0001/1 = 0.0865 %</t>
        </is>
      </c>
    </row>
    <row r="7" ht="34" customHeight="1">
      <c r="A7" s="41" t="n">
        <v>3</v>
      </c>
      <c r="B7" s="34" t="inlineStr">
        <is>
          <t>醛类（以乙醛计）</t>
        </is>
      </c>
      <c r="C7" s="42" t="inlineStr">
        <is>
          <t>杂质</t>
        </is>
      </c>
      <c r="D7" s="42" t="inlineStr">
        <is>
          <t>约定项</t>
        </is>
      </c>
      <c r="E7" s="8" t="inlineStr">
        <is>
          <t>7.2</t>
        </is>
      </c>
      <c r="F7" s="42" t="inlineStr">
        <is>
          <t>ppm</t>
        </is>
      </c>
      <c r="G7" s="43" t="n">
        <v>7.2</v>
      </c>
      <c r="H7" s="42" t="inlineStr">
        <is>
          <t>≤5</t>
        </is>
      </c>
      <c r="I7" s="42" t="inlineStr">
        <is>
          <t>ppm</t>
        </is>
      </c>
      <c r="J7" s="42" t="inlineStr">
        <is>
          <t>上限≤</t>
        </is>
      </c>
      <c r="K7" s="43" t="n">
        <v>5</v>
      </c>
      <c r="L7" s="43" t="n"/>
      <c r="M7" s="43" t="n">
        <v>7.2</v>
      </c>
      <c r="N7" s="17" t="inlineStr">
        <is>
          <t>不符合</t>
        </is>
      </c>
      <c r="O7" s="42" t="inlineStr">
        <is>
          <t>高</t>
        </is>
      </c>
      <c r="P7" s="44">
        <f>IFERROR((M7-K7)/K7,"")</f>
        <v/>
      </c>
      <c r="Q7" s="45" t="n">
        <v>2.2</v>
      </c>
      <c r="R7" s="8" t="inlineStr">
        <is>
          <t>(实测 7.2 − 上限 5) ÷ 上限 5 × 100% = +44.00%</t>
        </is>
      </c>
      <c r="S7" s="8" t="inlineStr">
        <is>
          <t>实测 7.2 / 上限 5</t>
        </is>
      </c>
      <c r="T7" s="8" t="inlineStr">
        <is>
          <t>GB/T 14571.6-2018</t>
        </is>
      </c>
      <c r="U7" s="8" t="inlineStr">
        <is>
          <t>GB/T 14571.6</t>
        </is>
      </c>
      <c r="V7" s="42" t="inlineStr">
        <is>
          <t>一致</t>
        </is>
      </c>
      <c r="W7" s="8" t="inlineStr">
        <is>
          <t>到货/收货基准（湿基）</t>
        </is>
      </c>
      <c r="X7" s="8" t="inlineStr">
        <is>
          <t>到货/收货基准（湿基）</t>
        </is>
      </c>
      <c r="Y7" s="8" t="inlineStr">
        <is>
          <t>合同技术附件 CMSY-HT-2026-0417-附件2</t>
        </is>
      </c>
      <c r="Z7" s="8" t="inlineStr">
        <is>
          <t>COA-B 表 第4行</t>
        </is>
      </c>
      <c r="AA7" s="8" t="inlineStr">
        <is>
          <t>技术附件 §3.3 特殊质量条款</t>
        </is>
      </c>
      <c r="AB7" s="8" t="inlineStr"/>
    </row>
    <row r="8" ht="34" customHeight="1">
      <c r="A8" s="41" t="n">
        <v>4</v>
      </c>
      <c r="B8" s="34" t="inlineStr">
        <is>
          <t>外观</t>
        </is>
      </c>
      <c r="C8" s="42" t="inlineStr">
        <is>
          <t>外观</t>
        </is>
      </c>
      <c r="D8" s="42" t="inlineStr">
        <is>
          <t>强制项</t>
        </is>
      </c>
      <c r="E8" s="8" t="inlineStr">
        <is>
          <t>微带浅黄色，透明度略差</t>
        </is>
      </c>
      <c r="F8" s="42" t="inlineStr">
        <is>
          <t>—</t>
        </is>
      </c>
      <c r="G8" s="43" t="n"/>
      <c r="H8" s="42" t="inlineStr">
        <is>
          <t>无色透明、无可见机械杂质</t>
        </is>
      </c>
      <c r="I8" s="42" t="inlineStr">
        <is>
          <t>—</t>
        </is>
      </c>
      <c r="J8" s="42" t="inlineStr">
        <is>
          <t>定性</t>
        </is>
      </c>
      <c r="K8" s="43" t="n"/>
      <c r="L8" s="43" t="n"/>
      <c r="M8" s="43" t="n"/>
      <c r="N8" s="17" t="inlineStr">
        <is>
          <t>不符合</t>
        </is>
      </c>
      <c r="O8" s="42" t="inlineStr">
        <is>
          <t>中</t>
        </is>
      </c>
      <c r="P8" s="44" t="n">
        <v>0</v>
      </c>
      <c r="Q8" s="45" t="n"/>
      <c r="R8" s="8" t="inlineStr"/>
      <c r="S8" s="8" t="inlineStr">
        <is>
          <t>COA 描述「微带浅黄色，透明度略差」出现与规格「无色透明、无可见机械杂质」相悖的表述：微带浅黄、浅黄、黄色、略差；目视结论以原始照片/样品复核为准</t>
        </is>
      </c>
      <c r="T8" s="8" t="inlineStr">
        <is>
          <t>目视法</t>
        </is>
      </c>
      <c r="U8" s="8" t="inlineStr">
        <is>
          <t>目视法</t>
        </is>
      </c>
      <c r="V8" s="42" t="inlineStr">
        <is>
          <t>一致</t>
        </is>
      </c>
      <c r="W8" s="8" t="inlineStr">
        <is>
          <t>到货/收货基准（湿基）</t>
        </is>
      </c>
      <c r="X8" s="8" t="inlineStr">
        <is>
          <t>到货/收货基准（湿基）</t>
        </is>
      </c>
      <c r="Y8" s="8" t="inlineStr">
        <is>
          <t>合同技术附件 CMSY-HT-2026-0417-附件2</t>
        </is>
      </c>
      <c r="Z8" s="8" t="inlineStr">
        <is>
          <t>COA-B 表 第7行</t>
        </is>
      </c>
      <c r="AA8" s="8" t="inlineStr">
        <is>
          <t>技术附件 §3.2 表3-1 第9行</t>
        </is>
      </c>
      <c r="AB8" s="8" t="inlineStr"/>
    </row>
    <row r="9" ht="34" customHeight="1">
      <c r="A9" s="41" t="n">
        <v>5</v>
      </c>
      <c r="B9" s="34" t="inlineStr">
        <is>
          <t>色度</t>
        </is>
      </c>
      <c r="C9" s="42" t="inlineStr">
        <is>
          <t>物性</t>
        </is>
      </c>
      <c r="D9" s="42" t="inlineStr">
        <is>
          <t>约定项</t>
        </is>
      </c>
      <c r="E9" s="8" t="inlineStr">
        <is>
          <t>12</t>
        </is>
      </c>
      <c r="F9" s="42" t="inlineStr">
        <is>
          <t>Hazen</t>
        </is>
      </c>
      <c r="G9" s="43" t="n">
        <v>12</v>
      </c>
      <c r="H9" s="42" t="inlineStr">
        <is>
          <t>≤10</t>
        </is>
      </c>
      <c r="I9" s="42" t="inlineStr">
        <is>
          <t>Hazen</t>
        </is>
      </c>
      <c r="J9" s="42" t="inlineStr">
        <is>
          <t>上限≤</t>
        </is>
      </c>
      <c r="K9" s="43" t="n">
        <v>10</v>
      </c>
      <c r="L9" s="43" t="n"/>
      <c r="M9" s="43" t="n">
        <v>12</v>
      </c>
      <c r="N9" s="17" t="inlineStr">
        <is>
          <t>不符合</t>
        </is>
      </c>
      <c r="O9" s="42" t="inlineStr">
        <is>
          <t>高</t>
        </is>
      </c>
      <c r="P9" s="44">
        <f>IFERROR((M9-K9)/K9,"")</f>
        <v/>
      </c>
      <c r="Q9" s="45" t="n">
        <v>2</v>
      </c>
      <c r="R9" s="8" t="inlineStr">
        <is>
          <t>(实测 12 − 上限 10) ÷ 上限 10 × 100% = +20.00%</t>
        </is>
      </c>
      <c r="S9" s="8" t="inlineStr">
        <is>
          <t>实测 12 / 上限 10</t>
        </is>
      </c>
      <c r="T9" s="8" t="inlineStr">
        <is>
          <t>GB/T 3143-1982</t>
        </is>
      </c>
      <c r="U9" s="8" t="inlineStr">
        <is>
          <t>GB/T 3143</t>
        </is>
      </c>
      <c r="V9" s="42" t="inlineStr">
        <is>
          <t>一致</t>
        </is>
      </c>
      <c r="W9" s="8" t="inlineStr">
        <is>
          <t>到货/收货基准（湿基）</t>
        </is>
      </c>
      <c r="X9" s="8" t="inlineStr">
        <is>
          <t>到货/收货基准（湿基）</t>
        </is>
      </c>
      <c r="Y9" s="8" t="inlineStr">
        <is>
          <t>合同技术附件 CMSY-HT-2026-0417-附件2</t>
        </is>
      </c>
      <c r="Z9" s="8" t="inlineStr">
        <is>
          <t>COA-B 表 第5行</t>
        </is>
      </c>
      <c r="AA9" s="8" t="inlineStr">
        <is>
          <t>技术附件 §3.2 表3-1 第3行</t>
        </is>
      </c>
      <c r="AB9" s="8" t="inlineStr"/>
    </row>
    <row r="10" ht="34" customHeight="1">
      <c r="A10" s="41" t="n">
        <v>6</v>
      </c>
      <c r="B10" s="34" t="inlineStr">
        <is>
          <t>灰分</t>
        </is>
      </c>
      <c r="C10" s="42" t="inlineStr">
        <is>
          <t>杂质</t>
        </is>
      </c>
      <c r="D10" s="42" t="inlineStr">
        <is>
          <t>强制项</t>
        </is>
      </c>
      <c r="E10" s="8" t="inlineStr">
        <is>
          <t>（COA 未列该指标）</t>
        </is>
      </c>
      <c r="F10" s="42" t="inlineStr">
        <is>
          <t>%</t>
        </is>
      </c>
      <c r="G10" s="43" t="n"/>
      <c r="H10" s="42" t="inlineStr">
        <is>
          <t>≤0.002</t>
        </is>
      </c>
      <c r="I10" s="42" t="inlineStr">
        <is>
          <t>%</t>
        </is>
      </c>
      <c r="J10" s="42" t="inlineStr">
        <is>
          <t>上限≤</t>
        </is>
      </c>
      <c r="K10" s="43" t="n">
        <v>0.002</v>
      </c>
      <c r="L10" s="43" t="n"/>
      <c r="M10" s="43" t="n"/>
      <c r="N10" s="25" t="inlineStr">
        <is>
          <t>COA未检测</t>
        </is>
      </c>
      <c r="O10" s="42" t="inlineStr">
        <is>
          <t>高</t>
        </is>
      </c>
      <c r="P10" s="44" t="n"/>
      <c r="Q10" s="45" t="n"/>
      <c r="R10" s="8" t="inlineStr"/>
      <c r="S10" s="8" t="inlineStr">
        <is>
          <t>COA 未列该指标（规格已约定）</t>
        </is>
      </c>
      <c r="T10" s="8" t="inlineStr"/>
      <c r="U10" s="8" t="inlineStr">
        <is>
          <t>GB/T 14571.5</t>
        </is>
      </c>
      <c r="V10" s="42" t="inlineStr">
        <is>
          <t>COA缺</t>
        </is>
      </c>
      <c r="W10" s="8" t="inlineStr">
        <is>
          <t>到货/收货基准（湿基）</t>
        </is>
      </c>
      <c r="X10" s="8" t="inlineStr">
        <is>
          <t>到货/收货基准（湿基）</t>
        </is>
      </c>
      <c r="Y10" s="8" t="inlineStr">
        <is>
          <t>合同技术附件 CMSY-HT-2026-0417-附件2</t>
        </is>
      </c>
      <c r="Z10" s="8" t="inlineStr"/>
      <c r="AA10" s="8" t="inlineStr">
        <is>
          <t>技术附件 §3.2 表3-1 第6行</t>
        </is>
      </c>
      <c r="AB10" s="8" t="inlineStr"/>
    </row>
    <row r="11" ht="34" customHeight="1">
      <c r="A11" s="41" t="n">
        <v>7</v>
      </c>
      <c r="B11" s="34" t="inlineStr">
        <is>
          <t>二乙二醇(DEG)</t>
        </is>
      </c>
      <c r="C11" s="42" t="inlineStr">
        <is>
          <t>杂质</t>
        </is>
      </c>
      <c r="D11" s="42" t="inlineStr">
        <is>
          <t>约定项</t>
        </is>
      </c>
      <c r="E11" s="8" t="inlineStr">
        <is>
          <t>（COA 未列该指标）</t>
        </is>
      </c>
      <c r="F11" s="42" t="inlineStr">
        <is>
          <t>%</t>
        </is>
      </c>
      <c r="G11" s="43" t="n"/>
      <c r="H11" s="42" t="inlineStr">
        <is>
          <t>≤0.01</t>
        </is>
      </c>
      <c r="I11" s="42" t="inlineStr">
        <is>
          <t>%</t>
        </is>
      </c>
      <c r="J11" s="42" t="inlineStr">
        <is>
          <t>上限≤</t>
        </is>
      </c>
      <c r="K11" s="43" t="n">
        <v>0.01</v>
      </c>
      <c r="L11" s="43" t="n"/>
      <c r="M11" s="43" t="n"/>
      <c r="N11" s="25" t="inlineStr">
        <is>
          <t>COA未检测</t>
        </is>
      </c>
      <c r="O11" s="42" t="inlineStr">
        <is>
          <t>高</t>
        </is>
      </c>
      <c r="P11" s="44" t="n"/>
      <c r="Q11" s="45" t="n"/>
      <c r="R11" s="8" t="inlineStr"/>
      <c r="S11" s="8" t="inlineStr">
        <is>
          <t>COA 未列该指标（规格已约定）</t>
        </is>
      </c>
      <c r="T11" s="8" t="inlineStr"/>
      <c r="U11" s="8" t="inlineStr">
        <is>
          <t>GB/T 14571.7</t>
        </is>
      </c>
      <c r="V11" s="42" t="inlineStr">
        <is>
          <t>COA缺</t>
        </is>
      </c>
      <c r="W11" s="8" t="inlineStr">
        <is>
          <t>到货/收货基准（湿基）</t>
        </is>
      </c>
      <c r="X11" s="8" t="inlineStr">
        <is>
          <t>到货/收货基准（湿基）</t>
        </is>
      </c>
      <c r="Y11" s="8" t="inlineStr">
        <is>
          <t>合同技术附件 CMSY-HT-2026-0417-附件2</t>
        </is>
      </c>
      <c r="Z11" s="8" t="inlineStr"/>
      <c r="AA11" s="8" t="inlineStr">
        <is>
          <t>技术附件 §3.3 特殊质量条款（合同新增，规格书未约定）</t>
        </is>
      </c>
      <c r="AB11" s="8" t="inlineStr"/>
    </row>
    <row r="12" ht="34" customHeight="1">
      <c r="A12" s="41" t="n">
        <v>8</v>
      </c>
      <c r="B12" s="34" t="inlineStr">
        <is>
          <t>酸度</t>
        </is>
      </c>
      <c r="C12" s="42" t="inlineStr">
        <is>
          <t>杂质</t>
        </is>
      </c>
      <c r="D12" s="42" t="inlineStr">
        <is>
          <t>强制项</t>
        </is>
      </c>
      <c r="E12" s="8" t="inlineStr">
        <is>
          <t>未检测</t>
        </is>
      </c>
      <c r="F12" s="42" t="inlineStr">
        <is>
          <t>%</t>
        </is>
      </c>
      <c r="G12" s="43" t="n"/>
      <c r="H12" s="42" t="inlineStr">
        <is>
          <t>≤0.001</t>
        </is>
      </c>
      <c r="I12" s="42" t="inlineStr">
        <is>
          <t>%</t>
        </is>
      </c>
      <c r="J12" s="42" t="inlineStr">
        <is>
          <t>上限≤</t>
        </is>
      </c>
      <c r="K12" s="43" t="n">
        <v>0.001</v>
      </c>
      <c r="L12" s="43" t="n"/>
      <c r="M12" s="43" t="n"/>
      <c r="N12" s="25" t="inlineStr">
        <is>
          <t>COA未检测</t>
        </is>
      </c>
      <c r="O12" s="42" t="inlineStr">
        <is>
          <t>高</t>
        </is>
      </c>
      <c r="P12" s="44" t="n"/>
      <c r="Q12" s="45" t="n"/>
      <c r="R12" s="8" t="inlineStr"/>
      <c r="S12" s="8" t="inlineStr">
        <is>
          <t>COA 该行数值为空或标注未检测</t>
        </is>
      </c>
      <c r="T12" s="8" t="inlineStr">
        <is>
          <t>—</t>
        </is>
      </c>
      <c r="U12" s="8" t="inlineStr">
        <is>
          <t>GB/T 14571.4</t>
        </is>
      </c>
      <c r="V12" s="42" t="inlineStr">
        <is>
          <t>不同</t>
        </is>
      </c>
      <c r="W12" s="8" t="inlineStr">
        <is>
          <t>到货/收货基准（湿基）</t>
        </is>
      </c>
      <c r="X12" s="8" t="inlineStr">
        <is>
          <t>到货/收货基准（湿基）</t>
        </is>
      </c>
      <c r="Y12" s="8" t="inlineStr">
        <is>
          <t>采购规格书 CMSY-QS-MEG-2026-03</t>
        </is>
      </c>
      <c r="Z12" s="8" t="inlineStr">
        <is>
          <t>COA-B 表 第6行</t>
        </is>
      </c>
      <c r="AA12" s="8" t="inlineStr">
        <is>
          <t>规格书 §4.1 表1 第4行</t>
        </is>
      </c>
      <c r="AB12" s="8" t="inlineStr"/>
    </row>
    <row r="13" ht="34" customHeight="1">
      <c r="A13" s="41" t="n">
        <v>9</v>
      </c>
      <c r="B13" s="34" t="inlineStr">
        <is>
          <t>铁含量</t>
        </is>
      </c>
      <c r="C13" s="42" t="inlineStr">
        <is>
          <t>杂质</t>
        </is>
      </c>
      <c r="D13" s="42" t="inlineStr">
        <is>
          <t>强制项</t>
        </is>
      </c>
      <c r="E13" s="8" t="inlineStr">
        <is>
          <t>580</t>
        </is>
      </c>
      <c r="F13" s="42" t="inlineStr">
        <is>
          <t>ppb</t>
        </is>
      </c>
      <c r="G13" s="43" t="n">
        <v>580</v>
      </c>
      <c r="H13" s="42" t="inlineStr">
        <is>
          <t>≤0.5</t>
        </is>
      </c>
      <c r="I13" s="42" t="inlineStr">
        <is>
          <t>ppm</t>
        </is>
      </c>
      <c r="J13" s="42" t="inlineStr">
        <is>
          <t>上限≤</t>
        </is>
      </c>
      <c r="K13" s="43" t="n">
        <v>0.5</v>
      </c>
      <c r="L13" s="43" t="n"/>
      <c r="M13" s="43" t="n">
        <v>0.58</v>
      </c>
      <c r="N13" s="17" t="inlineStr">
        <is>
          <t>不符合</t>
        </is>
      </c>
      <c r="O13" s="42" t="inlineStr">
        <is>
          <t>高</t>
        </is>
      </c>
      <c r="P13" s="44">
        <f>IFERROR((M13-K13)/K13,"")</f>
        <v/>
      </c>
      <c r="Q13" s="45" t="n">
        <v>0.08</v>
      </c>
      <c r="R13" s="8" t="inlineStr">
        <is>
          <t>(实测 0.58 − 上限 0.5) ÷ 上限 0.5 × 100% = +16.00%</t>
        </is>
      </c>
      <c r="S13" s="8" t="inlineStr">
        <is>
          <t>实测 0.58 / 上限 0.5</t>
        </is>
      </c>
      <c r="T13" s="8" t="inlineStr">
        <is>
          <t>GB/T 14571.3-2018</t>
        </is>
      </c>
      <c r="U13" s="8" t="inlineStr">
        <is>
          <t>GB/T 14571.3</t>
        </is>
      </c>
      <c r="V13" s="42" t="inlineStr">
        <is>
          <t>一致</t>
        </is>
      </c>
      <c r="W13" s="8" t="inlineStr">
        <is>
          <t>到货/收货基准（湿基）</t>
        </is>
      </c>
      <c r="X13" s="8" t="inlineStr">
        <is>
          <t>到货/收货基准（湿基）</t>
        </is>
      </c>
      <c r="Y13" s="8" t="inlineStr">
        <is>
          <t>采购规格书 CMSY-QS-MEG-2026-03</t>
        </is>
      </c>
      <c r="Z13" s="8" t="inlineStr">
        <is>
          <t>COA-B 表 第3行</t>
        </is>
      </c>
      <c r="AA13" s="8" t="inlineStr">
        <is>
          <t>规格书 §4.1 表1 第5行（注1：铁以 Fe 计，ppb 表示时须换算）</t>
        </is>
      </c>
      <c r="AB13" s="8" t="inlineStr">
        <is>
          <t>单位换算：580 ppb × 1e-07/0.0001 = 0.58 ppm</t>
        </is>
      </c>
    </row>
    <row r="14" ht="34" customHeight="1">
      <c r="A14" s="41" t="n">
        <v>10</v>
      </c>
      <c r="B14" s="34" t="inlineStr">
        <is>
          <t>密度（15℃）</t>
        </is>
      </c>
      <c r="C14" s="42" t="inlineStr">
        <is>
          <t>物性</t>
        </is>
      </c>
      <c r="D14" s="42" t="inlineStr">
        <is>
          <t>约定项</t>
        </is>
      </c>
      <c r="E14" s="8" t="inlineStr">
        <is>
          <t>1.1171</t>
        </is>
      </c>
      <c r="F14" s="42" t="inlineStr">
        <is>
          <t>g/cm³</t>
        </is>
      </c>
      <c r="G14" s="43" t="n">
        <v>1.1171</v>
      </c>
      <c r="H14" s="42" t="inlineStr">
        <is>
          <t>≥1.112</t>
        </is>
      </c>
      <c r="I14" s="42" t="inlineStr">
        <is>
          <t>g/cm³</t>
        </is>
      </c>
      <c r="J14" s="42" t="inlineStr">
        <is>
          <t>下限≥</t>
        </is>
      </c>
      <c r="K14" s="43" t="n"/>
      <c r="L14" s="43" t="n">
        <v>1.112</v>
      </c>
      <c r="M14" s="43" t="n">
        <v>1.1171</v>
      </c>
      <c r="N14" s="13" t="inlineStr">
        <is>
          <t>符合</t>
        </is>
      </c>
      <c r="O14" s="42" t="inlineStr"/>
      <c r="P14" s="44" t="n"/>
      <c r="Q14" s="45" t="n"/>
      <c r="R14" s="8" t="inlineStr"/>
      <c r="S14" s="8" t="inlineStr">
        <is>
          <t>实测 1.1171 / 下限 1.112</t>
        </is>
      </c>
      <c r="T14" s="8" t="inlineStr">
        <is>
          <t>GB/T 4472-2011</t>
        </is>
      </c>
      <c r="U14" s="8" t="inlineStr">
        <is>
          <t>GB/T 4472</t>
        </is>
      </c>
      <c r="V14" s="42" t="inlineStr">
        <is>
          <t>一致</t>
        </is>
      </c>
      <c r="W14" s="8" t="inlineStr">
        <is>
          <t>到货/收货基准（湿基）</t>
        </is>
      </c>
      <c r="X14" s="8" t="inlineStr">
        <is>
          <t>到货/收货基准（湿基）</t>
        </is>
      </c>
      <c r="Y14" s="8" t="inlineStr">
        <is>
          <t>采购规格书 CMSY-QS-MEG-2026-03</t>
        </is>
      </c>
      <c r="Z14" s="8" t="inlineStr">
        <is>
          <t>COA-B 表 第8行</t>
        </is>
      </c>
      <c r="AA14" s="8" t="inlineStr">
        <is>
          <t>规格书 §4.1 表1 第8行</t>
        </is>
      </c>
      <c r="AB14" s="8" t="inlineStr"/>
    </row>
    <row r="15" ht="34" customHeight="1">
      <c r="A15" s="41" t="n">
        <v>11</v>
      </c>
      <c r="B15" s="34" t="inlineStr">
        <is>
          <t>蒸发残渣</t>
        </is>
      </c>
      <c r="C15" s="42" t="inlineStr">
        <is>
          <t>杂质</t>
        </is>
      </c>
      <c r="D15" s="42" t="inlineStr">
        <is>
          <t>约定项</t>
        </is>
      </c>
      <c r="E15" s="8" t="inlineStr">
        <is>
          <t>（COA 未列该指标）</t>
        </is>
      </c>
      <c r="F15" s="42" t="inlineStr">
        <is>
          <t>%</t>
        </is>
      </c>
      <c r="G15" s="43" t="n"/>
      <c r="H15" s="42" t="inlineStr">
        <is>
          <t>≤0.002</t>
        </is>
      </c>
      <c r="I15" s="42" t="inlineStr">
        <is>
          <t>%</t>
        </is>
      </c>
      <c r="J15" s="42" t="inlineStr">
        <is>
          <t>上限≤</t>
        </is>
      </c>
      <c r="K15" s="43" t="n">
        <v>0.002</v>
      </c>
      <c r="L15" s="43" t="n"/>
      <c r="M15" s="43" t="n"/>
      <c r="N15" s="25" t="inlineStr">
        <is>
          <t>COA未检测</t>
        </is>
      </c>
      <c r="O15" s="42" t="inlineStr">
        <is>
          <t>高</t>
        </is>
      </c>
      <c r="P15" s="44" t="n"/>
      <c r="Q15" s="45" t="n"/>
      <c r="R15" s="8" t="inlineStr"/>
      <c r="S15" s="8" t="inlineStr">
        <is>
          <t>COA 未列该指标（规格已约定）</t>
        </is>
      </c>
      <c r="T15" s="8" t="inlineStr"/>
      <c r="U15" s="8" t="inlineStr">
        <is>
          <t>GB/T 6324.2</t>
        </is>
      </c>
      <c r="V15" s="42" t="inlineStr">
        <is>
          <t>COA缺</t>
        </is>
      </c>
      <c r="W15" s="8" t="inlineStr">
        <is>
          <t>到货/收货基准（湿基）</t>
        </is>
      </c>
      <c r="X15" s="8" t="inlineStr">
        <is>
          <t>到货/收货基准（湿基）</t>
        </is>
      </c>
      <c r="Y15" s="8" t="inlineStr">
        <is>
          <t>采购规格书 CMSY-QS-MEG-2026-03</t>
        </is>
      </c>
      <c r="Z15" s="8" t="inlineStr"/>
      <c r="AA15" s="8" t="inlineStr">
        <is>
          <t>规格书 §4.1 表1 第10行</t>
        </is>
      </c>
      <c r="AB15" s="8" t="inlineStr"/>
    </row>
    <row r="17">
      <c r="B17" s="46" t="inlineStr">
        <is>
          <t>图例：</t>
        </is>
      </c>
      <c r="C17" s="47" t="inlineStr">
        <is>
          <t>符合</t>
        </is>
      </c>
      <c r="D17" s="48" t="inlineStr">
        <is>
          <t>不符合</t>
        </is>
      </c>
      <c r="E17" s="49" t="inlineStr">
        <is>
          <t>规格未约定</t>
        </is>
      </c>
      <c r="F17" s="50" t="inlineStr">
        <is>
          <t>COA未检测</t>
        </is>
      </c>
      <c r="G17" s="51" t="inlineStr">
        <is>
          <t>无法判断</t>
        </is>
      </c>
    </row>
  </sheetData>
  <autoFilter ref="A4:AB15"/>
  <mergeCells count="1">
    <mergeCell ref="A2:S2"/>
  </mergeCells>
  <dataValidations count="1">
    <dataValidation sqref="N5:N15" showDropDown="0" showInputMessage="0" showErrorMessage="0" allowBlank="1" type="list">
      <formula1>"符合,不符合,规格未约定,COA未检测,无法判断"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12" customWidth="1" min="11" max="11"/>
    <col width="34" customWidth="1" min="12" max="12"/>
  </cols>
  <sheetData>
    <row r="1" ht="26" customHeight="1">
      <c r="A1" s="1" t="inlineStr">
        <is>
          <t>单位换算台账（每一次换算都可复算）</t>
        </is>
      </c>
    </row>
    <row r="2" ht="30" customHeight="1">
      <c r="A2" s="2" t="inlineStr">
        <is>
          <t>换算规则见 11 判定规则；量纲不一致时不给结果，只写原因——因为缺条件时“换算”等于编数</t>
        </is>
      </c>
    </row>
    <row r="4" ht="30" customHeight="1">
      <c r="A4" s="12" t="inlineStr">
        <is>
          <t>批次</t>
        </is>
      </c>
      <c r="B4" s="12" t="inlineStr">
        <is>
          <t>指标</t>
        </is>
      </c>
      <c r="C4" s="12" t="inlineStr">
        <is>
          <t>COA 原值</t>
        </is>
      </c>
      <c r="D4" s="12" t="inlineStr">
        <is>
          <t>COA 原单位</t>
        </is>
      </c>
      <c r="E4" s="12" t="inlineStr">
        <is>
          <t>规格单位</t>
        </is>
      </c>
      <c r="F4" s="12" t="inlineStr">
        <is>
          <t>量纲</t>
        </is>
      </c>
      <c r="G4" s="12" t="inlineStr">
        <is>
          <t>系数(原→规格)</t>
        </is>
      </c>
      <c r="H4" s="12" t="inlineStr">
        <is>
          <t>换算后值</t>
        </is>
      </c>
      <c r="I4" s="12" t="inlineStr">
        <is>
          <t>换算说明</t>
        </is>
      </c>
      <c r="J4" s="12" t="inlineStr">
        <is>
          <t>是否跨判定线</t>
        </is>
      </c>
      <c r="K4" s="12" t="inlineStr">
        <is>
          <t>换算后判定</t>
        </is>
      </c>
      <c r="L4" s="12" t="inlineStr">
        <is>
          <t>备注</t>
        </is>
      </c>
    </row>
    <row r="5">
      <c r="A5" s="8" t="inlineStr">
        <is>
          <t>DY-EG-260603B</t>
        </is>
      </c>
      <c r="B5" s="34" t="inlineStr">
        <is>
          <t>水分</t>
        </is>
      </c>
      <c r="C5" s="43" t="n">
        <v>865</v>
      </c>
      <c r="D5" s="39" t="inlineStr">
        <is>
          <t>ppm</t>
        </is>
      </c>
      <c r="E5" s="39" t="inlineStr">
        <is>
          <t>%</t>
        </is>
      </c>
      <c r="F5" s="39" t="inlineStr">
        <is>
          <t>质量分数 → 质量分数</t>
        </is>
      </c>
      <c r="G5" s="52" t="n">
        <v>0.0001</v>
      </c>
      <c r="H5" s="53" t="n">
        <v>0.08650000000000001</v>
      </c>
      <c r="I5" s="8" t="inlineStr">
        <is>
          <t>865 ppm × 0.0001/1 = 0.0865 %</t>
        </is>
      </c>
      <c r="J5" s="42" t="inlineStr">
        <is>
          <t>否</t>
        </is>
      </c>
      <c r="K5" s="18" t="inlineStr">
        <is>
          <t>不符合</t>
        </is>
      </c>
      <c r="L5" s="8" t="inlineStr"/>
    </row>
    <row r="6">
      <c r="A6" s="8" t="inlineStr">
        <is>
          <t>DY-EG-260603B</t>
        </is>
      </c>
      <c r="B6" s="34" t="inlineStr">
        <is>
          <t>铁含量</t>
        </is>
      </c>
      <c r="C6" s="43" t="n">
        <v>580</v>
      </c>
      <c r="D6" s="39" t="inlineStr">
        <is>
          <t>ppb</t>
        </is>
      </c>
      <c r="E6" s="39" t="inlineStr">
        <is>
          <t>ppm</t>
        </is>
      </c>
      <c r="F6" s="39" t="inlineStr">
        <is>
          <t>质量分数 → 质量分数</t>
        </is>
      </c>
      <c r="G6" s="52" t="n">
        <v>0.001</v>
      </c>
      <c r="H6" s="53" t="n">
        <v>0.58</v>
      </c>
      <c r="I6" s="8" t="inlineStr">
        <is>
          <t>580 ppb × 1e-07/0.0001 = 0.58 ppm</t>
        </is>
      </c>
      <c r="J6" s="42" t="inlineStr">
        <is>
          <t>否</t>
        </is>
      </c>
      <c r="K6" s="18" t="inlineStr">
        <is>
          <t>不符合</t>
        </is>
      </c>
      <c r="L6" s="8" t="inlineStr"/>
    </row>
    <row r="9" ht="20" customHeight="1">
      <c r="A9" s="6" t="inlineStr">
        <is>
          <t>质量分数常用换算速查（打印张贴用）</t>
        </is>
      </c>
    </row>
    <row r="10" ht="30" customHeight="1">
      <c r="A10" s="12" t="inlineStr">
        <is>
          <t>从</t>
        </is>
      </c>
      <c r="B10" s="12" t="inlineStr">
        <is>
          <t>到</t>
        </is>
      </c>
      <c r="C10" s="12" t="inlineStr">
        <is>
          <t>系数</t>
        </is>
      </c>
      <c r="D10" s="12" t="inlineStr">
        <is>
          <t>示例</t>
        </is>
      </c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</row>
    <row r="11"/>
    <row r="12">
      <c r="A12" s="54" t="inlineStr">
        <is>
          <t>%</t>
        </is>
      </c>
      <c r="B12" s="54" t="inlineStr">
        <is>
          <t>ppm</t>
        </is>
      </c>
      <c r="C12" s="55" t="n">
        <v>10000</v>
      </c>
      <c r="D12" s="8" t="inlineStr">
        <is>
          <t>0.08 % = 800 ppm（水分上限）</t>
        </is>
      </c>
      <c r="E12" s="9" t="n"/>
      <c r="F12" s="9" t="n"/>
      <c r="G12" s="9" t="n"/>
      <c r="H12" s="9" t="n"/>
      <c r="I12" s="9" t="n"/>
      <c r="J12" s="9" t="n"/>
      <c r="K12" s="9" t="n"/>
      <c r="L12" s="10" t="n"/>
    </row>
    <row r="13">
      <c r="A13" s="54" t="inlineStr">
        <is>
          <t>ppm</t>
        </is>
      </c>
      <c r="B13" s="54" t="inlineStr">
        <is>
          <t>%</t>
        </is>
      </c>
      <c r="C13" s="55" t="n">
        <v>0.0001</v>
      </c>
      <c r="D13" s="8" t="inlineStr">
        <is>
          <t>865 ppm = 0.0865 %</t>
        </is>
      </c>
      <c r="E13" s="9" t="n"/>
      <c r="F13" s="9" t="n"/>
      <c r="G13" s="9" t="n"/>
      <c r="H13" s="9" t="n"/>
      <c r="I13" s="9" t="n"/>
      <c r="J13" s="9" t="n"/>
      <c r="K13" s="9" t="n"/>
      <c r="L13" s="10" t="n"/>
    </row>
    <row r="14">
      <c r="A14" s="54" t="inlineStr">
        <is>
          <t>ppm</t>
        </is>
      </c>
      <c r="B14" s="54" t="inlineStr">
        <is>
          <t>ppb</t>
        </is>
      </c>
      <c r="C14" s="55" t="n">
        <v>1000</v>
      </c>
      <c r="D14" s="8" t="inlineStr">
        <is>
          <t>0.5 ppm = 500 ppb（铁上限）</t>
        </is>
      </c>
      <c r="E14" s="9" t="n"/>
      <c r="F14" s="9" t="n"/>
      <c r="G14" s="9" t="n"/>
      <c r="H14" s="9" t="n"/>
      <c r="I14" s="9" t="n"/>
      <c r="J14" s="9" t="n"/>
      <c r="K14" s="9" t="n"/>
      <c r="L14" s="10" t="n"/>
    </row>
    <row r="15">
      <c r="A15" s="54" t="inlineStr">
        <is>
          <t>ppb</t>
        </is>
      </c>
      <c r="B15" s="54" t="inlineStr">
        <is>
          <t>ppm</t>
        </is>
      </c>
      <c r="C15" s="55" t="n">
        <v>0.001</v>
      </c>
      <c r="D15" s="8" t="inlineStr">
        <is>
          <t>580 ppb = 0.58 ppm ＞ 0.5 ppm ⇒ 超限</t>
        </is>
      </c>
      <c r="E15" s="9" t="n"/>
      <c r="F15" s="9" t="n"/>
      <c r="G15" s="9" t="n"/>
      <c r="H15" s="9" t="n"/>
      <c r="I15" s="9" t="n"/>
      <c r="J15" s="9" t="n"/>
      <c r="K15" s="9" t="n"/>
      <c r="L15" s="10" t="n"/>
    </row>
    <row r="16">
      <c r="A16" s="54" t="inlineStr">
        <is>
          <t>g/L</t>
        </is>
      </c>
      <c r="B16" s="54" t="inlineStr">
        <is>
          <t>mg/L</t>
        </is>
      </c>
      <c r="C16" s="55" t="n">
        <v>1000</v>
      </c>
      <c r="D16" s="8" t="inlineStr">
        <is>
          <t>1 g/L = 1000 mg/L</t>
        </is>
      </c>
      <c r="E16" s="9" t="n"/>
      <c r="F16" s="9" t="n"/>
      <c r="G16" s="9" t="n"/>
      <c r="H16" s="9" t="n"/>
      <c r="I16" s="9" t="n"/>
      <c r="J16" s="9" t="n"/>
      <c r="K16" s="9" t="n"/>
      <c r="L16" s="10" t="n"/>
    </row>
    <row r="18">
      <c r="A18" s="56" t="inlineStr">
        <is>
          <t>⚠ % ↔ mg/L、mg/kg ↔ mg/L 等质量分数×体积浓度的换算必须已知温度下密度，无密度时不换算，直接落“无法判断”。</t>
        </is>
      </c>
    </row>
  </sheetData>
  <mergeCells count="7">
    <mergeCell ref="A2:L2"/>
    <mergeCell ref="D15:L15"/>
    <mergeCell ref="D13:L13"/>
    <mergeCell ref="D14:L14"/>
    <mergeCell ref="A9:L9"/>
    <mergeCell ref="D12:L12"/>
    <mergeCell ref="D16:L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22" customWidth="1" min="10" max="10"/>
    <col width="60" customWidth="1" min="11" max="11"/>
    <col width="46" customWidth="1" min="12" max="12"/>
  </cols>
  <sheetData>
    <row r="1" ht="26" customHeight="1">
      <c r="A1" s="1" t="inlineStr">
        <is>
          <t>多批次指标变化趋势</t>
        </is>
      </c>
    </row>
    <row r="2" ht="30" customHeight="1">
      <c r="A2" s="2" t="inlineStr">
        <is>
          <t>所有批次先统一到规格单位再比较；越限批次用红色标注；趋势只陈述事实，不推断原因</t>
        </is>
      </c>
    </row>
    <row r="4" ht="30" customHeight="1">
      <c r="A4" s="12" t="inlineStr">
        <is>
          <t>指标</t>
        </is>
      </c>
      <c r="B4" s="12" t="inlineStr">
        <is>
          <t>单位</t>
        </is>
      </c>
      <c r="C4" s="12" t="inlineStr">
        <is>
          <t>批次数</t>
        </is>
      </c>
      <c r="D4" s="12" t="inlineStr">
        <is>
          <t>均值</t>
        </is>
      </c>
      <c r="E4" s="12" t="inlineStr">
        <is>
          <t>最小值</t>
        </is>
      </c>
      <c r="F4" s="12" t="inlineStr">
        <is>
          <t>最大值</t>
        </is>
      </c>
      <c r="G4" s="12" t="inlineStr">
        <is>
          <t>标准差</t>
        </is>
      </c>
      <c r="H4" s="12" t="inlineStr">
        <is>
          <t>首末变化</t>
        </is>
      </c>
      <c r="I4" s="12" t="inlineStr">
        <is>
          <t>方向</t>
        </is>
      </c>
      <c r="J4" s="12" t="inlineStr">
        <is>
          <t>越限批次</t>
        </is>
      </c>
      <c r="K4" s="12" t="inlineStr">
        <is>
          <t>趋势描述</t>
        </is>
      </c>
      <c r="L4" s="12" t="inlineStr">
        <is>
          <t>单位归一说明</t>
        </is>
      </c>
    </row>
    <row r="5">
      <c r="A5" s="34" t="inlineStr">
        <is>
          <t>纯度</t>
        </is>
      </c>
      <c r="B5" s="42" t="inlineStr">
        <is>
          <t>%</t>
        </is>
      </c>
      <c r="C5" s="42" t="n">
        <v>6</v>
      </c>
      <c r="D5" s="43" t="n">
        <v>99.91500000000001</v>
      </c>
      <c r="E5" s="43" t="n">
        <v>99.86</v>
      </c>
      <c r="F5" s="43" t="n">
        <v>99.94</v>
      </c>
      <c r="G5" s="43" t="n">
        <v>0.02880972058177729</v>
      </c>
      <c r="H5" s="57" t="n">
        <v>-0.0007004903432403421</v>
      </c>
      <c r="I5" s="42" t="inlineStr">
        <is>
          <t>下降</t>
        </is>
      </c>
      <c r="J5" s="8" t="inlineStr">
        <is>
          <t>无</t>
        </is>
      </c>
      <c r="K5" s="8" t="inlineStr">
        <is>
          <t>6 个批次；均值 99.92%；区间 99.86~99.94%；标准差 0.0288；首末批下降 -0.07%（-0.07%）</t>
        </is>
      </c>
      <c r="L5" s="8" t="inlineStr"/>
    </row>
    <row r="6">
      <c r="A6" s="34" t="inlineStr">
        <is>
          <t>水分</t>
        </is>
      </c>
      <c r="B6" s="42" t="inlineStr">
        <is>
          <t>%</t>
        </is>
      </c>
      <c r="C6" s="42" t="n">
        <v>6</v>
      </c>
      <c r="D6" s="43" t="n">
        <v>0.07058333333333333</v>
      </c>
      <c r="E6" s="43" t="n">
        <v>0.058</v>
      </c>
      <c r="F6" s="43" t="n">
        <v>0.08650000000000001</v>
      </c>
      <c r="G6" s="43" t="n">
        <v>0.01013122236784223</v>
      </c>
      <c r="H6" s="57" t="n">
        <v>0.3951612903225808</v>
      </c>
      <c r="I6" s="42" t="inlineStr">
        <is>
          <t>上升</t>
        </is>
      </c>
      <c r="J6" s="58" t="inlineStr">
        <is>
          <t>DY-EG-260603B(0.0865)</t>
        </is>
      </c>
      <c r="K6" s="8" t="inlineStr">
        <is>
          <t>6 个批次；均值 0.07058%；区间 0.058~0.0865%；标准差 0.0101；首末批上升 +0.0245%（+39.52%）；越限批次：DY-EG-260603B(0.0865)</t>
        </is>
      </c>
      <c r="L6" s="8" t="inlineStr">
        <is>
          <t>DY-EG-260603B：ppm ppm → 0.0865 %</t>
        </is>
      </c>
    </row>
    <row r="7">
      <c r="A7" s="34" t="inlineStr">
        <is>
          <t>醛类（以乙醛计）</t>
        </is>
      </c>
      <c r="B7" s="42" t="inlineStr">
        <is>
          <t>ppm</t>
        </is>
      </c>
      <c r="C7" s="42" t="n">
        <v>6</v>
      </c>
      <c r="D7" s="43" t="n">
        <v>3.433333333333334</v>
      </c>
      <c r="E7" s="43" t="n">
        <v>2.1</v>
      </c>
      <c r="F7" s="43" t="n">
        <v>7.2</v>
      </c>
      <c r="G7" s="43" t="n">
        <v>1.883259585576738</v>
      </c>
      <c r="H7" s="57" t="n">
        <v>2</v>
      </c>
      <c r="I7" s="42" t="inlineStr">
        <is>
          <t>上升</t>
        </is>
      </c>
      <c r="J7" s="58" t="inlineStr">
        <is>
          <t>DY-EG-260603B(7.2)</t>
        </is>
      </c>
      <c r="K7" s="8" t="inlineStr">
        <is>
          <t>6 个批次；均值 3.433ppm；区间 2.1~7.2ppm；标准差 1.88；首末批上升 +4.8ppm（+200.00%）；越限批次：DY-EG-260603B(7.2)</t>
        </is>
      </c>
      <c r="L7" s="8" t="inlineStr"/>
    </row>
    <row r="8">
      <c r="A8" s="8" t="inlineStr">
        <is>
          <t>外观</t>
        </is>
      </c>
      <c r="B8" s="8" t="inlineStr">
        <is>
          <t>—</t>
        </is>
      </c>
      <c r="C8" s="8" t="n">
        <v>0</v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32" t="inlineStr">
        <is>
          <t>无可用数值序列</t>
        </is>
      </c>
      <c r="L8" s="8" t="inlineStr"/>
    </row>
    <row r="9">
      <c r="A9" s="34" t="inlineStr">
        <is>
          <t>色度</t>
        </is>
      </c>
      <c r="B9" s="42" t="inlineStr">
        <is>
          <t>Hazen</t>
        </is>
      </c>
      <c r="C9" s="42" t="n">
        <v>6</v>
      </c>
      <c r="D9" s="43" t="n">
        <v>5.833333333333333</v>
      </c>
      <c r="E9" s="43" t="n">
        <v>3</v>
      </c>
      <c r="F9" s="43" t="n">
        <v>12</v>
      </c>
      <c r="G9" s="43" t="n">
        <v>3.188521078284832</v>
      </c>
      <c r="H9" s="57" t="n">
        <v>2</v>
      </c>
      <c r="I9" s="42" t="inlineStr">
        <is>
          <t>上升</t>
        </is>
      </c>
      <c r="J9" s="58" t="inlineStr">
        <is>
          <t>DY-EG-260603B(12)</t>
        </is>
      </c>
      <c r="K9" s="8" t="inlineStr">
        <is>
          <t>6 个批次；均值 5.833Hazen；区间 3~12Hazen；标准差 3.19；首末批上升 +8Hazen（+200.00%）；越限批次：DY-EG-260603B(12)</t>
        </is>
      </c>
      <c r="L9" s="8" t="inlineStr"/>
    </row>
    <row r="10">
      <c r="A10" s="34" t="inlineStr">
        <is>
          <t>灰分</t>
        </is>
      </c>
      <c r="B10" s="42" t="inlineStr">
        <is>
          <t>%</t>
        </is>
      </c>
      <c r="C10" s="42" t="n">
        <v>1</v>
      </c>
      <c r="D10" s="43" t="n">
        <v>0.0015</v>
      </c>
      <c r="E10" s="43" t="n">
        <v>0.0015</v>
      </c>
      <c r="F10" s="43" t="n">
        <v>0.0015</v>
      </c>
      <c r="G10" s="43" t="n"/>
      <c r="H10" s="57" t="n">
        <v>0</v>
      </c>
      <c r="I10" s="42" t="inlineStr">
        <is>
          <t>平稳</t>
        </is>
      </c>
      <c r="J10" s="8" t="inlineStr">
        <is>
          <t>无</t>
        </is>
      </c>
      <c r="K10" s="8" t="inlineStr">
        <is>
          <t>1 个批次；均值 0.0015%；区间 0.0015~0.0015%；首末批基本持平</t>
        </is>
      </c>
      <c r="L10" s="8" t="inlineStr"/>
    </row>
    <row r="11">
      <c r="A11" s="34" t="inlineStr">
        <is>
          <t>二乙二醇(DEG)</t>
        </is>
      </c>
      <c r="B11" s="42" t="inlineStr">
        <is>
          <t>%</t>
        </is>
      </c>
      <c r="C11" s="42" t="n">
        <v>1</v>
      </c>
      <c r="D11" s="43" t="n">
        <v>0.006</v>
      </c>
      <c r="E11" s="43" t="n">
        <v>0.006</v>
      </c>
      <c r="F11" s="43" t="n">
        <v>0.006</v>
      </c>
      <c r="G11" s="43" t="n"/>
      <c r="H11" s="57" t="n">
        <v>0</v>
      </c>
      <c r="I11" s="42" t="inlineStr">
        <is>
          <t>平稳</t>
        </is>
      </c>
      <c r="J11" s="8" t="inlineStr">
        <is>
          <t>无</t>
        </is>
      </c>
      <c r="K11" s="8" t="inlineStr">
        <is>
          <t>1 个批次；均值 0.006%；区间 0.006~0.006%；首末批基本持平</t>
        </is>
      </c>
      <c r="L11" s="8" t="inlineStr"/>
    </row>
    <row r="12">
      <c r="A12" s="34" t="inlineStr">
        <is>
          <t>酸度</t>
        </is>
      </c>
      <c r="B12" s="42" t="inlineStr">
        <is>
          <t>%</t>
        </is>
      </c>
      <c r="C12" s="42" t="n">
        <v>1</v>
      </c>
      <c r="D12" s="43" t="n">
        <v>0.0001</v>
      </c>
      <c r="E12" s="43" t="n">
        <v>0.0001</v>
      </c>
      <c r="F12" s="43" t="n">
        <v>0.0001</v>
      </c>
      <c r="G12" s="43" t="n"/>
      <c r="H12" s="57" t="n">
        <v>0</v>
      </c>
      <c r="I12" s="42" t="inlineStr">
        <is>
          <t>平稳</t>
        </is>
      </c>
      <c r="J12" s="8" t="inlineStr">
        <is>
          <t>无</t>
        </is>
      </c>
      <c r="K12" s="8" t="inlineStr">
        <is>
          <t>1 个批次；均值 0.0001%；区间 0.0001~0.0001%；首末批基本持平</t>
        </is>
      </c>
      <c r="L12" s="8" t="inlineStr"/>
    </row>
    <row r="13">
      <c r="A13" s="34" t="inlineStr">
        <is>
          <t>铁含量</t>
        </is>
      </c>
      <c r="B13" s="42" t="inlineStr">
        <is>
          <t>ppm</t>
        </is>
      </c>
      <c r="C13" s="42" t="n">
        <v>6</v>
      </c>
      <c r="D13" s="43" t="n">
        <v>0.305</v>
      </c>
      <c r="E13" s="43" t="n">
        <v>0.19</v>
      </c>
      <c r="F13" s="43" t="n">
        <v>0.58</v>
      </c>
      <c r="G13" s="43" t="n">
        <v>0.142653426176871</v>
      </c>
      <c r="H13" s="57" t="n">
        <v>1.761904761904762</v>
      </c>
      <c r="I13" s="42" t="inlineStr">
        <is>
          <t>上升</t>
        </is>
      </c>
      <c r="J13" s="58" t="inlineStr">
        <is>
          <t>DY-EG-260603B(0.58)</t>
        </is>
      </c>
      <c r="K13" s="8" t="inlineStr">
        <is>
          <t>6 个批次；均值 0.305ppm；区间 0.19~0.58ppm；标准差 0.143；首末批上升 +0.37ppm（+176.19%）；越限批次：DY-EG-260603B(0.58)</t>
        </is>
      </c>
      <c r="L13" s="8" t="inlineStr">
        <is>
          <t>DY-EG-260603B：ppb ppb → 0.58 ppm</t>
        </is>
      </c>
    </row>
    <row r="14">
      <c r="A14" s="34" t="inlineStr">
        <is>
          <t>密度（15℃）</t>
        </is>
      </c>
      <c r="B14" s="42" t="inlineStr">
        <is>
          <t>g/cm³</t>
        </is>
      </c>
      <c r="C14" s="42" t="n">
        <v>2</v>
      </c>
      <c r="D14" s="43" t="n">
        <v>1.11515</v>
      </c>
      <c r="E14" s="43" t="n">
        <v>1.1132</v>
      </c>
      <c r="F14" s="43" t="n">
        <v>1.1171</v>
      </c>
      <c r="G14" s="43" t="n">
        <v>0.002757716446627546</v>
      </c>
      <c r="H14" s="57" t="n">
        <v>0.003503413582464979</v>
      </c>
      <c r="I14" s="42" t="inlineStr">
        <is>
          <t>上升</t>
        </is>
      </c>
      <c r="J14" s="8" t="inlineStr">
        <is>
          <t>无</t>
        </is>
      </c>
      <c r="K14" s="8" t="inlineStr">
        <is>
          <t>2 个批次；均值 1.115g/cm³；区间 1.113~1.117g/cm³；标准差 0.00276；首末批上升 +0.0039g/cm³（+0.35%）</t>
        </is>
      </c>
      <c r="L14" s="8" t="inlineStr"/>
    </row>
    <row r="15">
      <c r="A15" s="34" t="inlineStr">
        <is>
          <t>蒸发残渣</t>
        </is>
      </c>
      <c r="B15" s="42" t="inlineStr">
        <is>
          <t>%</t>
        </is>
      </c>
      <c r="C15" s="42" t="n">
        <v>1</v>
      </c>
      <c r="D15" s="43" t="n">
        <v>0.0012</v>
      </c>
      <c r="E15" s="43" t="n">
        <v>0.0012</v>
      </c>
      <c r="F15" s="43" t="n">
        <v>0.0012</v>
      </c>
      <c r="G15" s="43" t="n"/>
      <c r="H15" s="57" t="n">
        <v>0</v>
      </c>
      <c r="I15" s="42" t="inlineStr">
        <is>
          <t>平稳</t>
        </is>
      </c>
      <c r="J15" s="8" t="inlineStr">
        <is>
          <t>无</t>
        </is>
      </c>
      <c r="K15" s="8" t="inlineStr">
        <is>
          <t>1 个批次；均值 0.0012%；区间 0.0012~0.0012%；首末批基本持平</t>
        </is>
      </c>
      <c r="L15" s="8" t="inlineStr"/>
    </row>
    <row r="18" ht="20" customHeight="1">
      <c r="A18" s="6" t="inlineStr">
        <is>
          <t>各批次数值序列（图表的原始数据源，单位已归一）</t>
        </is>
      </c>
    </row>
    <row r="19">
      <c r="A19" s="59" t="inlineStr">
        <is>
          <t>批次</t>
        </is>
      </c>
      <c r="B19" s="59" t="inlineStr">
        <is>
          <t>生产日期</t>
        </is>
      </c>
      <c r="C19" s="60" t="inlineStr">
        <is>
          <t>纯度(%)</t>
        </is>
      </c>
      <c r="D19" s="60" t="inlineStr">
        <is>
          <t>水分(%)</t>
        </is>
      </c>
      <c r="E19" s="60" t="inlineStr">
        <is>
          <t>醛类（以乙醛计）(ppm)</t>
        </is>
      </c>
      <c r="F19" s="60" t="inlineStr">
        <is>
          <t>色度(Hazen)</t>
        </is>
      </c>
    </row>
    <row r="20">
      <c r="A20" s="61" t="inlineStr">
        <is>
          <t>DY-EG-251120H</t>
        </is>
      </c>
      <c r="B20" s="61" t="inlineStr">
        <is>
          <t>2025-11-20</t>
        </is>
      </c>
      <c r="C20" s="62" t="n">
        <v>99.93000000000001</v>
      </c>
      <c r="D20" s="62" t="n">
        <v>0.062</v>
      </c>
      <c r="E20" s="62" t="n">
        <v>2.4</v>
      </c>
      <c r="F20" s="62" t="n">
        <v>4</v>
      </c>
    </row>
    <row r="21">
      <c r="A21" s="61" t="inlineStr">
        <is>
          <t>DY-EG-260120J</t>
        </is>
      </c>
      <c r="B21" s="61" t="inlineStr">
        <is>
          <t>2026-01-20</t>
        </is>
      </c>
      <c r="C21" s="62" t="n">
        <v>99.94</v>
      </c>
      <c r="D21" s="62" t="n">
        <v>0.058</v>
      </c>
      <c r="E21" s="62" t="n">
        <v>2.1</v>
      </c>
      <c r="F21" s="62" t="n">
        <v>3</v>
      </c>
    </row>
    <row r="22">
      <c r="A22" s="61" t="inlineStr">
        <is>
          <t>DY-EG-260310K</t>
        </is>
      </c>
      <c r="B22" s="61" t="inlineStr">
        <is>
          <t>2026-03-10</t>
        </is>
      </c>
      <c r="C22" s="62" t="n">
        <v>99.93000000000001</v>
      </c>
      <c r="D22" s="62" t="n">
        <v>0.06900000000000001</v>
      </c>
      <c r="E22" s="62" t="n">
        <v>2.8</v>
      </c>
      <c r="F22" s="62" t="n">
        <v>5</v>
      </c>
    </row>
    <row r="23">
      <c r="A23" s="61" t="inlineStr">
        <is>
          <t>DY-EG-260418L</t>
        </is>
      </c>
      <c r="B23" s="61" t="inlineStr">
        <is>
          <t>2026-04-18</t>
        </is>
      </c>
      <c r="C23" s="62" t="n">
        <v>99.91</v>
      </c>
      <c r="D23" s="62" t="n">
        <v>0.073</v>
      </c>
      <c r="E23" s="62" t="n">
        <v>3</v>
      </c>
      <c r="F23" s="62" t="n">
        <v>6</v>
      </c>
    </row>
    <row r="24">
      <c r="A24" s="61" t="inlineStr">
        <is>
          <t>DY-EG-260512A</t>
        </is>
      </c>
      <c r="B24" s="61" t="inlineStr">
        <is>
          <t>2026-05-12</t>
        </is>
      </c>
      <c r="C24" s="62" t="n">
        <v>99.92</v>
      </c>
      <c r="D24" s="62" t="n">
        <v>0.075</v>
      </c>
      <c r="E24" s="62" t="n">
        <v>3.1</v>
      </c>
      <c r="F24" s="62" t="n">
        <v>5</v>
      </c>
    </row>
    <row r="25">
      <c r="A25" s="63" t="inlineStr">
        <is>
          <t>DY-EG-260603B</t>
        </is>
      </c>
      <c r="B25" s="63" t="inlineStr">
        <is>
          <t>2026-06-03</t>
        </is>
      </c>
      <c r="C25" s="64" t="n">
        <v>99.86</v>
      </c>
      <c r="D25" s="64" t="n">
        <v>0.08650000000000001</v>
      </c>
      <c r="E25" s="64" t="n">
        <v>7.2</v>
      </c>
      <c r="F25" s="64" t="n">
        <v>12</v>
      </c>
    </row>
    <row r="26">
      <c r="A26" s="65" t="inlineStr">
        <is>
          <t>注：不同指标量级差异大（如色度 vs 纯度），折线图用来快速看方向；精确比较请用上方统计表与 04 页签各批次数值。</t>
        </is>
      </c>
    </row>
  </sheetData>
  <mergeCells count="2">
    <mergeCell ref="A2:L2"/>
    <mergeCell ref="A18:L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2" customWidth="1" min="3" max="3"/>
    <col width="5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证书完整性检查</t>
        </is>
      </c>
    </row>
    <row r="2" ht="30" customHeight="1">
      <c r="A2" s="2" t="inlineStr">
        <is>
          <t>评价“这份证书能否支撑验收”，不评价产品质量。缺项本身不是不合格，但会让指标结论失去依据</t>
        </is>
      </c>
    </row>
    <row r="4" ht="20" customHeight="1">
      <c r="A4" s="6" t="inlineStr">
        <is>
          <t>批次 DY-EG-260512A · 完整性得分 100/100 · 高 0 / 中 0 / 低 0</t>
        </is>
      </c>
    </row>
    <row r="5" ht="30" customHeight="1">
      <c r="A5" s="12" t="inlineStr">
        <is>
          <t>级别</t>
        </is>
      </c>
      <c r="B5" s="12" t="inlineStr">
        <is>
          <t>字段/检查项</t>
        </is>
      </c>
      <c r="C5" s="12" t="inlineStr">
        <is>
          <t>发现的问题</t>
        </is>
      </c>
      <c r="D5" s="12" t="inlineStr">
        <is>
          <t>建议处理动作</t>
        </is>
      </c>
      <c r="E5" s="12" t="inlineStr"/>
      <c r="F5" s="12" t="inlineStr"/>
      <c r="G5" s="12" t="inlineStr"/>
      <c r="H5" s="12" t="inlineStr"/>
    </row>
    <row r="6">
      <c r="A6" s="65" t="inlineStr">
        <is>
          <t>未发现完整性缺陷</t>
        </is>
      </c>
    </row>
    <row r="8" ht="20" customHeight="1">
      <c r="A8" s="6" t="inlineStr">
        <is>
          <t>批次 DY-EG-260603B · 完整性得分 30/100 · 高 3 / 中 2 / 低 0</t>
        </is>
      </c>
    </row>
    <row r="9" ht="30" customHeight="1">
      <c r="A9" s="12" t="inlineStr">
        <is>
          <t>级别</t>
        </is>
      </c>
      <c r="B9" s="12" t="inlineStr">
        <is>
          <t>字段/检查项</t>
        </is>
      </c>
      <c r="C9" s="12" t="inlineStr">
        <is>
          <t>发现的问题</t>
        </is>
      </c>
      <c r="D9" s="12" t="inlineStr">
        <is>
          <t>建议处理动作</t>
        </is>
      </c>
      <c r="E9" s="12" t="inlineStr"/>
      <c r="F9" s="12" t="inlineStr"/>
      <c r="G9" s="12" t="inlineStr"/>
      <c r="H9" s="12" t="inlineStr"/>
    </row>
    <row r="10" ht="30" customHeight="1">
      <c r="A10" s="17" t="inlineStr">
        <is>
          <t>高</t>
        </is>
      </c>
      <c r="B10" s="8" t="inlineStr">
        <is>
          <t>批号</t>
        </is>
      </c>
      <c r="C10" s="8" t="inlineStr">
        <is>
          <t>COA 批号 DY260603B 与到货单批号 DY-EG-260603B 不一致</t>
        </is>
      </c>
      <c r="D10" s="8" t="inlineStr">
        <is>
          <t>要求供应商出具批号对应说明，否则该 COA 不能证明本批货</t>
        </is>
      </c>
      <c r="E10" s="9" t="n"/>
      <c r="F10" s="9" t="n"/>
      <c r="G10" s="9" t="n"/>
      <c r="H10" s="10" t="n"/>
    </row>
    <row r="11" ht="30" customHeight="1">
      <c r="A11" s="17" t="inlineStr">
        <is>
          <t>高</t>
        </is>
      </c>
      <c r="B11" s="8" t="inlineStr">
        <is>
          <t>结论一致性</t>
        </is>
      </c>
      <c r="C11" s="8" t="inlineStr">
        <is>
          <t>证书结论写「符合优等品要求」，但明细中有 5 项实测已超出合同/规格限值（水分、醛类（以乙醛计）、外观、色度、铁含量 等），结论与数据自相矛盾</t>
        </is>
      </c>
      <c r="D11" s="8" t="inlineStr">
        <is>
          <t>要求书面说明结论判定依据；如系笔误应作废重发，不得以'结论合格'覆盖超限数据</t>
        </is>
      </c>
      <c r="E11" s="9" t="n"/>
      <c r="F11" s="9" t="n"/>
      <c r="G11" s="9" t="n"/>
      <c r="H11" s="10" t="n"/>
    </row>
    <row r="12" ht="30" customHeight="1">
      <c r="A12" s="17" t="inlineStr">
        <is>
          <t>高</t>
        </is>
      </c>
      <c r="B12" s="8" t="inlineStr">
        <is>
          <t>缺失指标</t>
        </is>
      </c>
      <c r="C12" s="8" t="inlineStr">
        <is>
          <t>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  <c r="D12" s="8" t="inlineStr">
        <is>
          <t>要求补充上列指标的检测结果，并注明检测方法与检出限</t>
        </is>
      </c>
      <c r="E12" s="9" t="n"/>
      <c r="F12" s="9" t="n"/>
      <c r="G12" s="9" t="n"/>
      <c r="H12" s="10" t="n"/>
    </row>
    <row r="13" ht="30" customHeight="1">
      <c r="A13" s="66" t="inlineStr">
        <is>
          <t>中</t>
        </is>
      </c>
      <c r="B13" s="8" t="inlineStr">
        <is>
          <t>检出限</t>
        </is>
      </c>
      <c r="C13" s="8" t="inlineStr">
        <is>
          <t>微量杂质「水分」报 865 ppm，但未标注检出限</t>
        </is>
      </c>
      <c r="D13" s="8" t="inlineStr">
        <is>
          <t>要求注明检出限与定量限，否则无法判断是否满足 ≤ 限值</t>
        </is>
      </c>
      <c r="E13" s="9" t="n"/>
      <c r="F13" s="9" t="n"/>
      <c r="G13" s="9" t="n"/>
      <c r="H13" s="10" t="n"/>
    </row>
    <row r="14" ht="30" customHeight="1">
      <c r="A14" s="66" t="inlineStr">
        <is>
          <t>中</t>
        </is>
      </c>
      <c r="B14" s="8" t="inlineStr">
        <is>
          <t>检出限</t>
        </is>
      </c>
      <c r="C14" s="8" t="inlineStr">
        <is>
          <t>微量杂质「醛类（以乙醛计）」报 7.2 ppm，但未标注检出限</t>
        </is>
      </c>
      <c r="D14" s="8" t="inlineStr">
        <is>
          <t>要求注明检出限与定量限，否则无法判断是否满足 ≤ 限值</t>
        </is>
      </c>
      <c r="E14" s="9" t="n"/>
      <c r="F14" s="9" t="n"/>
      <c r="G14" s="9" t="n"/>
      <c r="H14" s="10" t="n"/>
    </row>
    <row r="16" ht="20" customHeight="1">
      <c r="A16" s="6" t="inlineStr">
        <is>
          <t>必检字段矩阵（任一 COA 都应具备）</t>
        </is>
      </c>
    </row>
    <row r="17" ht="30" customHeight="1">
      <c r="A17" s="12" t="inlineStr">
        <is>
          <t>字段</t>
        </is>
      </c>
      <c r="B17" s="12" t="inlineStr">
        <is>
          <t>必要性</t>
        </is>
      </c>
      <c r="C17" s="12" t="inlineStr">
        <is>
          <t>DY-EG-260512A</t>
        </is>
      </c>
      <c r="D17" s="12" t="inlineStr">
        <is>
          <t>DY-EG-260603B</t>
        </is>
      </c>
      <c r="E17" s="12" t="inlineStr"/>
      <c r="F17" s="12" t="inlineStr"/>
      <c r="G17" s="12" t="inlineStr"/>
    </row>
    <row r="18">
      <c r="A18" s="8" t="inlineStr">
        <is>
          <t>产品名称</t>
        </is>
      </c>
      <c r="B18" s="42" t="inlineStr">
        <is>
          <t>必需</t>
        </is>
      </c>
      <c r="C18" s="13" t="inlineStr">
        <is>
          <t>有</t>
        </is>
      </c>
      <c r="D18" s="13" t="inlineStr">
        <is>
          <t>有</t>
        </is>
      </c>
      <c r="E18" s="8" t="inlineStr"/>
      <c r="F18" s="8" t="inlineStr"/>
      <c r="G18" s="8" t="inlineStr"/>
    </row>
    <row r="19">
      <c r="A19" s="8" t="inlineStr">
        <is>
          <t>生产企业</t>
        </is>
      </c>
      <c r="B19" s="42" t="inlineStr">
        <is>
          <t>必需</t>
        </is>
      </c>
      <c r="C19" s="13" t="inlineStr">
        <is>
          <t>有</t>
        </is>
      </c>
      <c r="D19" s="13" t="inlineStr">
        <is>
          <t>有</t>
        </is>
      </c>
      <c r="E19" s="8" t="inlineStr"/>
      <c r="F19" s="8" t="inlineStr"/>
      <c r="G19" s="8" t="inlineStr"/>
    </row>
    <row r="20">
      <c r="A20" s="8" t="inlineStr">
        <is>
          <t>生产批号</t>
        </is>
      </c>
      <c r="B20" s="42" t="inlineStr">
        <is>
          <t>必需</t>
        </is>
      </c>
      <c r="C20" s="13" t="inlineStr">
        <is>
          <t>有</t>
        </is>
      </c>
      <c r="D20" s="13" t="inlineStr">
        <is>
          <t>有</t>
        </is>
      </c>
      <c r="E20" s="8" t="inlineStr"/>
      <c r="F20" s="8" t="inlineStr"/>
      <c r="G20" s="8" t="inlineStr"/>
    </row>
    <row r="21">
      <c r="A21" s="8" t="inlineStr">
        <is>
          <t>生产日期</t>
        </is>
      </c>
      <c r="B21" s="42" t="inlineStr">
        <is>
          <t>必需</t>
        </is>
      </c>
      <c r="C21" s="13" t="inlineStr">
        <is>
          <t>有</t>
        </is>
      </c>
      <c r="D21" s="13" t="inlineStr">
        <is>
          <t>有</t>
        </is>
      </c>
      <c r="E21" s="8" t="inlineStr"/>
      <c r="F21" s="8" t="inlineStr"/>
      <c r="G21" s="8" t="inlineStr"/>
    </row>
    <row r="22">
      <c r="A22" s="8" t="inlineStr">
        <is>
          <t>检测日期</t>
        </is>
      </c>
      <c r="B22" s="42" t="inlineStr">
        <is>
          <t>必需</t>
        </is>
      </c>
      <c r="C22" s="13" t="inlineStr">
        <is>
          <t>有</t>
        </is>
      </c>
      <c r="D22" s="13" t="inlineStr">
        <is>
          <t>有</t>
        </is>
      </c>
      <c r="E22" s="8" t="inlineStr"/>
      <c r="F22" s="8" t="inlineStr"/>
      <c r="G22" s="8" t="inlineStr"/>
    </row>
    <row r="23">
      <c r="A23" s="8" t="inlineStr">
        <is>
          <t>证书/报告编号</t>
        </is>
      </c>
      <c r="B23" s="42" t="inlineStr">
        <is>
          <t>建议</t>
        </is>
      </c>
      <c r="C23" s="13" t="inlineStr">
        <is>
          <t>有</t>
        </is>
      </c>
      <c r="D23" s="13" t="inlineStr">
        <is>
          <t>有</t>
        </is>
      </c>
      <c r="E23" s="8" t="inlineStr"/>
      <c r="F23" s="8" t="inlineStr"/>
      <c r="G23" s="8" t="inlineStr"/>
    </row>
    <row r="24">
      <c r="A24" s="8" t="inlineStr">
        <is>
          <t>检测依据/标准</t>
        </is>
      </c>
      <c r="B24" s="42" t="inlineStr">
        <is>
          <t>必需</t>
        </is>
      </c>
      <c r="C24" s="13" t="inlineStr">
        <is>
          <t>有</t>
        </is>
      </c>
      <c r="D24" s="13" t="inlineStr">
        <is>
          <t>有</t>
        </is>
      </c>
      <c r="E24" s="8" t="inlineStr"/>
      <c r="F24" s="8" t="inlineStr"/>
      <c r="G24" s="8" t="inlineStr"/>
    </row>
    <row r="25">
      <c r="A25" s="8" t="inlineStr">
        <is>
          <t>检测结论/判定</t>
        </is>
      </c>
      <c r="B25" s="42" t="inlineStr">
        <is>
          <t>建议</t>
        </is>
      </c>
      <c r="C25" s="13" t="inlineStr">
        <is>
          <t>有</t>
        </is>
      </c>
      <c r="D25" s="13" t="inlineStr">
        <is>
          <t>有</t>
        </is>
      </c>
      <c r="E25" s="8" t="inlineStr"/>
      <c r="F25" s="8" t="inlineStr"/>
      <c r="G25" s="8" t="inlineStr"/>
    </row>
    <row r="26">
      <c r="A26" s="8" t="inlineStr">
        <is>
          <t>证书防伪码/编制审核签发</t>
        </is>
      </c>
      <c r="B26" s="42" t="inlineStr">
        <is>
          <t>建议</t>
        </is>
      </c>
      <c r="C26" s="13" t="inlineStr">
        <is>
          <t>有</t>
        </is>
      </c>
      <c r="D26" s="17" t="inlineStr">
        <is>
          <t>缺失</t>
        </is>
      </c>
      <c r="E26" s="8" t="inlineStr"/>
      <c r="F26" s="8" t="inlineStr"/>
      <c r="G26" s="8" t="inlineStr"/>
    </row>
  </sheetData>
  <mergeCells count="9">
    <mergeCell ref="A4:H4"/>
    <mergeCell ref="D12:H12"/>
    <mergeCell ref="D10:H10"/>
    <mergeCell ref="A2:H2"/>
    <mergeCell ref="A16:H16"/>
    <mergeCell ref="D11:H11"/>
    <mergeCell ref="D13:H13"/>
    <mergeCell ref="D14:H14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62" customWidth="1" min="7" max="7"/>
    <col width="40" customWidth="1" min="8" max="8"/>
    <col width="6" customWidth="1" min="9" max="9"/>
  </cols>
  <sheetData>
    <row r="1" ht="26" customHeight="1">
      <c r="A1" s="1" t="inlineStr">
        <is>
          <t>检测方法差异与影响</t>
        </is>
      </c>
    </row>
    <row r="2" ht="30" customHeight="1">
      <c r="A2" s="2" t="inlineStr">
        <is>
          <t>“同名指标”用不同方法测出来的数不能直接比——本表只回答：这个数是怎么测的</t>
        </is>
      </c>
    </row>
    <row r="4" ht="20" customHeight="1">
      <c r="A4" s="6" t="inlineStr">
        <is>
          <t>批次 DY-EG-260512A · 方法关系异常 0 项</t>
        </is>
      </c>
    </row>
    <row r="5" ht="30" customHeight="1">
      <c r="A5" s="12" t="inlineStr">
        <is>
          <t>指标</t>
        </is>
      </c>
      <c r="B5" s="12" t="inlineStr">
        <is>
          <t>COA 方法</t>
        </is>
      </c>
      <c r="C5" s="12" t="inlineStr">
        <is>
          <t>约定方法</t>
        </is>
      </c>
      <c r="D5" s="12" t="inlineStr">
        <is>
          <t>关系</t>
        </is>
      </c>
      <c r="E5" s="12" t="inlineStr">
        <is>
          <t>COA 实测</t>
        </is>
      </c>
      <c r="F5" s="12" t="inlineStr">
        <is>
          <t>规格限值</t>
        </is>
      </c>
      <c r="G5" s="12" t="inlineStr">
        <is>
          <t>对判定的影响</t>
        </is>
      </c>
      <c r="H5" s="12" t="inlineStr">
        <is>
          <t>备注</t>
        </is>
      </c>
      <c r="I5" s="12" t="inlineStr"/>
    </row>
    <row r="6">
      <c r="A6" s="65" t="inlineStr">
        <is>
          <t>本批次方法全部一致，无差异项</t>
        </is>
      </c>
    </row>
    <row r="8" ht="20" customHeight="1">
      <c r="A8" s="6" t="inlineStr">
        <is>
          <t>批次 DY-EG-260603B · 方法关系异常 4 项</t>
        </is>
      </c>
    </row>
    <row r="9" ht="30" customHeight="1">
      <c r="A9" s="12" t="inlineStr">
        <is>
          <t>指标</t>
        </is>
      </c>
      <c r="B9" s="12" t="inlineStr">
        <is>
          <t>COA 方法</t>
        </is>
      </c>
      <c r="C9" s="12" t="inlineStr">
        <is>
          <t>约定方法</t>
        </is>
      </c>
      <c r="D9" s="12" t="inlineStr">
        <is>
          <t>关系</t>
        </is>
      </c>
      <c r="E9" s="12" t="inlineStr">
        <is>
          <t>COA 实测</t>
        </is>
      </c>
      <c r="F9" s="12" t="inlineStr">
        <is>
          <t>规格限值</t>
        </is>
      </c>
      <c r="G9" s="12" t="inlineStr">
        <is>
          <t>对判定的影响</t>
        </is>
      </c>
      <c r="H9" s="12" t="inlineStr">
        <is>
          <t>备注</t>
        </is>
      </c>
      <c r="I9" s="12" t="inlineStr"/>
    </row>
    <row r="10" ht="40" customHeight="1">
      <c r="A10" s="8" t="inlineStr">
        <is>
          <t>灰分</t>
        </is>
      </c>
      <c r="B10" s="8" t="inlineStr">
        <is>
          <t>—</t>
        </is>
      </c>
      <c r="C10" s="8" t="inlineStr">
        <is>
          <t>GB/T 14571.5</t>
        </is>
      </c>
      <c r="D10" s="26" t="inlineStr">
        <is>
          <t>COA 未标注方法</t>
        </is>
      </c>
      <c r="E10" s="42" t="inlineStr">
        <is>
          <t>（COA 未列该指标）</t>
        </is>
      </c>
      <c r="F10" s="42" t="inlineStr">
        <is>
          <t>≤0.002</t>
        </is>
      </c>
      <c r="G10" s="8" t="inlineStr">
        <is>
          <t>COA 未标注方法，结果虽在限值内，但无法证明与约定方法 GB/T 14571.5 一致；如买方按约定方法复检，结果可能落在方法误差带内而改变判定。</t>
        </is>
      </c>
      <c r="H10" s="8" t="inlineStr">
        <is>
          <t>灼烧温度 800℃/850℃ 差异会影响残渣量，须同条件比较</t>
        </is>
      </c>
      <c r="I10" s="8" t="inlineStr"/>
    </row>
    <row r="11" ht="40" customHeight="1">
      <c r="A11" s="8" t="inlineStr">
        <is>
          <t>二乙二醇(DEG)</t>
        </is>
      </c>
      <c r="B11" s="8" t="inlineStr">
        <is>
          <t>—</t>
        </is>
      </c>
      <c r="C11" s="8" t="inlineStr">
        <is>
          <t>GB/T 14571.7</t>
        </is>
      </c>
      <c r="D11" s="26" t="inlineStr">
        <is>
          <t>COA 未标注方法</t>
        </is>
      </c>
      <c r="E11" s="42" t="inlineStr">
        <is>
          <t>（COA 未列该指标）</t>
        </is>
      </c>
      <c r="F11" s="42" t="inlineStr">
        <is>
          <t>≤0.01</t>
        </is>
      </c>
      <c r="G11" s="8" t="inlineStr">
        <is>
          <t>COA 未标注方法，结果虽在限值内，但无法证明与约定方法 GB/T 14571.7 一致；如买方按约定方法复检，结果可能落在方法误差带内而改变判定。</t>
        </is>
      </c>
      <c r="H11" s="8" t="inlineStr">
        <is>
          <t>气相色谱外标法受分流比影响；部分厂家 COA 不列该指标</t>
        </is>
      </c>
      <c r="I11" s="8" t="inlineStr"/>
    </row>
    <row r="12" ht="40" customHeight="1">
      <c r="A12" s="8" t="inlineStr">
        <is>
          <t>酸度</t>
        </is>
      </c>
      <c r="B12" s="8" t="inlineStr">
        <is>
          <t>—</t>
        </is>
      </c>
      <c r="C12" s="8" t="inlineStr">
        <is>
          <t>GB/T 14571.4</t>
        </is>
      </c>
      <c r="D12" s="18" t="inlineStr">
        <is>
          <t>方法与约定不同</t>
        </is>
      </c>
      <c r="E12" s="42" t="inlineStr">
        <is>
          <t>未检测</t>
        </is>
      </c>
      <c r="F12" s="42" t="inlineStr">
        <is>
          <t>≤0.001</t>
        </is>
      </c>
      <c r="G12" s="8" t="inlineStr">
        <is>
          <t>—</t>
        </is>
      </c>
      <c r="H12" s="8" t="inlineStr">
        <is>
          <t>滴定法下限受终点判断影响，接近方法检出下限时宜用离子色谱复核</t>
        </is>
      </c>
      <c r="I12" s="8" t="inlineStr"/>
    </row>
    <row r="13" ht="40" customHeight="1">
      <c r="A13" s="8" t="inlineStr">
        <is>
          <t>蒸发残渣</t>
        </is>
      </c>
      <c r="B13" s="8" t="inlineStr">
        <is>
          <t>—</t>
        </is>
      </c>
      <c r="C13" s="8" t="inlineStr">
        <is>
          <t>GB/T 6324.2</t>
        </is>
      </c>
      <c r="D13" s="26" t="inlineStr">
        <is>
          <t>COA 未标注方法</t>
        </is>
      </c>
      <c r="E13" s="42" t="inlineStr">
        <is>
          <t>（COA 未列该指标）</t>
        </is>
      </c>
      <c r="F13" s="42" t="inlineStr">
        <is>
          <t>≤0.002</t>
        </is>
      </c>
      <c r="G13" s="8" t="inlineStr">
        <is>
          <t>COA 未标注方法，结果虽在限值内，但无法证明与约定方法 GB/T 6324.2 一致；如买方按约定方法复检，结果可能落在方法误差带内而改变判定。</t>
        </is>
      </c>
      <c r="H13" s="8" t="inlineStr">
        <is>
          <t>烘干温度与恒重方式须一致，影响残渣称量结果</t>
        </is>
      </c>
      <c r="I13" s="8" t="inlineStr"/>
    </row>
    <row r="15" ht="20" customHeight="1">
      <c r="A15" s="6" t="inlineStr">
        <is>
          <t>等效方法组（在报告中注明即可，不必强制复测；未列出的组合一律视为“不同”）</t>
        </is>
      </c>
    </row>
    <row r="16">
      <c r="A16" s="8" t="inlineStr">
        <is>
          <t>GB/T 14571.2-2018 / ASTM E203-16 / JIS K 0068</t>
        </is>
      </c>
      <c r="B16" s="9" t="n"/>
      <c r="C16" s="10" t="n"/>
      <c r="D16" s="42" t="inlineStr">
        <is>
          <t>等效</t>
        </is>
      </c>
      <c r="E16" s="8" t="inlineStr"/>
      <c r="F16" s="8" t="inlineStr"/>
      <c r="G16" s="8" t="inlineStr"/>
      <c r="H16" s="8" t="inlineStr"/>
      <c r="I16" s="8" t="inlineStr"/>
    </row>
    <row r="17">
      <c r="A17" s="8" t="inlineStr">
        <is>
          <t>GB/T 14571.2 / GB/T 6283</t>
        </is>
      </c>
      <c r="B17" s="9" t="n"/>
      <c r="C17" s="10" t="n"/>
      <c r="D17" s="42" t="inlineStr">
        <is>
          <t>等效</t>
        </is>
      </c>
      <c r="E17" s="8" t="inlineStr"/>
      <c r="F17" s="8" t="inlineStr"/>
      <c r="G17" s="8" t="inlineStr"/>
      <c r="H17" s="8" t="inlineStr"/>
      <c r="I17" s="8" t="inlineStr"/>
    </row>
  </sheetData>
  <mergeCells count="6">
    <mergeCell ref="A15:I15"/>
    <mergeCell ref="A2:I2"/>
    <mergeCell ref="A17:C17"/>
    <mergeCell ref="A8:I8"/>
    <mergeCell ref="A4:I4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26" customWidth="1" min="4" max="4"/>
    <col width="26" customWidth="1" min="5" max="5"/>
  </cols>
  <sheetData>
    <row r="1" ht="26" customHeight="1">
      <c r="A1" s="1" t="inlineStr">
        <is>
          <t>多批次 × 全指标 判定矩阵</t>
        </is>
      </c>
    </row>
    <row r="2" ht="30" customHeight="1">
      <c r="A2" s="2" t="inlineStr">
        <is>
          <t>同一张规格横向比较；单元格 = 判定 + 实测（COA 原始单位）+ 偏离%</t>
        </is>
      </c>
    </row>
    <row r="4" ht="30" customHeight="1">
      <c r="A4" s="12" t="inlineStr">
        <is>
          <t>指标</t>
        </is>
      </c>
      <c r="B4" s="12" t="inlineStr">
        <is>
          <t>规格限值</t>
        </is>
      </c>
      <c r="C4" s="12" t="inlineStr">
        <is>
          <t>规格单位</t>
        </is>
      </c>
      <c r="D4" s="12" t="inlineStr">
        <is>
          <t>DY-EG-260512A</t>
        </is>
      </c>
      <c r="E4" s="12" t="inlineStr">
        <is>
          <t>DY-EG-260603B</t>
        </is>
      </c>
    </row>
    <row r="5">
      <c r="A5" s="34" t="inlineStr">
        <is>
          <t>乙二醇纯度（质量分数）</t>
        </is>
      </c>
      <c r="B5" s="39" t="inlineStr">
        <is>
          <t>≥99.85</t>
        </is>
      </c>
      <c r="C5" s="39" t="inlineStr">
        <is>
          <t>%</t>
        </is>
      </c>
      <c r="D5" s="67" t="inlineStr">
        <is>
          <t>符合｜99.92 %</t>
        </is>
      </c>
      <c r="E5" s="67" t="inlineStr">
        <is>
          <t>符合｜99.86 %</t>
        </is>
      </c>
    </row>
    <row r="6">
      <c r="A6" s="34" t="inlineStr">
        <is>
          <t>水分</t>
        </is>
      </c>
      <c r="B6" s="39" t="inlineStr">
        <is>
          <t>≤0.08</t>
        </is>
      </c>
      <c r="C6" s="39" t="inlineStr">
        <is>
          <t>%</t>
        </is>
      </c>
      <c r="D6" s="67" t="inlineStr">
        <is>
          <t>符合｜0.075 %</t>
        </is>
      </c>
      <c r="E6" s="58" t="inlineStr">
        <is>
          <t>不符合｜865 ppm｜+8.13%</t>
        </is>
      </c>
    </row>
    <row r="7">
      <c r="A7" s="34" t="inlineStr">
        <is>
          <t>醛（以乙醛计）</t>
        </is>
      </c>
      <c r="B7" s="39" t="inlineStr">
        <is>
          <t>≤5</t>
        </is>
      </c>
      <c r="C7" s="39" t="inlineStr">
        <is>
          <t>ppm</t>
        </is>
      </c>
      <c r="D7" s="67" t="inlineStr">
        <is>
          <t>符合｜3.1 ppm</t>
        </is>
      </c>
      <c r="E7" s="58" t="inlineStr">
        <is>
          <t>不符合｜7.2 ppm｜+44.00%</t>
        </is>
      </c>
    </row>
    <row r="8">
      <c r="A8" s="34" t="inlineStr">
        <is>
          <t>外观</t>
        </is>
      </c>
      <c r="B8" s="39" t="inlineStr">
        <is>
          <t>无色透明、无可见机械杂质</t>
        </is>
      </c>
      <c r="C8" s="39" t="inlineStr">
        <is>
          <t>—</t>
        </is>
      </c>
      <c r="D8" s="67" t="inlineStr">
        <is>
          <t>符合｜无色透明液体，无可见机械杂质 —</t>
        </is>
      </c>
      <c r="E8" s="58" t="inlineStr">
        <is>
          <t>不符合｜微带浅黄色，透明度略差 —</t>
        </is>
      </c>
    </row>
    <row r="9">
      <c r="A9" s="34" t="inlineStr">
        <is>
          <t>色度（铂钴）</t>
        </is>
      </c>
      <c r="B9" s="39" t="inlineStr">
        <is>
          <t>≤10</t>
        </is>
      </c>
      <c r="C9" s="39" t="inlineStr">
        <is>
          <t>Hazen</t>
        </is>
      </c>
      <c r="D9" s="67" t="inlineStr">
        <is>
          <t>符合｜5 Hazen</t>
        </is>
      </c>
      <c r="E9" s="58" t="inlineStr">
        <is>
          <t>不符合｜12 Hazen｜+20.00%</t>
        </is>
      </c>
    </row>
    <row r="10">
      <c r="A10" s="34" t="inlineStr">
        <is>
          <t>灰分（灼烧残渣）</t>
        </is>
      </c>
      <c r="B10" s="39" t="inlineStr">
        <is>
          <t>≤0.002</t>
        </is>
      </c>
      <c r="C10" s="39" t="inlineStr">
        <is>
          <t>%</t>
        </is>
      </c>
      <c r="D10" s="67" t="inlineStr">
        <is>
          <t>符合｜0.0015 %</t>
        </is>
      </c>
      <c r="E10" s="68" t="inlineStr">
        <is>
          <t>COA未检测｜（COA 未列该指标） %</t>
        </is>
      </c>
    </row>
    <row r="11">
      <c r="A11" s="34" t="inlineStr">
        <is>
          <t>二乙二醇（DEG）</t>
        </is>
      </c>
      <c r="B11" s="39" t="inlineStr">
        <is>
          <t>≤0.01</t>
        </is>
      </c>
      <c r="C11" s="39" t="inlineStr">
        <is>
          <t>%</t>
        </is>
      </c>
      <c r="D11" s="67" t="inlineStr">
        <is>
          <t>符合｜0.006 %</t>
        </is>
      </c>
      <c r="E11" s="68" t="inlineStr">
        <is>
          <t>COA未检测｜（COA 未列该指标） %</t>
        </is>
      </c>
    </row>
    <row r="12">
      <c r="A12" s="34" t="inlineStr">
        <is>
          <t>酸度（以乙酸计）</t>
        </is>
      </c>
      <c r="B12" s="39" t="inlineStr">
        <is>
          <t>≤0.001</t>
        </is>
      </c>
      <c r="C12" s="39" t="inlineStr">
        <is>
          <t>%</t>
        </is>
      </c>
      <c r="D12" s="69" t="inlineStr">
        <is>
          <t>无法判断｜0.0001 %</t>
        </is>
      </c>
      <c r="E12" s="68" t="inlineStr">
        <is>
          <t>COA未检测｜未检测 %</t>
        </is>
      </c>
    </row>
    <row r="13">
      <c r="A13" s="34" t="inlineStr">
        <is>
          <t>铁（Fe）</t>
        </is>
      </c>
      <c r="B13" s="39" t="inlineStr">
        <is>
          <t>≤0.5</t>
        </is>
      </c>
      <c r="C13" s="39" t="inlineStr">
        <is>
          <t>ppm</t>
        </is>
      </c>
      <c r="D13" s="67" t="inlineStr">
        <is>
          <t>符合｜0.32 ppm</t>
        </is>
      </c>
      <c r="E13" s="58" t="inlineStr">
        <is>
          <t>不符合｜580 ppb｜+16.00%</t>
        </is>
      </c>
    </row>
    <row r="14">
      <c r="A14" s="34" t="inlineStr">
        <is>
          <t>密度（20℃）</t>
        </is>
      </c>
      <c r="B14" s="39" t="inlineStr">
        <is>
          <t>≥1.112</t>
        </is>
      </c>
      <c r="C14" s="39" t="inlineStr">
        <is>
          <t>g/cm³</t>
        </is>
      </c>
      <c r="D14" s="67" t="inlineStr">
        <is>
          <t>符合｜1.1132 g/cm³</t>
        </is>
      </c>
      <c r="E14" s="67" t="inlineStr">
        <is>
          <t>符合｜1.1171 g/cm³</t>
        </is>
      </c>
    </row>
    <row r="15">
      <c r="A15" s="34" t="inlineStr">
        <is>
          <t>蒸发残渣</t>
        </is>
      </c>
      <c r="B15" s="39" t="inlineStr">
        <is>
          <t>≤0.002</t>
        </is>
      </c>
      <c r="C15" s="39" t="inlineStr">
        <is>
          <t>%</t>
        </is>
      </c>
      <c r="D15" s="67" t="inlineStr">
        <is>
          <t>符合｜0.0012 %</t>
        </is>
      </c>
      <c r="E15" s="68" t="inlineStr">
        <is>
          <t>COA未检测｜（COA 未列该指标） %</t>
        </is>
      </c>
    </row>
    <row r="16" ht="34" customHeight="1">
      <c r="A16" s="34" t="inlineStr">
        <is>
          <t>判定分布</t>
        </is>
      </c>
      <c r="B16" s="34" t="inlineStr"/>
      <c r="C16" s="34" t="inlineStr"/>
      <c r="D16" s="34" t="inlineStr">
        <is>
          <t>符合10 / 无法判断1</t>
        </is>
      </c>
      <c r="E16" s="34" t="inlineStr">
        <is>
          <t>符合2 / 不符合5 / COA未检测4</t>
        </is>
      </c>
    </row>
  </sheetData>
  <mergeCells count="1"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66" customWidth="1" min="5" max="5"/>
    <col width="52" customWidth="1" min="6" max="6"/>
    <col width="16" customWidth="1" min="7" max="7"/>
    <col width="30" customWidth="1" min="8" max="8"/>
  </cols>
  <sheetData>
    <row r="1" ht="26" customHeight="1">
      <c r="A1" s="1" t="inlineStr">
        <is>
          <t>异常问题清单（按严重度排序）</t>
        </is>
      </c>
    </row>
    <row r="2" ht="30" customHeight="1">
      <c r="A2" s="2" t="inlineStr">
        <is>
          <t>严重度只看：限值类型、偏离幅度、指标与用途的相关性。它是“值不值得写进函件”的排序，不是收货决策</t>
        </is>
      </c>
    </row>
    <row r="4" ht="30" customHeight="1">
      <c r="A4" s="12" t="inlineStr">
        <is>
          <t>序</t>
        </is>
      </c>
      <c r="B4" s="12" t="inlineStr">
        <is>
          <t>严重度</t>
        </is>
      </c>
      <c r="C4" s="12" t="inlineStr">
        <is>
          <t>类型</t>
        </is>
      </c>
      <c r="D4" s="12" t="inlineStr">
        <is>
          <t>对象</t>
        </is>
      </c>
      <c r="E4" s="12" t="inlineStr">
        <is>
          <t>事实描述</t>
        </is>
      </c>
      <c r="F4" s="12" t="inlineStr">
        <is>
          <t>建议动作</t>
        </is>
      </c>
      <c r="G4" s="12" t="inlineStr">
        <is>
          <t>来源批次</t>
        </is>
      </c>
      <c r="H4" s="12" t="inlineStr">
        <is>
          <t>定位</t>
        </is>
      </c>
    </row>
    <row r="5" ht="32" customHeight="1">
      <c r="A5" s="41" t="n">
        <v>1</v>
      </c>
      <c r="B5" s="17" t="inlineStr">
        <is>
          <t>高</t>
        </is>
      </c>
      <c r="C5" s="8" t="inlineStr">
        <is>
          <t>指标超限</t>
        </is>
      </c>
      <c r="D5" s="34" t="inlineStr">
        <is>
          <t>水分</t>
        </is>
      </c>
      <c r="E5" s="8" t="inlineStr">
        <is>
          <t>865 ppm vs ≤0.08 %；超出上限 0.0065%（+8.13%）</t>
        </is>
      </c>
      <c r="F5" s="8" t="inlineStr">
        <is>
          <t>要求复检（约定方法）或书面技术说明；按合同质量条款主张</t>
        </is>
      </c>
      <c r="G5" s="42" t="inlineStr">
        <is>
          <t>DY-EG-260603B</t>
        </is>
      </c>
      <c r="H5" s="8" t="inlineStr"/>
    </row>
    <row r="6" ht="32" customHeight="1">
      <c r="A6" s="41" t="n">
        <v>2</v>
      </c>
      <c r="B6" s="17" t="inlineStr">
        <is>
          <t>高</t>
        </is>
      </c>
      <c r="C6" s="8" t="inlineStr">
        <is>
          <t>指标超限</t>
        </is>
      </c>
      <c r="D6" s="34" t="inlineStr">
        <is>
          <t>醛类（以乙醛计）</t>
        </is>
      </c>
      <c r="E6" s="8" t="inlineStr">
        <is>
          <t>7.2 ppm vs ≤5 ppm；超出上限 2.2ppm（+44.00%）</t>
        </is>
      </c>
      <c r="F6" s="8" t="inlineStr">
        <is>
          <t>要求复检（约定方法）或书面技术说明；按合同质量条款主张</t>
        </is>
      </c>
      <c r="G6" s="42" t="inlineStr">
        <is>
          <t>DY-EG-260603B</t>
        </is>
      </c>
      <c r="H6" s="8" t="inlineStr"/>
    </row>
    <row r="7" ht="32" customHeight="1">
      <c r="A7" s="41" t="n">
        <v>3</v>
      </c>
      <c r="B7" s="17" t="inlineStr">
        <is>
          <t>高</t>
        </is>
      </c>
      <c r="C7" s="8" t="inlineStr">
        <is>
          <t>指标超限</t>
        </is>
      </c>
      <c r="D7" s="34" t="inlineStr">
        <is>
          <t>色度</t>
        </is>
      </c>
      <c r="E7" s="8" t="inlineStr">
        <is>
          <t>12 Hazen vs ≤10 Hazen；超出上限 2Hazen（+20.00%）</t>
        </is>
      </c>
      <c r="F7" s="8" t="inlineStr">
        <is>
          <t>要求复检（约定方法）或书面技术说明；按合同质量条款主张</t>
        </is>
      </c>
      <c r="G7" s="42" t="inlineStr">
        <is>
          <t>DY-EG-260603B</t>
        </is>
      </c>
      <c r="H7" s="8" t="inlineStr"/>
    </row>
    <row r="8" ht="32" customHeight="1">
      <c r="A8" s="41" t="n">
        <v>4</v>
      </c>
      <c r="B8" s="17" t="inlineStr">
        <is>
          <t>高</t>
        </is>
      </c>
      <c r="C8" s="8" t="inlineStr">
        <is>
          <t>关键指标未检</t>
        </is>
      </c>
      <c r="D8" s="34" t="inlineStr">
        <is>
          <t>灰分</t>
        </is>
      </c>
      <c r="E8" s="8" t="inlineStr">
        <is>
          <t>规格 ≤0.002 %，COA 缺项</t>
        </is>
      </c>
      <c r="F8" s="8" t="inlineStr">
        <is>
          <t>要求补充检测结果与检测方法</t>
        </is>
      </c>
      <c r="G8" s="42" t="inlineStr">
        <is>
          <t>DY-EG-260603B</t>
        </is>
      </c>
      <c r="H8" s="8" t="inlineStr"/>
    </row>
    <row r="9" ht="32" customHeight="1">
      <c r="A9" s="41" t="n">
        <v>5</v>
      </c>
      <c r="B9" s="17" t="inlineStr">
        <is>
          <t>高</t>
        </is>
      </c>
      <c r="C9" s="8" t="inlineStr">
        <is>
          <t>关键指标未检</t>
        </is>
      </c>
      <c r="D9" s="34" t="inlineStr">
        <is>
          <t>二乙二醇(DEG)</t>
        </is>
      </c>
      <c r="E9" s="8" t="inlineStr">
        <is>
          <t>规格 ≤0.01 %，COA 缺项</t>
        </is>
      </c>
      <c r="F9" s="8" t="inlineStr">
        <is>
          <t>要求补充检测结果与检测方法</t>
        </is>
      </c>
      <c r="G9" s="42" t="inlineStr">
        <is>
          <t>DY-EG-260603B</t>
        </is>
      </c>
      <c r="H9" s="8" t="inlineStr"/>
    </row>
    <row r="10" ht="32" customHeight="1">
      <c r="A10" s="41" t="n">
        <v>6</v>
      </c>
      <c r="B10" s="17" t="inlineStr">
        <is>
          <t>高</t>
        </is>
      </c>
      <c r="C10" s="8" t="inlineStr">
        <is>
          <t>关键指标未检</t>
        </is>
      </c>
      <c r="D10" s="34" t="inlineStr">
        <is>
          <t>酸度</t>
        </is>
      </c>
      <c r="E10" s="8" t="inlineStr">
        <is>
          <t>规格 ≤0.001 %，COA 缺项</t>
        </is>
      </c>
      <c r="F10" s="8" t="inlineStr">
        <is>
          <t>要求补充检测结果与检测方法</t>
        </is>
      </c>
      <c r="G10" s="42" t="inlineStr">
        <is>
          <t>DY-EG-260603B</t>
        </is>
      </c>
      <c r="H10" s="8" t="inlineStr"/>
    </row>
    <row r="11" ht="32" customHeight="1">
      <c r="A11" s="41" t="n">
        <v>7</v>
      </c>
      <c r="B11" s="17" t="inlineStr">
        <is>
          <t>高</t>
        </is>
      </c>
      <c r="C11" s="8" t="inlineStr">
        <is>
          <t>指标超限</t>
        </is>
      </c>
      <c r="D11" s="34" t="inlineStr">
        <is>
          <t>铁含量</t>
        </is>
      </c>
      <c r="E11" s="8" t="inlineStr">
        <is>
          <t>580 ppb vs ≤0.5 ppm；超出上限 0.08ppm（+16.00%）</t>
        </is>
      </c>
      <c r="F11" s="8" t="inlineStr">
        <is>
          <t>要求复检（约定方法）或书面技术说明；按合同质量条款主张</t>
        </is>
      </c>
      <c r="G11" s="42" t="inlineStr">
        <is>
          <t>DY-EG-260603B</t>
        </is>
      </c>
      <c r="H11" s="8" t="inlineStr"/>
    </row>
    <row r="12" ht="32" customHeight="1">
      <c r="A12" s="41" t="n">
        <v>8</v>
      </c>
      <c r="B12" s="17" t="inlineStr">
        <is>
          <t>高</t>
        </is>
      </c>
      <c r="C12" s="8" t="inlineStr">
        <is>
          <t>关键指标未检</t>
        </is>
      </c>
      <c r="D12" s="34" t="inlineStr">
        <is>
          <t>蒸发残渣</t>
        </is>
      </c>
      <c r="E12" s="8" t="inlineStr">
        <is>
          <t>规格 ≤0.002 %，COA 缺项</t>
        </is>
      </c>
      <c r="F12" s="8" t="inlineStr">
        <is>
          <t>要求补充检测结果与检测方法</t>
        </is>
      </c>
      <c r="G12" s="42" t="inlineStr">
        <is>
          <t>DY-EG-260603B</t>
        </is>
      </c>
      <c r="H12" s="8" t="inlineStr"/>
    </row>
    <row r="13" ht="32" customHeight="1">
      <c r="A13" s="41" t="n">
        <v>9</v>
      </c>
      <c r="B13" s="17" t="inlineStr">
        <is>
          <t>高</t>
        </is>
      </c>
      <c r="C13" s="8" t="inlineStr">
        <is>
          <t>证书完整性</t>
        </is>
      </c>
      <c r="D13" s="34" t="inlineStr">
        <is>
          <t>批号</t>
        </is>
      </c>
      <c r="E13" s="8" t="inlineStr">
        <is>
          <t>COA 批号 DY260603B 与到货单批号 DY-EG-260603B 不一致</t>
        </is>
      </c>
      <c r="F13" s="8" t="inlineStr">
        <is>
          <t>索取补全后的正式 COA 原件（含批号、日期、方法、签章）</t>
        </is>
      </c>
      <c r="G13" s="42" t="inlineStr">
        <is>
          <t>DY-EG-260603B</t>
        </is>
      </c>
      <c r="H13" s="8" t="inlineStr"/>
    </row>
    <row r="14" ht="32" customHeight="1">
      <c r="A14" s="41" t="n">
        <v>10</v>
      </c>
      <c r="B14" s="17" t="inlineStr">
        <is>
          <t>高</t>
        </is>
      </c>
      <c r="C14" s="8" t="inlineStr">
        <is>
          <t>证书完整性</t>
        </is>
      </c>
      <c r="D14" s="34" t="inlineStr">
        <is>
          <t>结论一致性</t>
        </is>
      </c>
      <c r="E14" s="8" t="inlineStr">
        <is>
          <t>证书结论写「符合优等品要求」，但明细中有 5 项实测已超出合同/规格限值（水分、醛类（以乙醛计）、外观、色度、铁含量 等），结论与数据自相矛盾</t>
        </is>
      </c>
      <c r="F14" s="8" t="inlineStr">
        <is>
          <t>索取补全后的正式 COA 原件（含批号、日期、方法、签章）</t>
        </is>
      </c>
      <c r="G14" s="42" t="inlineStr">
        <is>
          <t>DY-EG-260603B</t>
        </is>
      </c>
      <c r="H14" s="8" t="inlineStr"/>
    </row>
    <row r="15" ht="32" customHeight="1">
      <c r="A15" s="41" t="n">
        <v>11</v>
      </c>
      <c r="B15" s="17" t="inlineStr">
        <is>
          <t>高</t>
        </is>
      </c>
      <c r="C15" s="8" t="inlineStr">
        <is>
          <t>证书完整性</t>
        </is>
      </c>
      <c r="D15" s="34" t="inlineStr">
        <is>
          <t>缺失指标</t>
        </is>
      </c>
      <c r="E15" s="8" t="inlineStr">
        <is>
          <t>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  <c r="F15" s="8" t="inlineStr">
        <is>
          <t>索取补全后的正式 COA 原件（含批号、日期、方法、签章）</t>
        </is>
      </c>
      <c r="G15" s="42" t="inlineStr">
        <is>
          <t>DY-EG-260603B</t>
        </is>
      </c>
      <c r="H15" s="8" t="inlineStr"/>
    </row>
    <row r="16" ht="32" customHeight="1">
      <c r="A16" s="41" t="n">
        <v>12</v>
      </c>
      <c r="B16" s="66" t="inlineStr">
        <is>
          <t>中</t>
        </is>
      </c>
      <c r="C16" s="8" t="inlineStr">
        <is>
          <t>指标超限</t>
        </is>
      </c>
      <c r="D16" s="34" t="inlineStr">
        <is>
          <t>外观</t>
        </is>
      </c>
      <c r="E16" s="8" t="inlineStr">
        <is>
          <t>微带浅黄色，透明度略差 — vs 无色透明、无可见机械杂质 —；非数值型不符合，不做百分比偏离，按定性结论处理</t>
        </is>
      </c>
      <c r="F16" s="8" t="inlineStr">
        <is>
          <t>要求复检（约定方法）或书面技术说明；按合同质量条款主张</t>
        </is>
      </c>
      <c r="G16" s="42" t="inlineStr">
        <is>
          <t>DY-EG-260603B</t>
        </is>
      </c>
      <c r="H16" s="8" t="inlineStr"/>
    </row>
    <row r="17" ht="32" customHeight="1">
      <c r="A17" s="41" t="n">
        <v>13</v>
      </c>
      <c r="B17" s="66" t="inlineStr">
        <is>
          <t>中</t>
        </is>
      </c>
      <c r="C17" s="8" t="inlineStr">
        <is>
          <t>证书完整性</t>
        </is>
      </c>
      <c r="D17" s="34" t="inlineStr">
        <is>
          <t>检出限</t>
        </is>
      </c>
      <c r="E17" s="8" t="inlineStr">
        <is>
          <t>微量杂质「水分」报 865 ppm，但未标注检出限</t>
        </is>
      </c>
      <c r="F17" s="8" t="inlineStr">
        <is>
          <t>索取补全后的正式 COA 原件（含批号、日期、方法、签章）</t>
        </is>
      </c>
      <c r="G17" s="42" t="inlineStr">
        <is>
          <t>DY-EG-260603B</t>
        </is>
      </c>
      <c r="H17" s="8" t="inlineStr"/>
    </row>
    <row r="18" ht="32" customHeight="1">
      <c r="A18" s="41" t="n">
        <v>14</v>
      </c>
      <c r="B18" s="66" t="inlineStr">
        <is>
          <t>中</t>
        </is>
      </c>
      <c r="C18" s="8" t="inlineStr">
        <is>
          <t>证书完整性</t>
        </is>
      </c>
      <c r="D18" s="34" t="inlineStr">
        <is>
          <t>检出限</t>
        </is>
      </c>
      <c r="E18" s="8" t="inlineStr">
        <is>
          <t>微量杂质「醛类（以乙醛计）」报 7.2 ppm，但未标注检出限</t>
        </is>
      </c>
      <c r="F18" s="8" t="inlineStr">
        <is>
          <t>索取补全后的正式 COA 原件（含批号、日期、方法、签章）</t>
        </is>
      </c>
      <c r="G18" s="42" t="inlineStr">
        <is>
          <t>DY-EG-260603B</t>
        </is>
      </c>
      <c r="H18" s="8" t="inlineStr"/>
    </row>
    <row r="19" ht="32" customHeight="1">
      <c r="A19" s="41" t="n">
        <v>15</v>
      </c>
      <c r="B19" s="66" t="inlineStr">
        <is>
          <t>中</t>
        </is>
      </c>
      <c r="C19" s="8" t="inlineStr">
        <is>
          <t>方法差异</t>
        </is>
      </c>
      <c r="D19" s="34" t="inlineStr">
        <is>
          <t>酸度</t>
        </is>
      </c>
      <c r="E19" s="8" t="inlineStr">
        <is>
          <t>— vs GB/T 14571.4</t>
        </is>
      </c>
      <c r="F19" s="8" t="inlineStr">
        <is>
          <t>要求说明方法选择理由，或按约定方法复测</t>
        </is>
      </c>
      <c r="G19" s="42" t="inlineStr">
        <is>
          <t>DY-EG-260603B</t>
        </is>
      </c>
      <c r="H19" s="8" t="inlineStr"/>
    </row>
  </sheetData>
  <autoFilter ref="A4:H19"/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30" customWidth="1" min="4" max="4"/>
    <col width="66" customWidth="1" min="5" max="5"/>
    <col width="50" customWidth="1" min="6" max="6"/>
    <col width="40" customWidth="1" min="7" max="7"/>
    <col width="10" customWidth="1" min="8" max="8"/>
    <col width="6" customWidth="1" min="9" max="9"/>
  </cols>
  <sheetData>
    <row r="1" ht="26" customHeight="1">
      <c r="A1" s="1" t="inlineStr">
        <is>
          <t>质量异议要点</t>
        </is>
      </c>
    </row>
    <row r="2" ht="30" customHeight="1">
      <c r="A2" s="2" t="inlineStr">
        <is>
          <t>每条要点都能指回一条原始数据或一个文件位置；未列入函件的只作内部留档</t>
        </is>
      </c>
    </row>
    <row r="4" ht="30" customHeight="1">
      <c r="A4" s="12" t="inlineStr">
        <is>
          <t>序</t>
        </is>
      </c>
      <c r="B4" s="12" t="inlineStr">
        <is>
          <t>严重度</t>
        </is>
      </c>
      <c r="C4" s="12" t="inlineStr">
        <is>
          <t>类别</t>
        </is>
      </c>
      <c r="D4" s="12" t="inlineStr">
        <is>
          <t>异议标题</t>
        </is>
      </c>
      <c r="E4" s="12" t="inlineStr">
        <is>
          <t>事实（可直接写入函件）</t>
        </is>
      </c>
      <c r="F4" s="12" t="inlineStr">
        <is>
          <t>要求供应商做什么</t>
        </is>
      </c>
      <c r="G4" s="12" t="inlineStr">
        <is>
          <t>依据文件与位置</t>
        </is>
      </c>
      <c r="H4" s="12" t="inlineStr">
        <is>
          <t>是否入函</t>
        </is>
      </c>
      <c r="I4" s="12" t="inlineStr"/>
    </row>
    <row r="5" ht="58" customHeight="1">
      <c r="A5" s="41" t="n">
        <v>1</v>
      </c>
      <c r="B5" s="17" t="inlineStr">
        <is>
          <t>高</t>
        </is>
      </c>
      <c r="C5" s="42" t="inlineStr">
        <is>
          <t>指标超限</t>
        </is>
      </c>
      <c r="D5" s="34" t="inlineStr">
        <is>
          <t>水分 超出规格</t>
        </is>
      </c>
      <c r="E5" s="8" t="inlineStr">
        <is>
          <t>COA 实测 水分 865 ppm，合同/规格要求 ≤0.08 %（依据：合同技术附件 CMSY-HT-2026-0417-附件2，检测方法：GB/T 6283-2008）；超上限，偏离 +8.13%（0.0065 %）</t>
        </is>
      </c>
      <c r="F5" s="8" t="inlineStr">
        <is>
          <t>请提供该批次的复检报告（同一样品、约定方法），或出具书面技术说明；并对本批次与我方约定用途的适用性给出明确意见</t>
        </is>
      </c>
      <c r="G5" s="8" t="inlineStr">
        <is>
          <t>COA · COA-B 表 第2行；规格 · 技术附件 §3.2 表3-1 第2行</t>
        </is>
      </c>
      <c r="H5" s="42" t="inlineStr">
        <is>
          <t>是</t>
        </is>
      </c>
      <c r="I5" s="8" t="inlineStr"/>
    </row>
    <row r="6" ht="58" customHeight="1">
      <c r="A6" s="41" t="n">
        <v>2</v>
      </c>
      <c r="B6" s="17" t="inlineStr">
        <is>
          <t>高</t>
        </is>
      </c>
      <c r="C6" s="42" t="inlineStr">
        <is>
          <t>指标超限</t>
        </is>
      </c>
      <c r="D6" s="34" t="inlineStr">
        <is>
          <t>醛类（以乙醛计） 超出规格</t>
        </is>
      </c>
      <c r="E6" s="8" t="inlineStr">
        <is>
          <t>COA 实测 醛类（以乙醛计） 7.2 ppm，合同/规格要求 ≤5 ppm（依据：合同技术附件 CMSY-HT-2026-0417-附件2，检测方法：GB/T 14571.6-2018）；超上限，偏离 +44.00%（2.2 ppm）</t>
        </is>
      </c>
      <c r="F6" s="8" t="inlineStr">
        <is>
          <t>请提供该批次的复检报告（同一样品、约定方法），或出具书面技术说明；并对本批次与我方约定用途的适用性给出明确意见</t>
        </is>
      </c>
      <c r="G6" s="8" t="inlineStr">
        <is>
          <t>COA · COA-B 表 第4行；规格 · 技术附件 §3.3 特殊质量条款</t>
        </is>
      </c>
      <c r="H6" s="42" t="inlineStr">
        <is>
          <t>是</t>
        </is>
      </c>
      <c r="I6" s="8" t="inlineStr"/>
    </row>
    <row r="7" ht="58" customHeight="1">
      <c r="A7" s="41" t="n">
        <v>3</v>
      </c>
      <c r="B7" s="17" t="inlineStr">
        <is>
          <t>高</t>
        </is>
      </c>
      <c r="C7" s="42" t="inlineStr">
        <is>
          <t>指标超限</t>
        </is>
      </c>
      <c r="D7" s="34" t="inlineStr">
        <is>
          <t>色度 超出规格</t>
        </is>
      </c>
      <c r="E7" s="8" t="inlineStr">
        <is>
          <t>COA 实测 色度 12 Hazen，合同/规格要求 ≤10 Hazen（依据：合同技术附件 CMSY-HT-2026-0417-附件2，检测方法：GB/T 3143-1982）；超上限，偏离 +20.00%（2 Hazen）</t>
        </is>
      </c>
      <c r="F7" s="8" t="inlineStr">
        <is>
          <t>请提供该批次的复检报告（同一样品、约定方法），或出具书面技术说明；并对本批次与我方约定用途的适用性给出明确意见</t>
        </is>
      </c>
      <c r="G7" s="8" t="inlineStr">
        <is>
          <t>COA · COA-B 表 第5行；规格 · 技术附件 §3.2 表3-1 第3行</t>
        </is>
      </c>
      <c r="H7" s="42" t="inlineStr">
        <is>
          <t>是</t>
        </is>
      </c>
      <c r="I7" s="8" t="inlineStr"/>
    </row>
    <row r="8" ht="58" customHeight="1">
      <c r="A8" s="41" t="n">
        <v>4</v>
      </c>
      <c r="B8" s="17" t="inlineStr">
        <is>
          <t>高</t>
        </is>
      </c>
      <c r="C8" s="42" t="inlineStr">
        <is>
          <t>指标超限</t>
        </is>
      </c>
      <c r="D8" s="34" t="inlineStr">
        <is>
          <t>铁含量 超出规格</t>
        </is>
      </c>
      <c r="E8" s="8" t="inlineStr">
        <is>
          <t>COA 实测 铁含量 580 ppb，合同/规格要求 ≤0.5 ppm（依据：采购规格书 CMSY-QS-MEG-2026-03，检测方法：GB/T 14571.3-2018）；超上限，偏离 +16.00%（0.08 ppm）</t>
        </is>
      </c>
      <c r="F8" s="8" t="inlineStr">
        <is>
          <t>请提供该批次的复检报告（同一样品、约定方法），或出具书面技术说明；并对本批次与我方约定用途的适用性给出明确意见</t>
        </is>
      </c>
      <c r="G8" s="8" t="inlineStr">
        <is>
          <t>COA · COA-B 表 第3行；规格 · 规格书 §4.1 表1 第5行（注1：铁以 Fe 计，ppb 表示时须换算）</t>
        </is>
      </c>
      <c r="H8" s="42" t="inlineStr">
        <is>
          <t>是</t>
        </is>
      </c>
      <c r="I8" s="8" t="inlineStr"/>
    </row>
    <row r="9" ht="58" customHeight="1">
      <c r="A9" s="41" t="n">
        <v>5</v>
      </c>
      <c r="B9" s="17" t="inlineStr">
        <is>
          <t>高</t>
        </is>
      </c>
      <c r="C9" s="42" t="inlineStr">
        <is>
          <t>缺项</t>
        </is>
      </c>
      <c r="D9" s="34" t="inlineStr">
        <is>
          <t>4 项规格约定指标 COA 缺失或未检测</t>
        </is>
      </c>
      <c r="E9" s="8" t="inlineStr">
        <is>
          <t>合同/规格已约定以下指标限值，COA 未给出实测值：灰分（≤0.002 %）、二乙二醇(DEG)（≤0.01 %）、酸度（≤0.001 %）、蒸发残渣（≤0.002 %）</t>
        </is>
      </c>
      <c r="F9" s="8" t="inlineStr">
        <is>
          <t>请补充上述指标的检测结果，并在报告中注明检测方法与检出限（明细：灰分：原表标注未检测；二乙二醇(DEG)：原表标注未检测；酸度：原表标注未检测；蒸发残渣：原表标注未检测）</t>
        </is>
      </c>
      <c r="G9" s="8" t="inlineStr">
        <is>
          <t>COA；规格 · 技术附件 §3.2 表3-1 第6行；规格 · 技术附件 §3.3 特殊质量条款（合同新增，规格书未约定）；规格 · 规格书 §4.1 表1 第4行；规格 · 规格书 §4.1 表1 第10行</t>
        </is>
      </c>
      <c r="H9" s="42" t="inlineStr">
        <is>
          <t>是</t>
        </is>
      </c>
      <c r="I9" s="8" t="inlineStr"/>
    </row>
    <row r="10" ht="58" customHeight="1">
      <c r="A10" s="41" t="n">
        <v>6</v>
      </c>
      <c r="B10" s="17" t="inlineStr">
        <is>
          <t>高</t>
        </is>
      </c>
      <c r="C10" s="42" t="inlineStr">
        <is>
          <t>证书完整性</t>
        </is>
      </c>
      <c r="D10" s="34" t="inlineStr">
        <is>
          <t>批号</t>
        </is>
      </c>
      <c r="E10" s="8" t="inlineStr">
        <is>
          <t>COA 批号 DY260603B 与到货单批号 DY-EG-260603B 不一致</t>
        </is>
      </c>
      <c r="F10" s="8" t="inlineStr">
        <is>
          <t>要求供应商出具批号对应说明，否则该 COA 不能证明本批货</t>
        </is>
      </c>
      <c r="G10" s="8" t="inlineStr">
        <is>
          <t>COA</t>
        </is>
      </c>
      <c r="H10" s="42" t="inlineStr">
        <is>
          <t>是</t>
        </is>
      </c>
      <c r="I10" s="8" t="inlineStr"/>
    </row>
    <row r="11" ht="58" customHeight="1">
      <c r="A11" s="41" t="n">
        <v>7</v>
      </c>
      <c r="B11" s="17" t="inlineStr">
        <is>
          <t>高</t>
        </is>
      </c>
      <c r="C11" s="42" t="inlineStr">
        <is>
          <t>证书完整性</t>
        </is>
      </c>
      <c r="D11" s="34" t="inlineStr">
        <is>
          <t>结论一致性</t>
        </is>
      </c>
      <c r="E11" s="8" t="inlineStr">
        <is>
          <t>证书结论写「符合优等品要求」，但明细中有 5 项实测已超出合同/规格限值（水分、醛类（以乙醛计）、外观、色度、铁含量 等），结论与数据自相矛盾</t>
        </is>
      </c>
      <c r="F11" s="8" t="inlineStr">
        <is>
          <t>要求书面说明结论判定依据；如系笔误应作废重发，不得以'结论合格'覆盖超限数据</t>
        </is>
      </c>
      <c r="G11" s="8" t="inlineStr">
        <is>
          <t>COA</t>
        </is>
      </c>
      <c r="H11" s="42" t="inlineStr">
        <is>
          <t>是</t>
        </is>
      </c>
      <c r="I11" s="8" t="inlineStr"/>
    </row>
    <row r="12" ht="58" customHeight="1">
      <c r="A12" s="41" t="n">
        <v>8</v>
      </c>
      <c r="B12" s="17" t="inlineStr">
        <is>
          <t>高</t>
        </is>
      </c>
      <c r="C12" s="42" t="inlineStr">
        <is>
          <t>证书完整性</t>
        </is>
      </c>
      <c r="D12" s="34" t="inlineStr">
        <is>
          <t>缺失指标</t>
        </is>
      </c>
      <c r="E12" s="8" t="inlineStr">
        <is>
          <t>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  <c r="F12" s="8" t="inlineStr">
        <is>
          <t>要求补充上列指标的检测结果，并注明检测方法与检出限</t>
        </is>
      </c>
      <c r="G12" s="8" t="inlineStr">
        <is>
          <t>COA</t>
        </is>
      </c>
      <c r="H12" s="42" t="inlineStr">
        <is>
          <t>是</t>
        </is>
      </c>
      <c r="I12" s="8" t="inlineStr"/>
    </row>
    <row r="13" ht="58" customHeight="1">
      <c r="A13" s="41" t="n">
        <v>9</v>
      </c>
      <c r="B13" s="66" t="inlineStr">
        <is>
          <t>中</t>
        </is>
      </c>
      <c r="C13" s="42" t="inlineStr">
        <is>
          <t>指标超限</t>
        </is>
      </c>
      <c r="D13" s="34" t="inlineStr">
        <is>
          <t>外观 超出规格</t>
        </is>
      </c>
      <c r="E13" s="8" t="inlineStr">
        <is>
          <t>COA 实测 外观 微带浅黄色，透明度略差 —，合同/规格要求 无色透明、无可见机械杂质 —（依据：合同技术附件 CMSY-HT-2026-0417-附件2，检测方法：目视法）；COA 描述与规格描述不一致（定性项，以原始目视记录/照片复核为准）</t>
        </is>
      </c>
      <c r="F13" s="8" t="inlineStr">
        <is>
          <t>请提供该批次的复检报告（同一样品、约定方法），或出具书面技术说明；并对本批次与我方约定用途的适用性给出明确意见</t>
        </is>
      </c>
      <c r="G13" s="8" t="inlineStr">
        <is>
          <t>COA · COA-B 表 第7行；规格 · 技术附件 §3.2 表3-1 第9行</t>
        </is>
      </c>
      <c r="H13" s="42" t="inlineStr">
        <is>
          <t>是</t>
        </is>
      </c>
      <c r="I13" s="8" t="inlineStr"/>
    </row>
    <row r="14" ht="58" customHeight="1">
      <c r="A14" s="41" t="n">
        <v>10</v>
      </c>
      <c r="B14" s="66" t="inlineStr">
        <is>
          <t>中</t>
        </is>
      </c>
      <c r="C14" s="42" t="inlineStr">
        <is>
          <t>方法差异</t>
        </is>
      </c>
      <c r="D14" s="34" t="inlineStr">
        <is>
          <t>灰分 未标注检测方法</t>
        </is>
      </c>
      <c r="E14" s="8" t="inlineStr">
        <is>
          <t>该指标 COA 未给出检测方法（合同/规格约定 GB/T 14571.5），无法确认是否按约定方法检验</t>
        </is>
      </c>
      <c r="F14" s="8" t="inlineStr">
        <is>
          <t>要求在 COA 中补齐该指标的检测方法编号</t>
        </is>
      </c>
      <c r="G14" s="8" t="inlineStr">
        <is>
          <t>COA；规格</t>
        </is>
      </c>
      <c r="H14" s="42" t="inlineStr">
        <is>
          <t>是</t>
        </is>
      </c>
      <c r="I14" s="8" t="inlineStr"/>
    </row>
    <row r="15" ht="58" customHeight="1">
      <c r="A15" s="41" t="n">
        <v>11</v>
      </c>
      <c r="B15" s="66" t="inlineStr">
        <is>
          <t>中</t>
        </is>
      </c>
      <c r="C15" s="42" t="inlineStr">
        <is>
          <t>方法差异</t>
        </is>
      </c>
      <c r="D15" s="34" t="inlineStr">
        <is>
          <t>二乙二醇(DEG) 未标注检测方法</t>
        </is>
      </c>
      <c r="E15" s="8" t="inlineStr">
        <is>
          <t>该指标 COA 未给出检测方法（合同/规格约定 GB/T 14571.7），无法确认是否按约定方法检验</t>
        </is>
      </c>
      <c r="F15" s="8" t="inlineStr">
        <is>
          <t>要求在 COA 中补齐该指标的检测方法编号</t>
        </is>
      </c>
      <c r="G15" s="8" t="inlineStr">
        <is>
          <t>COA；规格</t>
        </is>
      </c>
      <c r="H15" s="42" t="inlineStr">
        <is>
          <t>是</t>
        </is>
      </c>
      <c r="I15" s="8" t="inlineStr"/>
    </row>
    <row r="16" ht="58" customHeight="1">
      <c r="A16" s="41" t="n">
        <v>12</v>
      </c>
      <c r="B16" s="66" t="inlineStr">
        <is>
          <t>中</t>
        </is>
      </c>
      <c r="C16" s="42" t="inlineStr">
        <is>
          <t>方法差异</t>
        </is>
      </c>
      <c r="D16" s="34" t="inlineStr">
        <is>
          <t>酸度 检测方法与约定不同</t>
        </is>
      </c>
      <c r="E16" s="8" t="inlineStr">
        <is>
          <t>COA 未标注方法，合同/规格约定 GB/T 14571.4。滴定法下限受终点判断影响，接近方法检出下限时宜用离子色谱复核</t>
        </is>
      </c>
      <c r="F16" s="8" t="inlineStr">
        <is>
          <t>请说明方法选择理由，并按约定方法复测；如主张方法等效，请提供方法比对/验证数据</t>
        </is>
      </c>
      <c r="G16" s="8" t="inlineStr">
        <is>
          <t>COA；规格</t>
        </is>
      </c>
      <c r="H16" s="42" t="inlineStr">
        <is>
          <t>是</t>
        </is>
      </c>
      <c r="I16" s="8" t="inlineStr"/>
    </row>
    <row r="17" ht="58" customHeight="1">
      <c r="A17" s="41" t="n">
        <v>13</v>
      </c>
      <c r="B17" s="66" t="inlineStr">
        <is>
          <t>中</t>
        </is>
      </c>
      <c r="C17" s="42" t="inlineStr">
        <is>
          <t>方法差异</t>
        </is>
      </c>
      <c r="D17" s="34" t="inlineStr">
        <is>
          <t>蒸发残渣 未标注检测方法</t>
        </is>
      </c>
      <c r="E17" s="8" t="inlineStr">
        <is>
          <t>该指标 COA 未给出检测方法（合同/规格约定 GB/T 6324.2），无法确认是否按约定方法检验</t>
        </is>
      </c>
      <c r="F17" s="8" t="inlineStr">
        <is>
          <t>要求在 COA 中补齐该指标的检测方法编号</t>
        </is>
      </c>
      <c r="G17" s="8" t="inlineStr">
        <is>
          <t>COA；规格</t>
        </is>
      </c>
      <c r="H17" s="42" t="inlineStr">
        <is>
          <t>是</t>
        </is>
      </c>
      <c r="I17" s="8" t="inlineStr"/>
    </row>
    <row r="20" ht="20" customHeight="1">
      <c r="A20" s="6" t="inlineStr">
        <is>
          <t>函件草稿 · 正式 · 质量异议函</t>
        </is>
      </c>
    </row>
    <row r="21" ht="18" customHeight="1">
      <c r="A21" s="70" t="inlineStr">
        <is>
          <t>致：浙江东越石化有限公司（模拟）（质量部 / qa@example-supplier.cn（模拟邮箱））</t>
        </is>
      </c>
    </row>
    <row r="22" ht="8" customHeight="1">
      <c r="A22" s="70" t="inlineStr"/>
    </row>
    <row r="23" ht="18" customHeight="1">
      <c r="A23" s="70" t="inlineStr">
        <is>
          <t>主题：工业用乙二醇到货批次质量异议 — 批号 DY260603B</t>
        </is>
      </c>
    </row>
    <row r="24" ht="8" customHeight="1">
      <c r="A24" s="70" t="inlineStr"/>
    </row>
    <row r="25" ht="18" customHeight="1">
      <c r="A25" s="70" t="inlineStr">
        <is>
          <t>周敏：</t>
        </is>
      </c>
    </row>
    <row r="26" ht="18" customHeight="1">
      <c r="A26" s="70" t="inlineStr">
        <is>
          <t>经核对贵司交付的工业用乙二醇（我方于 2026-06-06 到货；批号 DY260603B；随车《质量分析证书》编号 DY-QC-26-0603），现将需要贵司书面回复的事项列明如下：</t>
        </is>
      </c>
    </row>
    <row r="27" ht="8" customHeight="1">
      <c r="A27" s="70" t="inlineStr"/>
    </row>
    <row r="28" ht="18" customHeight="1">
      <c r="A28" s="70" t="inlineStr">
        <is>
          <t>1.【高】水分 超出规格</t>
        </is>
      </c>
    </row>
    <row r="29" ht="18" customHeight="1">
      <c r="A29" s="70" t="inlineStr">
        <is>
          <t xml:space="preserve">   情况：COA 实测 水分 865 ppm，合同/规格要求 ≤0.08 %（依据：合同技术附件 CMSY-HT-2026-0417-附件2，检测方法：GB/T 6283-2008）；超上限，偏离 +8.13%（0.0065 %）</t>
        </is>
      </c>
    </row>
    <row r="30" ht="18" customHeight="1">
      <c r="A30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31" ht="8" customHeight="1">
      <c r="A31" s="70" t="inlineStr"/>
    </row>
    <row r="32" ht="18" customHeight="1">
      <c r="A32" s="70" t="inlineStr">
        <is>
          <t>2.【高】醛类（以乙醛计） 超出规格</t>
        </is>
      </c>
    </row>
    <row r="33" ht="18" customHeight="1">
      <c r="A33" s="70" t="inlineStr">
        <is>
          <t xml:space="preserve">   情况：COA 实测 醛类（以乙醛计） 7.2 ppm，合同/规格要求 ≤5 ppm（依据：合同技术附件 CMSY-HT-2026-0417-附件2，检测方法：GB/T 14571.6-2018）；超上限，偏离 +44.00%（2.2 ppm）</t>
        </is>
      </c>
    </row>
    <row r="34" ht="18" customHeight="1">
      <c r="A34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35" ht="8" customHeight="1">
      <c r="A35" s="70" t="inlineStr"/>
    </row>
    <row r="36" ht="18" customHeight="1">
      <c r="A36" s="70" t="inlineStr">
        <is>
          <t>3.【高】色度 超出规格</t>
        </is>
      </c>
    </row>
    <row r="37" ht="18" customHeight="1">
      <c r="A37" s="70" t="inlineStr">
        <is>
          <t xml:space="preserve">   情况：COA 实测 色度 12 Hazen，合同/规格要求 ≤10 Hazen（依据：合同技术附件 CMSY-HT-2026-0417-附件2，检测方法：GB/T 3143-1982）；超上限，偏离 +20.00%（2 Hazen）</t>
        </is>
      </c>
    </row>
    <row r="38" ht="18" customHeight="1">
      <c r="A38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39" ht="8" customHeight="1">
      <c r="A39" s="70" t="inlineStr"/>
    </row>
    <row r="40" ht="18" customHeight="1">
      <c r="A40" s="70" t="inlineStr">
        <is>
          <t>4.【高】铁含量 超出规格</t>
        </is>
      </c>
    </row>
    <row r="41" ht="18" customHeight="1">
      <c r="A41" s="70" t="inlineStr">
        <is>
          <t xml:space="preserve">   情况：COA 实测 铁含量 580 ppb，合同/规格要求 ≤0.5 ppm（依据：采购规格书 CMSY-QS-MEG-2026-03，检测方法：GB/T 14571.3-2018）；超上限，偏离 +16.00%（0.08 ppm）</t>
        </is>
      </c>
    </row>
    <row r="42" ht="18" customHeight="1">
      <c r="A42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43" ht="8" customHeight="1">
      <c r="A43" s="70" t="inlineStr"/>
    </row>
    <row r="44" ht="18" customHeight="1">
      <c r="A44" s="70" t="inlineStr">
        <is>
          <t>5.【高】4 项规格约定指标 COA 缺失或未检测</t>
        </is>
      </c>
    </row>
    <row r="45" ht="18" customHeight="1">
      <c r="A45" s="70" t="inlineStr">
        <is>
          <t xml:space="preserve">   情况：合同/规格已约定以下指标限值，COA 未给出实测值：灰分（≤0.002 %）、二乙二醇(DEG)（≤0.01 %）、酸度（≤0.001 %）、蒸发残渣（≤0.002 %）</t>
        </is>
      </c>
    </row>
    <row r="46" ht="18" customHeight="1">
      <c r="A46" s="70" t="inlineStr">
        <is>
          <t xml:space="preserve">   请贵司：请补充上述指标的检测结果，并在报告中注明检测方法与检出限（明细：灰分：原表标注未检测；二乙二醇(DEG)：原表标注未检测；酸度：原表标注未检测；蒸发残渣：原表标注未检测）</t>
        </is>
      </c>
    </row>
    <row r="47" ht="8" customHeight="1">
      <c r="A47" s="70" t="inlineStr"/>
    </row>
    <row r="48" ht="18" customHeight="1">
      <c r="A48" s="70" t="inlineStr">
        <is>
          <t>6.【高】批号</t>
        </is>
      </c>
    </row>
    <row r="49" ht="18" customHeight="1">
      <c r="A49" s="70" t="inlineStr">
        <is>
          <t xml:space="preserve">   情况：COA 批号 DY260603B 与到货单批号 DY-EG-260603B 不一致</t>
        </is>
      </c>
    </row>
    <row r="50" ht="18" customHeight="1">
      <c r="A50" s="70" t="inlineStr">
        <is>
          <t xml:space="preserve">   请贵司：要求供应商出具批号对应说明，否则该 COA 不能证明本批货</t>
        </is>
      </c>
    </row>
    <row r="51" ht="8" customHeight="1">
      <c r="A51" s="70" t="inlineStr"/>
    </row>
    <row r="52" ht="18" customHeight="1">
      <c r="A52" s="70" t="inlineStr">
        <is>
          <t>7.【高】结论一致性</t>
        </is>
      </c>
    </row>
    <row r="53" ht="18" customHeight="1">
      <c r="A53" s="70" t="inlineStr">
        <is>
          <t xml:space="preserve">   情况：证书结论写「符合优等品要求」，但明细中有 5 项实测已超出合同/规格限值（水分、醛类（以乙醛计）、外观、色度、铁含量 等），结论与数据自相矛盾</t>
        </is>
      </c>
    </row>
    <row r="54" ht="18" customHeight="1">
      <c r="A54" s="70" t="inlineStr">
        <is>
          <t xml:space="preserve">   请贵司：要求书面说明结论判定依据；如系笔误应作废重发，不得以'结论合格'覆盖超限数据</t>
        </is>
      </c>
    </row>
    <row r="55" ht="8" customHeight="1">
      <c r="A55" s="70" t="inlineStr"/>
    </row>
    <row r="56" ht="18" customHeight="1">
      <c r="A56" s="70" t="inlineStr">
        <is>
          <t>8.【高】缺失指标</t>
        </is>
      </c>
    </row>
    <row r="57" ht="18" customHeight="1">
      <c r="A57" s="70" t="inlineStr">
        <is>
          <t xml:space="preserve">   情况：4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</row>
    <row r="58" ht="18" customHeight="1">
      <c r="A58" s="70" t="inlineStr">
        <is>
          <t xml:space="preserve">   请贵司：要求补充上列指标的检测结果，并注明检测方法与检出限</t>
        </is>
      </c>
    </row>
    <row r="59" ht="8" customHeight="1">
      <c r="A59" s="70" t="inlineStr"/>
    </row>
    <row r="60" ht="18" customHeight="1">
      <c r="A60" s="70" t="inlineStr">
        <is>
          <t>9.【中】外观 超出规格</t>
        </is>
      </c>
    </row>
    <row r="61" ht="18" customHeight="1">
      <c r="A61" s="70" t="inlineStr">
        <is>
          <t xml:space="preserve">   情况：COA 实测 外观 微带浅黄色，透明度略差 —，合同/规格要求 无色透明、无可见机械杂质 —（依据：合同技术附件 CMSY-HT-2026-0417-附件2，检测方法：目视法）；COA 描述与规格描述不一致（定性项，以原始目视记录/照片复核为准）</t>
        </is>
      </c>
    </row>
    <row r="62" ht="18" customHeight="1">
      <c r="A62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63" ht="8" customHeight="1">
      <c r="A63" s="70" t="inlineStr"/>
    </row>
    <row r="64" ht="18" customHeight="1">
      <c r="A64" s="70" t="inlineStr">
        <is>
          <t>10.【中】灰分 未标注检测方法</t>
        </is>
      </c>
    </row>
    <row r="65" ht="18" customHeight="1">
      <c r="A65" s="70" t="inlineStr">
        <is>
          <t xml:space="preserve">   情况：该指标 COA 未给出检测方法（合同/规格约定 GB/T 14571.5），无法确认是否按约定方法检验</t>
        </is>
      </c>
    </row>
    <row r="66" ht="18" customHeight="1">
      <c r="A66" s="70" t="inlineStr">
        <is>
          <t xml:space="preserve">   请贵司：要求在 COA 中补齐该指标的检测方法编号</t>
        </is>
      </c>
    </row>
    <row r="67" ht="8" customHeight="1">
      <c r="A67" s="70" t="inlineStr"/>
    </row>
    <row r="68" ht="18" customHeight="1">
      <c r="A68" s="70" t="inlineStr">
        <is>
          <t>11.【中】二乙二醇(DEG) 未标注检测方法</t>
        </is>
      </c>
    </row>
    <row r="69" ht="18" customHeight="1">
      <c r="A69" s="70" t="inlineStr">
        <is>
          <t xml:space="preserve">   情况：该指标 COA 未给出检测方法（合同/规格约定 GB/T 14571.7），无法确认是否按约定方法检验</t>
        </is>
      </c>
    </row>
    <row r="70" ht="18" customHeight="1">
      <c r="A70" s="70" t="inlineStr">
        <is>
          <t xml:space="preserve">   请贵司：要求在 COA 中补齐该指标的检测方法编号</t>
        </is>
      </c>
    </row>
    <row r="71" ht="8" customHeight="1">
      <c r="A71" s="70" t="inlineStr"/>
    </row>
    <row r="72" ht="18" customHeight="1">
      <c r="A72" s="70" t="inlineStr">
        <is>
          <t>12.【中】酸度 检测方法与约定不同</t>
        </is>
      </c>
    </row>
    <row r="73" ht="18" customHeight="1">
      <c r="A73" s="70" t="inlineStr">
        <is>
          <t xml:space="preserve">   情况：COA 未标注方法，合同/规格约定 GB/T 14571.4。滴定法下限受终点判断影响，接近方法检出下限时宜用离子色谱复核</t>
        </is>
      </c>
    </row>
    <row r="74" ht="18" customHeight="1">
      <c r="A74" s="70" t="inlineStr">
        <is>
          <t xml:space="preserve">   请贵司：请说明方法选择理由，并按约定方法复测；如主张方法等效，请提供方法比对/验证数据</t>
        </is>
      </c>
    </row>
    <row r="75" ht="8" customHeight="1">
      <c r="A75" s="70" t="inlineStr"/>
    </row>
    <row r="76" ht="18" customHeight="1">
      <c r="A76" s="70" t="inlineStr">
        <is>
          <t>13.【中】蒸发残渣 未标注检测方法</t>
        </is>
      </c>
    </row>
    <row r="77" ht="18" customHeight="1">
      <c r="A77" s="70" t="inlineStr">
        <is>
          <t xml:space="preserve">   情况：该指标 COA 未给出检测方法（合同/规格约定 GB/T 6324.2），无法确认是否按约定方法检验</t>
        </is>
      </c>
    </row>
    <row r="78" ht="18" customHeight="1">
      <c r="A78" s="70" t="inlineStr">
        <is>
          <t xml:space="preserve">   请贵司：要求在 COA 中补齐该指标的检测方法编号</t>
        </is>
      </c>
    </row>
    <row r="79" ht="8" customHeight="1">
      <c r="A79" s="70" t="inlineStr"/>
    </row>
    <row r="80" ht="18" customHeight="1">
      <c r="A80" s="70" t="inlineStr">
        <is>
          <t>以上事项请于收到本函后 3 个工作日内以书面形式回复。在贵司答复及我方完成复检确认前，本批次的质量责任与处置方式按合同质量条款执行。</t>
        </is>
      </c>
    </row>
    <row r="81" ht="18" customHeight="1">
      <c r="A81" s="70" t="inlineStr">
        <is>
          <t>另：本批 COA 存在 3 项高优先级完整性缺陷（批号、结论一致性、缺失指标），请一并核对后补发正式证书。</t>
        </is>
      </c>
    </row>
    <row r="82" ht="8" customHeight="1">
      <c r="A82" s="70" t="inlineStr"/>
    </row>
    <row r="83" ht="18" customHeight="1">
      <c r="A83" s="70" t="inlineStr">
        <is>
          <t>附件：1) 质量分析证书（原件扫描件）2) 采购质量规格书相关条款 3) 指标逐项比对表</t>
        </is>
      </c>
    </row>
    <row r="84" ht="18" customHeight="1">
      <c r="A84" s="70" t="inlineStr">
        <is>
          <t>联系人：采购部 林工  采购部 / lin.mm@example-buyer.cn（模拟邮箱）</t>
        </is>
      </c>
    </row>
    <row r="86" ht="20" customHeight="1">
      <c r="A86" s="6" t="inlineStr">
        <is>
          <t>函件草稿 · 强硬 · 索赔前置</t>
        </is>
      </c>
    </row>
    <row r="87" ht="18" customHeight="1">
      <c r="A87" s="70" t="inlineStr">
        <is>
          <t>主题：【质量异议】工业用乙二醇 批号 DY260603B 未满足合同技术附件约定</t>
        </is>
      </c>
    </row>
    <row r="88" ht="8" customHeight="1">
      <c r="A88" s="70" t="inlineStr"/>
    </row>
    <row r="89" ht="18" customHeight="1">
      <c r="A89" s="70" t="inlineStr">
        <is>
          <t>周敏：</t>
        </is>
      </c>
    </row>
    <row r="90" ht="8" customHeight="1">
      <c r="A90" s="70" t="inlineStr"/>
    </row>
    <row r="91" ht="18" customHeight="1">
      <c r="A91" s="70" t="inlineStr">
        <is>
          <t>经核对，贵司随货提供的《质量分析证书》与我方采购质量规格书（CMSY-QS-MEG-2026-03 Rev.C / CMSY-HT-2026-0417 附件2）存在下列不符之处，请在 3 个工作日内书面答复：</t>
        </is>
      </c>
    </row>
    <row r="92" ht="8" customHeight="1">
      <c r="A92" s="70" t="inlineStr"/>
    </row>
    <row r="93" ht="18" customHeight="1">
      <c r="A93" s="70" t="inlineStr">
        <is>
          <t>1.【高】水分 超出规格</t>
        </is>
      </c>
    </row>
    <row r="94" ht="18" customHeight="1">
      <c r="A94" s="70" t="inlineStr">
        <is>
          <t xml:space="preserve">   情况：COA 实测 水分 865 ppm，合同/规格要求 ≤0.08 %（依据：合同技术附件 CMSY-HT-2026-0417-附件2，检测方法：GB/T 6283-2008）；超上限，偏离 +8.13%（0.0065 %）</t>
        </is>
      </c>
    </row>
    <row r="95" ht="18" customHeight="1">
      <c r="A95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96" ht="8" customHeight="1">
      <c r="A96" s="70" t="inlineStr"/>
    </row>
    <row r="97" ht="18" customHeight="1">
      <c r="A97" s="70" t="inlineStr">
        <is>
          <t>2.【高】醛类（以乙醛计） 超出规格</t>
        </is>
      </c>
    </row>
    <row r="98" ht="18" customHeight="1">
      <c r="A98" s="70" t="inlineStr">
        <is>
          <t xml:space="preserve">   情况：COA 实测 醛类（以乙醛计） 7.2 ppm，合同/规格要求 ≤5 ppm（依据：合同技术附件 CMSY-HT-2026-0417-附件2，检测方法：GB/T 14571.6-2018）；超上限，偏离 +44.00%（2.2 ppm）</t>
        </is>
      </c>
    </row>
    <row r="99" ht="18" customHeight="1">
      <c r="A99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00" ht="8" customHeight="1">
      <c r="A100" s="70" t="inlineStr"/>
    </row>
    <row r="101" ht="18" customHeight="1">
      <c r="A101" s="70" t="inlineStr">
        <is>
          <t>3.【高】色度 超出规格</t>
        </is>
      </c>
    </row>
    <row r="102" ht="18" customHeight="1">
      <c r="A102" s="70" t="inlineStr">
        <is>
          <t xml:space="preserve">   情况：COA 实测 色度 12 Hazen，合同/规格要求 ≤10 Hazen（依据：合同技术附件 CMSY-HT-2026-0417-附件2，检测方法：GB/T 3143-1982）；超上限，偏离 +20.00%（2 Hazen）</t>
        </is>
      </c>
    </row>
    <row r="103" ht="18" customHeight="1">
      <c r="A103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04" ht="8" customHeight="1">
      <c r="A104" s="70" t="inlineStr"/>
    </row>
    <row r="105" ht="18" customHeight="1">
      <c r="A105" s="70" t="inlineStr">
        <is>
          <t>4.【高】铁含量 超出规格</t>
        </is>
      </c>
    </row>
    <row r="106" ht="18" customHeight="1">
      <c r="A106" s="70" t="inlineStr">
        <is>
          <t xml:space="preserve">   情况：COA 实测 铁含量 580 ppb，合同/规格要求 ≤0.5 ppm（依据：采购规格书 CMSY-QS-MEG-2026-03，检测方法：GB/T 14571.3-2018）；超上限，偏离 +16.00%（0.08 ppm）</t>
        </is>
      </c>
    </row>
    <row r="107" ht="18" customHeight="1">
      <c r="A107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08" ht="8" customHeight="1">
      <c r="A108" s="70" t="inlineStr"/>
    </row>
    <row r="109" ht="18" customHeight="1">
      <c r="A109" s="70" t="inlineStr">
        <is>
          <t>5.【高】4 项规格约定指标 COA 缺失或未检测</t>
        </is>
      </c>
    </row>
    <row r="110" ht="18" customHeight="1">
      <c r="A110" s="70" t="inlineStr">
        <is>
          <t xml:space="preserve">   情况：合同/规格已约定以下指标限值，COA 未给出实测值：灰分（≤0.002 %）、二乙二醇(DEG)（≤0.01 %）、酸度（≤0.001 %）、蒸发残渣（≤0.002 %）</t>
        </is>
      </c>
    </row>
    <row r="111" ht="18" customHeight="1">
      <c r="A111" s="70" t="inlineStr">
        <is>
          <t xml:space="preserve">   请贵司：请补充上述指标的检测结果，并在报告中注明检测方法与检出限（明细：灰分：原表标注未检测；二乙二醇(DEG)：原表标注未检测；酸度：原表标注未检测；蒸发残渣：原表标注未检测）</t>
        </is>
      </c>
    </row>
    <row r="112" ht="8" customHeight="1">
      <c r="A112" s="70" t="inlineStr"/>
    </row>
    <row r="113" ht="18" customHeight="1">
      <c r="A113" s="70" t="inlineStr">
        <is>
          <t>6.【高】批号</t>
        </is>
      </c>
    </row>
    <row r="114" ht="18" customHeight="1">
      <c r="A114" s="70" t="inlineStr">
        <is>
          <t xml:space="preserve">   情况：COA 批号 DY260603B 与到货单批号 DY-EG-260603B 不一致</t>
        </is>
      </c>
    </row>
    <row r="115" ht="18" customHeight="1">
      <c r="A115" s="70" t="inlineStr">
        <is>
          <t xml:space="preserve">   请贵司：要求供应商出具批号对应说明，否则该 COA 不能证明本批货</t>
        </is>
      </c>
    </row>
    <row r="116" ht="8" customHeight="1">
      <c r="A116" s="70" t="inlineStr"/>
    </row>
    <row r="117" ht="18" customHeight="1">
      <c r="A117" s="70" t="inlineStr">
        <is>
          <t>7.【高】结论一致性</t>
        </is>
      </c>
    </row>
    <row r="118" ht="18" customHeight="1">
      <c r="A118" s="70" t="inlineStr">
        <is>
          <t xml:space="preserve">   情况：证书结论写「符合优等品要求」，但明细中有 5 项实测已超出合同/规格限值（水分、醛类（以乙醛计）、外观、色度、铁含量 等），结论与数据自相矛盾</t>
        </is>
      </c>
    </row>
    <row r="119" ht="18" customHeight="1">
      <c r="A119" s="70" t="inlineStr">
        <is>
          <t xml:space="preserve">   请贵司：要求书面说明结论判定依据；如系笔误应作废重发，不得以'结论合格'覆盖超限数据</t>
        </is>
      </c>
    </row>
    <row r="120" ht="8" customHeight="1">
      <c r="A120" s="70" t="inlineStr"/>
    </row>
    <row r="121" ht="18" customHeight="1">
      <c r="A121" s="70" t="inlineStr">
        <is>
          <t>8.【高】缺失指标</t>
        </is>
      </c>
    </row>
    <row r="122" ht="18" customHeight="1">
      <c r="A122" s="70" t="inlineStr">
        <is>
          <t xml:space="preserve">   情况：4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</row>
    <row r="123" ht="18" customHeight="1">
      <c r="A123" s="70" t="inlineStr">
        <is>
          <t xml:space="preserve">   请贵司：要求补充上列指标的检测结果，并注明检测方法与检出限</t>
        </is>
      </c>
    </row>
    <row r="124" ht="8" customHeight="1">
      <c r="A124" s="70" t="inlineStr"/>
    </row>
    <row r="125" ht="18" customHeight="1">
      <c r="A125" s="70" t="inlineStr">
        <is>
          <t>9.【中】外观 超出规格</t>
        </is>
      </c>
    </row>
    <row r="126" ht="18" customHeight="1">
      <c r="A126" s="70" t="inlineStr">
        <is>
          <t xml:space="preserve">   情况：COA 实测 外观 微带浅黄色，透明度略差 —，合同/规格要求 无色透明、无可见机械杂质 —（依据：合同技术附件 CMSY-HT-2026-0417-附件2，检测方法：目视法）；COA 描述与规格描述不一致（定性项，以原始目视记录/照片复核为准）</t>
        </is>
      </c>
    </row>
    <row r="127" ht="18" customHeight="1">
      <c r="A127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28" ht="8" customHeight="1">
      <c r="A128" s="70" t="inlineStr"/>
    </row>
    <row r="129" ht="18" customHeight="1">
      <c r="A129" s="70" t="inlineStr">
        <is>
          <t>10.【中】灰分 未标注检测方法</t>
        </is>
      </c>
    </row>
    <row r="130" ht="18" customHeight="1">
      <c r="A130" s="70" t="inlineStr">
        <is>
          <t xml:space="preserve">   情况：该指标 COA 未给出检测方法（合同/规格约定 GB/T 14571.5），无法确认是否按约定方法检验</t>
        </is>
      </c>
    </row>
    <row r="131" ht="18" customHeight="1">
      <c r="A131" s="70" t="inlineStr">
        <is>
          <t xml:space="preserve">   请贵司：要求在 COA 中补齐该指标的检测方法编号</t>
        </is>
      </c>
    </row>
    <row r="132" ht="8" customHeight="1">
      <c r="A132" s="70" t="inlineStr"/>
    </row>
    <row r="133" ht="18" customHeight="1">
      <c r="A133" s="70" t="inlineStr">
        <is>
          <t>11.【中】二乙二醇(DEG) 未标注检测方法</t>
        </is>
      </c>
    </row>
    <row r="134" ht="18" customHeight="1">
      <c r="A134" s="70" t="inlineStr">
        <is>
          <t xml:space="preserve">   情况：该指标 COA 未给出检测方法（合同/规格约定 GB/T 14571.7），无法确认是否按约定方法检验</t>
        </is>
      </c>
    </row>
    <row r="135" ht="18" customHeight="1">
      <c r="A135" s="70" t="inlineStr">
        <is>
          <t xml:space="preserve">   请贵司：要求在 COA 中补齐该指标的检测方法编号</t>
        </is>
      </c>
    </row>
    <row r="136" ht="8" customHeight="1">
      <c r="A136" s="70" t="inlineStr"/>
    </row>
    <row r="137" ht="18" customHeight="1">
      <c r="A137" s="70" t="inlineStr">
        <is>
          <t>12.【中】酸度 检测方法与约定不同</t>
        </is>
      </c>
    </row>
    <row r="138" ht="18" customHeight="1">
      <c r="A138" s="70" t="inlineStr">
        <is>
          <t xml:space="preserve">   情况：COA 未标注方法，合同/规格约定 GB/T 14571.4。滴定法下限受终点判断影响，接近方法检出下限时宜用离子色谱复核</t>
        </is>
      </c>
    </row>
    <row r="139" ht="18" customHeight="1">
      <c r="A139" s="70" t="inlineStr">
        <is>
          <t xml:space="preserve">   请贵司：请说明方法选择理由，并按约定方法复测；如主张方法等效，请提供方法比对/验证数据</t>
        </is>
      </c>
    </row>
    <row r="140" ht="8" customHeight="1">
      <c r="A140" s="70" t="inlineStr"/>
    </row>
    <row r="141" ht="18" customHeight="1">
      <c r="A141" s="70" t="inlineStr">
        <is>
          <t>13.【中】蒸发残渣 未标注检测方法</t>
        </is>
      </c>
    </row>
    <row r="142" ht="18" customHeight="1">
      <c r="A142" s="70" t="inlineStr">
        <is>
          <t xml:space="preserve">   情况：该指标 COA 未给出检测方法（合同/规格约定 GB/T 6324.2），无法确认是否按约定方法检验</t>
        </is>
      </c>
    </row>
    <row r="143" ht="18" customHeight="1">
      <c r="A143" s="70" t="inlineStr">
        <is>
          <t xml:space="preserve">   请贵司：要求在 COA 中补齐该指标的检测方法编号</t>
        </is>
      </c>
    </row>
    <row r="144" ht="8" customHeight="1">
      <c r="A144" s="70" t="inlineStr"/>
    </row>
    <row r="145" ht="18" customHeight="1">
      <c r="A145" s="70" t="inlineStr">
        <is>
          <t>逾期未答复，我方将按合同质量条款保留相应权利，并以本合同约定的检测方法委托第三方复检。</t>
        </is>
      </c>
    </row>
    <row r="146" ht="8" customHeight="1">
      <c r="A146" s="70" t="inlineStr"/>
    </row>
    <row r="147" ht="18" customHeight="1">
      <c r="A147" s="70" t="inlineStr">
        <is>
          <t>附件：1) 质量分析证书（原件扫描件）2) 采购质量规格书相关条款 3) 指标逐项比对表</t>
        </is>
      </c>
    </row>
    <row r="148" ht="18" customHeight="1">
      <c r="A148" s="70" t="inlineStr">
        <is>
          <t>联系人：采购部 林工  采购部 / lin.mm@example-buyer.cn（模拟邮箱）</t>
        </is>
      </c>
    </row>
    <row r="150" ht="20" customHeight="1">
      <c r="A150" s="6" t="inlineStr">
        <is>
          <t>函件草稿 · 沟通 · 供应商友好版</t>
        </is>
      </c>
    </row>
    <row r="151" ht="18" customHeight="1">
      <c r="A151" s="70" t="inlineStr">
        <is>
          <t>周敏您好：</t>
        </is>
      </c>
    </row>
    <row r="152" ht="8" customHeight="1">
      <c r="A152" s="70" t="inlineStr"/>
    </row>
    <row r="153" ht="18" customHeight="1">
      <c r="A153" s="70" t="inlineStr">
        <is>
          <t>关于工业用乙二醇批号 DY260603B 的核对情况，先与您同步，有几处需要您方面协助确认：</t>
        </is>
      </c>
    </row>
    <row r="154" ht="8" customHeight="1">
      <c r="A154" s="70" t="inlineStr"/>
    </row>
    <row r="155" ht="18" customHeight="1">
      <c r="A155" s="70" t="inlineStr">
        <is>
          <t>1.【高】水分 超出规格</t>
        </is>
      </c>
    </row>
    <row r="156" ht="18" customHeight="1">
      <c r="A156" s="70" t="inlineStr">
        <is>
          <t xml:space="preserve">   情况：COA 实测 水分 865 ppm，合同/规格要求 ≤0.08 %（依据：合同技术附件 CMSY-HT-2026-0417-附件2，检测方法：GB/T 6283-2008）；超上限，偏离 +8.13%（0.0065 %）</t>
        </is>
      </c>
    </row>
    <row r="157" ht="18" customHeight="1">
      <c r="A157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58" ht="8" customHeight="1">
      <c r="A158" s="70" t="inlineStr"/>
    </row>
    <row r="159" ht="18" customHeight="1">
      <c r="A159" s="70" t="inlineStr">
        <is>
          <t>2.【高】醛类（以乙醛计） 超出规格</t>
        </is>
      </c>
    </row>
    <row r="160" ht="18" customHeight="1">
      <c r="A160" s="70" t="inlineStr">
        <is>
          <t xml:space="preserve">   情况：COA 实测 醛类（以乙醛计） 7.2 ppm，合同/规格要求 ≤5 ppm（依据：合同技术附件 CMSY-HT-2026-0417-附件2，检测方法：GB/T 14571.6-2018）；超上限，偏离 +44.00%（2.2 ppm）</t>
        </is>
      </c>
    </row>
    <row r="161" ht="18" customHeight="1">
      <c r="A161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62" ht="8" customHeight="1">
      <c r="A162" s="70" t="inlineStr"/>
    </row>
    <row r="163" ht="18" customHeight="1">
      <c r="A163" s="70" t="inlineStr">
        <is>
          <t>3.【高】色度 超出规格</t>
        </is>
      </c>
    </row>
    <row r="164" ht="18" customHeight="1">
      <c r="A164" s="70" t="inlineStr">
        <is>
          <t xml:space="preserve">   情况：COA 实测 色度 12 Hazen，合同/规格要求 ≤10 Hazen（依据：合同技术附件 CMSY-HT-2026-0417-附件2，检测方法：GB/T 3143-1982）；超上限，偏离 +20.00%（2 Hazen）</t>
        </is>
      </c>
    </row>
    <row r="165" ht="18" customHeight="1">
      <c r="A165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66" ht="8" customHeight="1">
      <c r="A166" s="70" t="inlineStr"/>
    </row>
    <row r="167" ht="18" customHeight="1">
      <c r="A167" s="70" t="inlineStr">
        <is>
          <t>4.【高】铁含量 超出规格</t>
        </is>
      </c>
    </row>
    <row r="168" ht="18" customHeight="1">
      <c r="A168" s="70" t="inlineStr">
        <is>
          <t xml:space="preserve">   情况：COA 实测 铁含量 580 ppb，合同/规格要求 ≤0.5 ppm（依据：采购规格书 CMSY-QS-MEG-2026-03，检测方法：GB/T 14571.3-2018）；超上限，偏离 +16.00%（0.08 ppm）</t>
        </is>
      </c>
    </row>
    <row r="169" ht="18" customHeight="1">
      <c r="A169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70" ht="8" customHeight="1">
      <c r="A170" s="70" t="inlineStr"/>
    </row>
    <row r="171" ht="18" customHeight="1">
      <c r="A171" s="70" t="inlineStr">
        <is>
          <t>5.【高】4 项规格约定指标 COA 缺失或未检测</t>
        </is>
      </c>
    </row>
    <row r="172" ht="18" customHeight="1">
      <c r="A172" s="70" t="inlineStr">
        <is>
          <t xml:space="preserve">   情况：合同/规格已约定以下指标限值，COA 未给出实测值：灰分（≤0.002 %）、二乙二醇(DEG)（≤0.01 %）、酸度（≤0.001 %）、蒸发残渣（≤0.002 %）</t>
        </is>
      </c>
    </row>
    <row r="173" ht="18" customHeight="1">
      <c r="A173" s="70" t="inlineStr">
        <is>
          <t xml:space="preserve">   请贵司：请补充上述指标的检测结果，并在报告中注明检测方法与检出限（明细：灰分：原表标注未检测；二乙二醇(DEG)：原表标注未检测；酸度：原表标注未检测；蒸发残渣：原表标注未检测）</t>
        </is>
      </c>
    </row>
    <row r="174" ht="8" customHeight="1">
      <c r="A174" s="70" t="inlineStr"/>
    </row>
    <row r="175" ht="18" customHeight="1">
      <c r="A175" s="70" t="inlineStr">
        <is>
          <t>6.【高】批号</t>
        </is>
      </c>
    </row>
    <row r="176" ht="18" customHeight="1">
      <c r="A176" s="70" t="inlineStr">
        <is>
          <t xml:space="preserve">   情况：COA 批号 DY260603B 与到货单批号 DY-EG-260603B 不一致</t>
        </is>
      </c>
    </row>
    <row r="177" ht="18" customHeight="1">
      <c r="A177" s="70" t="inlineStr">
        <is>
          <t xml:space="preserve">   请贵司：要求供应商出具批号对应说明，否则该 COA 不能证明本批货</t>
        </is>
      </c>
    </row>
    <row r="178" ht="8" customHeight="1">
      <c r="A178" s="70" t="inlineStr"/>
    </row>
    <row r="179" ht="18" customHeight="1">
      <c r="A179" s="70" t="inlineStr">
        <is>
          <t>7.【高】结论一致性</t>
        </is>
      </c>
    </row>
    <row r="180" ht="18" customHeight="1">
      <c r="A180" s="70" t="inlineStr">
        <is>
          <t xml:space="preserve">   情况：证书结论写「符合优等品要求」，但明细中有 5 项实测已超出合同/规格限值（水分、醛类（以乙醛计）、外观、色度、铁含量 等），结论与数据自相矛盾</t>
        </is>
      </c>
    </row>
    <row r="181" ht="18" customHeight="1">
      <c r="A181" s="70" t="inlineStr">
        <is>
          <t xml:space="preserve">   请贵司：要求书面说明结论判定依据；如系笔误应作废重发，不得以'结论合格'覆盖超限数据</t>
        </is>
      </c>
    </row>
    <row r="182" ht="8" customHeight="1">
      <c r="A182" s="70" t="inlineStr"/>
    </row>
    <row r="183" ht="18" customHeight="1">
      <c r="A183" s="70" t="inlineStr">
        <is>
          <t>8.【高】缺失指标</t>
        </is>
      </c>
    </row>
    <row r="184" ht="18" customHeight="1">
      <c r="A184" s="70" t="inlineStr">
        <is>
          <t xml:space="preserve">   情况：4 项规格约定指标在 COA 中缺失或标注未检测：灰分（≤0.002 %）：COA 未列该项；二乙二醇(DEG)（≤0.01 %）：COA 未列该项；酸度（≤0.001 %）：COA 标注「未检测」；蒸发残渣（≤0.002 %）：COA 未列该项</t>
        </is>
      </c>
    </row>
    <row r="185" ht="18" customHeight="1">
      <c r="A185" s="70" t="inlineStr">
        <is>
          <t xml:space="preserve">   请贵司：要求补充上列指标的检测结果，并注明检测方法与检出限</t>
        </is>
      </c>
    </row>
    <row r="186" ht="8" customHeight="1">
      <c r="A186" s="70" t="inlineStr"/>
    </row>
    <row r="187" ht="18" customHeight="1">
      <c r="A187" s="70" t="inlineStr">
        <is>
          <t>9.【中】外观 超出规格</t>
        </is>
      </c>
    </row>
    <row r="188" ht="18" customHeight="1">
      <c r="A188" s="70" t="inlineStr">
        <is>
          <t xml:space="preserve">   情况：COA 实测 外观 微带浅黄色，透明度略差 —，合同/规格要求 无色透明、无可见机械杂质 —（依据：合同技术附件 CMSY-HT-2026-0417-附件2，检测方法：目视法）；COA 描述与规格描述不一致（定性项，以原始目视记录/照片复核为准）</t>
        </is>
      </c>
    </row>
    <row r="189" ht="18" customHeight="1">
      <c r="A189" s="70" t="inlineStr">
        <is>
          <t xml:space="preserve">   请贵司：请提供该批次的复检报告（同一样品、约定方法），或出具书面技术说明；并对本批次与我方约定用途的适用性给出明确意见</t>
        </is>
      </c>
    </row>
    <row r="190" ht="8" customHeight="1">
      <c r="A190" s="70" t="inlineStr"/>
    </row>
    <row r="191" ht="18" customHeight="1">
      <c r="A191" s="70" t="inlineStr">
        <is>
          <t>10.【中】灰分 未标注检测方法</t>
        </is>
      </c>
    </row>
    <row r="192" ht="18" customHeight="1">
      <c r="A192" s="70" t="inlineStr">
        <is>
          <t xml:space="preserve">   情况：该指标 COA 未给出检测方法（合同/规格约定 GB/T 14571.5），无法确认是否按约定方法检验</t>
        </is>
      </c>
    </row>
    <row r="193" ht="18" customHeight="1">
      <c r="A193" s="70" t="inlineStr">
        <is>
          <t xml:space="preserve">   请贵司：要求在 COA 中补齐该指标的检测方法编号</t>
        </is>
      </c>
    </row>
    <row r="194" ht="8" customHeight="1">
      <c r="A194" s="70" t="inlineStr"/>
    </row>
    <row r="195" ht="18" customHeight="1">
      <c r="A195" s="70" t="inlineStr">
        <is>
          <t>11.【中】二乙二醇(DEG) 未标注检测方法</t>
        </is>
      </c>
    </row>
    <row r="196" ht="18" customHeight="1">
      <c r="A196" s="70" t="inlineStr">
        <is>
          <t xml:space="preserve">   情况：该指标 COA 未给出检测方法（合同/规格约定 GB/T 14571.7），无法确认是否按约定方法检验</t>
        </is>
      </c>
    </row>
    <row r="197" ht="18" customHeight="1">
      <c r="A197" s="70" t="inlineStr">
        <is>
          <t xml:space="preserve">   请贵司：要求在 COA 中补齐该指标的检测方法编号</t>
        </is>
      </c>
    </row>
    <row r="198" ht="8" customHeight="1">
      <c r="A198" s="70" t="inlineStr"/>
    </row>
    <row r="199" ht="18" customHeight="1">
      <c r="A199" s="70" t="inlineStr">
        <is>
          <t>12.【中】酸度 检测方法与约定不同</t>
        </is>
      </c>
    </row>
    <row r="200" ht="18" customHeight="1">
      <c r="A200" s="70" t="inlineStr">
        <is>
          <t xml:space="preserve">   情况：COA 未标注方法，合同/规格约定 GB/T 14571.4。滴定法下限受终点判断影响，接近方法检出下限时宜用离子色谱复核</t>
        </is>
      </c>
    </row>
    <row r="201" ht="18" customHeight="1">
      <c r="A201" s="70" t="inlineStr">
        <is>
          <t xml:space="preserve">   请贵司：请说明方法选择理由，并按约定方法复测；如主张方法等效，请提供方法比对/验证数据</t>
        </is>
      </c>
    </row>
    <row r="202" ht="8" customHeight="1">
      <c r="A202" s="70" t="inlineStr"/>
    </row>
    <row r="203" ht="18" customHeight="1">
      <c r="A203" s="70" t="inlineStr">
        <is>
          <t>13.【中】蒸发残渣 未标注检测方法</t>
        </is>
      </c>
    </row>
    <row r="204" ht="18" customHeight="1">
      <c r="A204" s="70" t="inlineStr">
        <is>
          <t xml:space="preserve">   情况：该指标 COA 未给出检测方法（合同/规格约定 GB/T 6324.2），无法确认是否按约定方法检验</t>
        </is>
      </c>
    </row>
    <row r="205" ht="18" customHeight="1">
      <c r="A205" s="70" t="inlineStr">
        <is>
          <t xml:space="preserve">   请贵司：要求在 COA 中补齐该指标的检测方法编号</t>
        </is>
      </c>
    </row>
    <row r="206" ht="8" customHeight="1">
      <c r="A206" s="70" t="inlineStr"/>
    </row>
    <row r="207" ht="18" customHeight="1">
      <c r="A207" s="70" t="inlineStr">
        <is>
          <t>以上仅为技术核对结果，不涉及商务结论。烦请协助确认，谢谢！</t>
        </is>
      </c>
    </row>
    <row r="208" ht="8" customHeight="1">
      <c r="A208" s="70" t="inlineStr"/>
    </row>
    <row r="209" ht="18" customHeight="1">
      <c r="A209" s="70" t="inlineStr">
        <is>
          <t>说明：本次核对共 11 项，其中符合 2 项、不符合 5 项、未检测 4 项、无法判断 0 项。因贵司 COA 与合同规格在部分指标上存在口径差异，以上结论以合同技术附件为准。</t>
        </is>
      </c>
    </row>
    <row r="210" ht="8" customHeight="1">
      <c r="A210" s="70" t="inlineStr"/>
    </row>
    <row r="211" ht="18" customHeight="1">
      <c r="A211" s="70" t="inlineStr">
        <is>
          <t>附件：1) 质量分析证书（原件扫描件）2) 采购质量规格书相关条款 3) 指标逐项比对表</t>
        </is>
      </c>
    </row>
    <row r="212" ht="18" customHeight="1">
      <c r="A212" s="70" t="inlineStr">
        <is>
          <t>联系人：采购部 林工  采购部 / lin.mm@example-buyer.cn（模拟邮箱）</t>
        </is>
      </c>
    </row>
  </sheetData>
  <mergeCells count="192">
    <mergeCell ref="A41:I41"/>
    <mergeCell ref="A90:I90"/>
    <mergeCell ref="A172:I172"/>
    <mergeCell ref="A212:I212"/>
    <mergeCell ref="A99:I99"/>
    <mergeCell ref="A164:I164"/>
    <mergeCell ref="A108:I108"/>
    <mergeCell ref="A56:I56"/>
    <mergeCell ref="A27:I27"/>
    <mergeCell ref="A154:I154"/>
    <mergeCell ref="A163:I163"/>
    <mergeCell ref="A101:I101"/>
    <mergeCell ref="A195:I195"/>
    <mergeCell ref="A2:I2"/>
    <mergeCell ref="A33:I33"/>
    <mergeCell ref="A204:I204"/>
    <mergeCell ref="A42:I42"/>
    <mergeCell ref="A188:I188"/>
    <mergeCell ref="A126:I126"/>
    <mergeCell ref="A140:I140"/>
    <mergeCell ref="A22:I22"/>
    <mergeCell ref="A53:I53"/>
    <mergeCell ref="A35:I35"/>
    <mergeCell ref="A109:I109"/>
    <mergeCell ref="A62:I62"/>
    <mergeCell ref="A135:I135"/>
    <mergeCell ref="A206:I206"/>
    <mergeCell ref="A68:I68"/>
    <mergeCell ref="A190:I190"/>
    <mergeCell ref="A28:I28"/>
    <mergeCell ref="A117:I117"/>
    <mergeCell ref="A111:I111"/>
    <mergeCell ref="A39:I39"/>
    <mergeCell ref="A167:I167"/>
    <mergeCell ref="A48:I48"/>
    <mergeCell ref="A30:I30"/>
    <mergeCell ref="A59:I59"/>
    <mergeCell ref="A142:I142"/>
    <mergeCell ref="A182:I182"/>
    <mergeCell ref="A103:I103"/>
    <mergeCell ref="A169:I169"/>
    <mergeCell ref="A79:I79"/>
    <mergeCell ref="A61:I61"/>
    <mergeCell ref="A87:I87"/>
    <mergeCell ref="A153:I153"/>
    <mergeCell ref="A128:I128"/>
    <mergeCell ref="A137:I137"/>
    <mergeCell ref="A37:I37"/>
    <mergeCell ref="A46:I46"/>
    <mergeCell ref="A177:I177"/>
    <mergeCell ref="A89:I89"/>
    <mergeCell ref="A208:I208"/>
    <mergeCell ref="A136:I136"/>
    <mergeCell ref="A192:I192"/>
    <mergeCell ref="A74:I74"/>
    <mergeCell ref="A105:I105"/>
    <mergeCell ref="A145:I145"/>
    <mergeCell ref="A26:I26"/>
    <mergeCell ref="A139:I139"/>
    <mergeCell ref="A210:I210"/>
    <mergeCell ref="A179:I179"/>
    <mergeCell ref="A71:I71"/>
    <mergeCell ref="A129:I129"/>
    <mergeCell ref="A194:I194"/>
    <mergeCell ref="A76:I76"/>
    <mergeCell ref="A203:I203"/>
    <mergeCell ref="A116:I116"/>
    <mergeCell ref="A181:I181"/>
    <mergeCell ref="A91:I91"/>
    <mergeCell ref="A184:I184"/>
    <mergeCell ref="A131:I131"/>
    <mergeCell ref="A100:I100"/>
    <mergeCell ref="A171:I171"/>
    <mergeCell ref="A52:I52"/>
    <mergeCell ref="A165:I165"/>
    <mergeCell ref="A180:I180"/>
    <mergeCell ref="A63:I63"/>
    <mergeCell ref="A115:I115"/>
    <mergeCell ref="A155:I155"/>
    <mergeCell ref="A93:I93"/>
    <mergeCell ref="A102:I102"/>
    <mergeCell ref="A173:I173"/>
    <mergeCell ref="A77:I77"/>
    <mergeCell ref="A34:I34"/>
    <mergeCell ref="A83:I83"/>
    <mergeCell ref="A143:I143"/>
    <mergeCell ref="A92:I92"/>
    <mergeCell ref="A157:I157"/>
    <mergeCell ref="A166:I166"/>
    <mergeCell ref="A49:I49"/>
    <mergeCell ref="A36:I36"/>
    <mergeCell ref="A207:I207"/>
    <mergeCell ref="A45:I45"/>
    <mergeCell ref="A94:I94"/>
    <mergeCell ref="A168:I168"/>
    <mergeCell ref="A69:I69"/>
    <mergeCell ref="A78:I78"/>
    <mergeCell ref="A205:I205"/>
    <mergeCell ref="A183:I183"/>
    <mergeCell ref="A65:I65"/>
    <mergeCell ref="A75:I75"/>
    <mergeCell ref="A133:I133"/>
    <mergeCell ref="A193:I193"/>
    <mergeCell ref="A80:I80"/>
    <mergeCell ref="A120:I120"/>
    <mergeCell ref="A55:I55"/>
    <mergeCell ref="A21:I21"/>
    <mergeCell ref="A104:I104"/>
    <mergeCell ref="A175:I175"/>
    <mergeCell ref="A57:I57"/>
    <mergeCell ref="A113:I113"/>
    <mergeCell ref="A32:I32"/>
    <mergeCell ref="A185:I185"/>
    <mergeCell ref="A23:I23"/>
    <mergeCell ref="A106:I106"/>
    <mergeCell ref="A200:I200"/>
    <mergeCell ref="A38:I38"/>
    <mergeCell ref="A96:I96"/>
    <mergeCell ref="A147:I147"/>
    <mergeCell ref="A209:I209"/>
    <mergeCell ref="A43:I43"/>
    <mergeCell ref="A156:I156"/>
    <mergeCell ref="A170:I170"/>
    <mergeCell ref="A202:I202"/>
    <mergeCell ref="A40:I40"/>
    <mergeCell ref="A211:I211"/>
    <mergeCell ref="A67:I67"/>
    <mergeCell ref="A130:I130"/>
    <mergeCell ref="A24:I24"/>
    <mergeCell ref="A201:I201"/>
    <mergeCell ref="A148:I148"/>
    <mergeCell ref="A82:I82"/>
    <mergeCell ref="A123:I123"/>
    <mergeCell ref="A138:I138"/>
    <mergeCell ref="A132:I132"/>
    <mergeCell ref="A197:I197"/>
    <mergeCell ref="A110:I110"/>
    <mergeCell ref="A146:I146"/>
    <mergeCell ref="A124:I124"/>
    <mergeCell ref="A119:I119"/>
    <mergeCell ref="A187:I187"/>
    <mergeCell ref="A25:I25"/>
    <mergeCell ref="A196:I196"/>
    <mergeCell ref="A174:I174"/>
    <mergeCell ref="A84:I84"/>
    <mergeCell ref="A66:I66"/>
    <mergeCell ref="A118:I118"/>
    <mergeCell ref="A189:I189"/>
    <mergeCell ref="A158:I158"/>
    <mergeCell ref="A198:I198"/>
    <mergeCell ref="A50:I50"/>
    <mergeCell ref="A86:I86"/>
    <mergeCell ref="A95:I95"/>
    <mergeCell ref="A151:I151"/>
    <mergeCell ref="A47:I47"/>
    <mergeCell ref="A160:I160"/>
    <mergeCell ref="A141:I141"/>
    <mergeCell ref="A150:I150"/>
    <mergeCell ref="A144:I144"/>
    <mergeCell ref="A159:I159"/>
    <mergeCell ref="A122:I122"/>
    <mergeCell ref="A97:I97"/>
    <mergeCell ref="A20:I20"/>
    <mergeCell ref="A125:I125"/>
    <mergeCell ref="A72:I72"/>
    <mergeCell ref="A29:I29"/>
    <mergeCell ref="A134:I134"/>
    <mergeCell ref="A199:I199"/>
    <mergeCell ref="A81:I81"/>
    <mergeCell ref="A112:I112"/>
    <mergeCell ref="A152:I152"/>
    <mergeCell ref="A121:I121"/>
    <mergeCell ref="A161:I161"/>
    <mergeCell ref="A44:I44"/>
    <mergeCell ref="A127:I127"/>
    <mergeCell ref="A31:I31"/>
    <mergeCell ref="A176:I176"/>
    <mergeCell ref="A58:I58"/>
    <mergeCell ref="A114:I114"/>
    <mergeCell ref="A64:I64"/>
    <mergeCell ref="A186:I186"/>
    <mergeCell ref="A98:I98"/>
    <mergeCell ref="A73:I73"/>
    <mergeCell ref="A191:I191"/>
    <mergeCell ref="A51:I51"/>
    <mergeCell ref="A107:I107"/>
    <mergeCell ref="A178:I178"/>
    <mergeCell ref="A60:I60"/>
    <mergeCell ref="A88:I88"/>
    <mergeCell ref="A70:I70"/>
    <mergeCell ref="A162:I162"/>
    <mergeCell ref="A54:I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77" topLeftCell="A78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22" customWidth="1" min="4" max="4"/>
    <col width="14" customWidth="1" min="5" max="5"/>
    <col width="14" customWidth="1" min="6" max="6"/>
    <col width="26" customWidth="1" min="7" max="7"/>
    <col width="44" customWidth="1" min="8" max="8"/>
    <col width="6" customWidth="1" min="9" max="9"/>
  </cols>
  <sheetData>
    <row r="1" ht="26" customHeight="1">
      <c r="A1" s="1" t="inlineStr">
        <is>
          <t>原始数据（审计底稿）</t>
        </is>
      </c>
    </row>
    <row r="2" ht="30" customHeight="1">
      <c r="A2" s="2" t="inlineStr">
        <is>
          <t>COA 与规格文件的原始写法与原文位置，不经加工——用于与扫描件逐字核对</t>
        </is>
      </c>
    </row>
    <row r="4" ht="20" customHeight="1">
      <c r="A4" s="6" t="inlineStr">
        <is>
          <t>COA · 批次 DY-EG-260512A · COA_A_东越石化_DY-EG-260512A（模拟）.html</t>
        </is>
      </c>
    </row>
    <row r="5">
      <c r="A5" s="65" t="inlineStr">
        <is>
          <t>产品名称</t>
        </is>
      </c>
      <c r="B5" s="61" t="inlineStr">
        <is>
          <t>乙二醇（工业用）</t>
        </is>
      </c>
    </row>
    <row r="6">
      <c r="A6" s="65" t="inlineStr">
        <is>
          <t>等级</t>
        </is>
      </c>
      <c r="B6" s="61" t="inlineStr">
        <is>
          <t>优等品</t>
        </is>
      </c>
    </row>
    <row r="7">
      <c r="A7" s="65" t="inlineStr">
        <is>
          <t>生产企业</t>
        </is>
      </c>
      <c r="B7" s="61" t="inlineStr">
        <is>
          <t>浙江东越石化有限公司</t>
        </is>
      </c>
    </row>
    <row r="8">
      <c r="A8" s="65" t="inlineStr">
        <is>
          <t>生产批号</t>
        </is>
      </c>
      <c r="B8" s="61" t="inlineStr">
        <is>
          <t>DY-EG-260512A</t>
        </is>
      </c>
    </row>
    <row r="9">
      <c r="A9" s="65" t="inlineStr">
        <is>
          <t>证书编号</t>
        </is>
      </c>
      <c r="B9" s="61" t="inlineStr">
        <is>
          <t>COA-DY-2605-1182</t>
        </is>
      </c>
    </row>
    <row r="10">
      <c r="A10" s="65" t="inlineStr">
        <is>
          <t>生产日期</t>
        </is>
      </c>
      <c r="B10" s="61" t="inlineStr">
        <is>
          <t>2026-05-12</t>
        </is>
      </c>
    </row>
    <row r="11">
      <c r="A11" s="65" t="inlineStr">
        <is>
          <t>检测日期</t>
        </is>
      </c>
      <c r="B11" s="61" t="inlineStr">
        <is>
          <t>2026-05-13</t>
        </is>
      </c>
    </row>
    <row r="12">
      <c r="A12" s="65" t="inlineStr">
        <is>
          <t>复检期至</t>
        </is>
      </c>
      <c r="B12" s="61" t="inlineStr">
        <is>
          <t>2026-08-12</t>
        </is>
      </c>
    </row>
    <row r="13">
      <c r="A13" s="65" t="inlineStr">
        <is>
          <t>检测依据</t>
        </is>
      </c>
      <c r="B13" s="61" t="inlineStr">
        <is>
          <t>GB/T 4649-2018</t>
        </is>
      </c>
    </row>
    <row r="14">
      <c r="A14" s="65" t="inlineStr">
        <is>
          <t>检验结论</t>
        </is>
      </c>
      <c r="B14" s="61" t="inlineStr">
        <is>
          <t>检验合格</t>
        </is>
      </c>
    </row>
    <row r="15">
      <c r="A15" s="65" t="inlineStr">
        <is>
          <t>包装/数量</t>
        </is>
      </c>
      <c r="B15" s="61" t="inlineStr">
        <is>
          <t>槽车散装 / 31.6 t</t>
        </is>
      </c>
    </row>
    <row r="16">
      <c r="A16" s="65" t="inlineStr">
        <is>
          <t>防伪码/签章</t>
        </is>
      </c>
      <c r="B16" s="61" t="inlineStr">
        <is>
          <t>防伪码 Q7XK-9D2M-4TLP-81AA；编制 李工；审核 王工；签发 质量部（红章位置）</t>
        </is>
      </c>
    </row>
    <row r="17" ht="30" customHeight="1">
      <c r="A17" s="12" t="inlineStr">
        <is>
          <t>指标名称</t>
        </is>
      </c>
      <c r="B17" s="12" t="inlineStr">
        <is>
          <t>实测值(原文)</t>
        </is>
      </c>
      <c r="C17" s="12" t="inlineStr">
        <is>
          <t>单位(原文)</t>
        </is>
      </c>
      <c r="D17" s="12" t="inlineStr">
        <is>
          <t>检测方法(原文)</t>
        </is>
      </c>
      <c r="E17" s="12" t="inlineStr">
        <is>
          <t>检出限</t>
        </is>
      </c>
      <c r="F17" s="12" t="inlineStr">
        <is>
          <t>基准</t>
        </is>
      </c>
      <c r="G17" s="12" t="inlineStr">
        <is>
          <t>原文位置</t>
        </is>
      </c>
      <c r="H17" s="12" t="inlineStr">
        <is>
          <t>备注</t>
        </is>
      </c>
      <c r="I17" s="12" t="inlineStr"/>
    </row>
    <row r="18">
      <c r="A18" s="34" t="inlineStr">
        <is>
          <t>乙二醇纯度（质量分数）</t>
        </is>
      </c>
      <c r="B18" s="52" t="inlineStr">
        <is>
          <t>99.92</t>
        </is>
      </c>
      <c r="C18" s="39" t="inlineStr">
        <is>
          <t>%</t>
        </is>
      </c>
      <c r="D18" s="55" t="inlineStr">
        <is>
          <t>GB/T 14571.1-2018</t>
        </is>
      </c>
      <c r="E18" s="39" t="inlineStr"/>
      <c r="F18" s="42" t="inlineStr">
        <is>
          <t>到货/收货基准（湿基）</t>
        </is>
      </c>
      <c r="G18" s="8" t="inlineStr">
        <is>
          <t>COA 表 §1 第1行</t>
        </is>
      </c>
      <c r="H18" s="8" t="inlineStr"/>
      <c r="I18" s="8" t="inlineStr"/>
    </row>
    <row r="19">
      <c r="A19" s="34" t="inlineStr">
        <is>
          <t>水分</t>
        </is>
      </c>
      <c r="B19" s="52" t="inlineStr">
        <is>
          <t>0.075</t>
        </is>
      </c>
      <c r="C19" s="39" t="inlineStr">
        <is>
          <t>%</t>
        </is>
      </c>
      <c r="D19" s="55" t="inlineStr">
        <is>
          <t>GB/T 6283-2008</t>
        </is>
      </c>
      <c r="E19" s="39" t="inlineStr"/>
      <c r="F19" s="42" t="inlineStr">
        <is>
          <t>到货/收货基准（湿基）</t>
        </is>
      </c>
      <c r="G19" s="8" t="inlineStr">
        <is>
          <t>COA 表 §1 第2行</t>
        </is>
      </c>
      <c r="H19" s="8" t="inlineStr"/>
      <c r="I19" s="8" t="inlineStr"/>
    </row>
    <row r="20">
      <c r="A20" s="34" t="inlineStr">
        <is>
          <t>色度（铂钴）</t>
        </is>
      </c>
      <c r="B20" s="52" t="inlineStr">
        <is>
          <t>5</t>
        </is>
      </c>
      <c r="C20" s="39" t="inlineStr">
        <is>
          <t>Hazen</t>
        </is>
      </c>
      <c r="D20" s="55" t="inlineStr">
        <is>
          <t>GB/T 3143-1982</t>
        </is>
      </c>
      <c r="E20" s="39" t="inlineStr"/>
      <c r="F20" s="42" t="inlineStr">
        <is>
          <t>到货/收货基准（湿基）</t>
        </is>
      </c>
      <c r="G20" s="8" t="inlineStr">
        <is>
          <t>COA 表 §1 第3行</t>
        </is>
      </c>
      <c r="H20" s="8" t="inlineStr"/>
      <c r="I20" s="8" t="inlineStr"/>
    </row>
    <row r="21">
      <c r="A21" s="34" t="inlineStr">
        <is>
          <t>酸度（以乙酸计）</t>
        </is>
      </c>
      <c r="B21" s="52" t="inlineStr">
        <is>
          <t>0.0001</t>
        </is>
      </c>
      <c r="C21" s="39" t="inlineStr">
        <is>
          <t>%</t>
        </is>
      </c>
      <c r="D21" s="55" t="inlineStr">
        <is>
          <t>GB/T 14571.4-2018</t>
        </is>
      </c>
      <c r="E21" s="39" t="inlineStr"/>
      <c r="F21" s="42" t="inlineStr">
        <is>
          <t>到货/收货基准（湿基）</t>
        </is>
      </c>
      <c r="G21" s="8" t="inlineStr">
        <is>
          <t>COA 表 §1 第4行</t>
        </is>
      </c>
      <c r="H21" s="8" t="inlineStr"/>
      <c r="I21" s="8" t="inlineStr"/>
    </row>
    <row r="22">
      <c r="A22" s="34" t="inlineStr">
        <is>
          <t>铁（Fe）</t>
        </is>
      </c>
      <c r="B22" s="52" t="inlineStr">
        <is>
          <t>0.32</t>
        </is>
      </c>
      <c r="C22" s="39" t="inlineStr">
        <is>
          <t>ppm</t>
        </is>
      </c>
      <c r="D22" s="55" t="inlineStr">
        <is>
          <t>GB/T 14571.3-2018</t>
        </is>
      </c>
      <c r="E22" s="39" t="inlineStr">
        <is>
          <t>0.05 ppm</t>
        </is>
      </c>
      <c r="F22" s="42" t="inlineStr">
        <is>
          <t>到货/收货基准（湿基）</t>
        </is>
      </c>
      <c r="G22" s="8" t="inlineStr">
        <is>
          <t>COA 表 §1 第5行</t>
        </is>
      </c>
      <c r="H22" s="8" t="inlineStr"/>
      <c r="I22" s="8" t="inlineStr"/>
    </row>
    <row r="23">
      <c r="A23" s="34" t="inlineStr">
        <is>
          <t>灰分（灼烧残渣）</t>
        </is>
      </c>
      <c r="B23" s="52" t="inlineStr">
        <is>
          <t>0.0015</t>
        </is>
      </c>
      <c r="C23" s="39" t="inlineStr">
        <is>
          <t>%</t>
        </is>
      </c>
      <c r="D23" s="55" t="inlineStr">
        <is>
          <t>GB/T 14571.5-2018</t>
        </is>
      </c>
      <c r="E23" s="39" t="inlineStr"/>
      <c r="F23" s="42" t="inlineStr">
        <is>
          <t>到货/收货基准（湿基）</t>
        </is>
      </c>
      <c r="G23" s="8" t="inlineStr">
        <is>
          <t>COA 表 §1 第6行</t>
        </is>
      </c>
      <c r="H23" s="8" t="inlineStr"/>
      <c r="I23" s="8" t="inlineStr"/>
    </row>
    <row r="24">
      <c r="A24" s="34" t="inlineStr">
        <is>
          <t>醛（以乙醛计）</t>
        </is>
      </c>
      <c r="B24" s="52" t="inlineStr">
        <is>
          <t>3.1</t>
        </is>
      </c>
      <c r="C24" s="39" t="inlineStr">
        <is>
          <t>ppm</t>
        </is>
      </c>
      <c r="D24" s="55" t="inlineStr">
        <is>
          <t>GB/T 14571.6-2018</t>
        </is>
      </c>
      <c r="E24" s="39" t="inlineStr">
        <is>
          <t>0.5 ppm</t>
        </is>
      </c>
      <c r="F24" s="42" t="inlineStr">
        <is>
          <t>到货/收货基准（湿基）</t>
        </is>
      </c>
      <c r="G24" s="8" t="inlineStr">
        <is>
          <t>COA 表 §1 第7行</t>
        </is>
      </c>
      <c r="H24" s="8" t="inlineStr"/>
      <c r="I24" s="8" t="inlineStr"/>
    </row>
    <row r="25">
      <c r="A25" s="34" t="inlineStr">
        <is>
          <t>密度（20℃）</t>
        </is>
      </c>
      <c r="B25" s="52" t="inlineStr">
        <is>
          <t>1.1132</t>
        </is>
      </c>
      <c r="C25" s="39" t="inlineStr">
        <is>
          <t>g/cm³</t>
        </is>
      </c>
      <c r="D25" s="55" t="inlineStr">
        <is>
          <t>GB/T 4472-2011</t>
        </is>
      </c>
      <c r="E25" s="39" t="inlineStr"/>
      <c r="F25" s="42" t="inlineStr">
        <is>
          <t>到货/收货基准（湿基）</t>
        </is>
      </c>
      <c r="G25" s="8" t="inlineStr">
        <is>
          <t>COA 表 §1 第8行</t>
        </is>
      </c>
      <c r="H25" s="8" t="inlineStr"/>
      <c r="I25" s="8" t="inlineStr"/>
    </row>
    <row r="26">
      <c r="A26" s="34" t="inlineStr">
        <is>
          <t>外观</t>
        </is>
      </c>
      <c r="B26" s="52" t="inlineStr">
        <is>
          <t>无色透明液体，无可见机械杂质</t>
        </is>
      </c>
      <c r="C26" s="39" t="inlineStr">
        <is>
          <t>—</t>
        </is>
      </c>
      <c r="D26" s="55" t="inlineStr">
        <is>
          <t>目视法</t>
        </is>
      </c>
      <c r="E26" s="39" t="inlineStr"/>
      <c r="F26" s="42" t="inlineStr">
        <is>
          <t>到货/收货基准（湿基）</t>
        </is>
      </c>
      <c r="G26" s="8" t="inlineStr">
        <is>
          <t>COA 表 §1 第9行</t>
        </is>
      </c>
      <c r="H26" s="8" t="inlineStr"/>
      <c r="I26" s="8" t="inlineStr"/>
    </row>
    <row r="27">
      <c r="A27" s="34" t="inlineStr">
        <is>
          <t>蒸发残渣</t>
        </is>
      </c>
      <c r="B27" s="52" t="inlineStr">
        <is>
          <t>0.0012</t>
        </is>
      </c>
      <c r="C27" s="39" t="inlineStr">
        <is>
          <t>%</t>
        </is>
      </c>
      <c r="D27" s="55" t="inlineStr">
        <is>
          <t>GB/T 6324.2-2004</t>
        </is>
      </c>
      <c r="E27" s="39" t="inlineStr"/>
      <c r="F27" s="42" t="inlineStr">
        <is>
          <t>到货/收货基准（湿基）</t>
        </is>
      </c>
      <c r="G27" s="8" t="inlineStr">
        <is>
          <t>COA 表 §1 第10行</t>
        </is>
      </c>
      <c r="H27" s="8" t="inlineStr"/>
      <c r="I27" s="8" t="inlineStr"/>
    </row>
    <row r="28">
      <c r="A28" s="34" t="inlineStr">
        <is>
          <t>二乙二醇（DEG）</t>
        </is>
      </c>
      <c r="B28" s="52" t="inlineStr">
        <is>
          <t>0.006</t>
        </is>
      </c>
      <c r="C28" s="39" t="inlineStr">
        <is>
          <t>%</t>
        </is>
      </c>
      <c r="D28" s="55" t="inlineStr">
        <is>
          <t>GB/T 14571.7-2018</t>
        </is>
      </c>
      <c r="E28" s="39" t="inlineStr"/>
      <c r="F28" s="42" t="inlineStr">
        <is>
          <t>到货/收货基准（湿基）</t>
        </is>
      </c>
      <c r="G28" s="8" t="inlineStr">
        <is>
          <t>COA 表 §1 第11行</t>
        </is>
      </c>
      <c r="H28" s="8" t="inlineStr"/>
      <c r="I28" s="8" t="inlineStr"/>
    </row>
    <row r="30" ht="20" customHeight="1">
      <c r="A30" s="6" t="inlineStr">
        <is>
          <t>COA · 批次 DY-EG-260603B · COA_B_东越石化_DY-EG-260603B（模拟）.html</t>
        </is>
      </c>
    </row>
    <row r="31">
      <c r="A31" s="65" t="inlineStr">
        <is>
          <t>产品名称</t>
        </is>
      </c>
      <c r="B31" s="61" t="inlineStr">
        <is>
          <t>乙二醇</t>
        </is>
      </c>
    </row>
    <row r="32">
      <c r="A32" s="65" t="inlineStr">
        <is>
          <t>等级</t>
        </is>
      </c>
      <c r="B32" s="61" t="inlineStr">
        <is>
          <t>—</t>
        </is>
      </c>
    </row>
    <row r="33">
      <c r="A33" s="65" t="inlineStr">
        <is>
          <t>生产企业</t>
        </is>
      </c>
      <c r="B33" s="61" t="inlineStr">
        <is>
          <t>东越石化有限公司</t>
        </is>
      </c>
    </row>
    <row r="34">
      <c r="A34" s="65" t="inlineStr">
        <is>
          <t>生产批号</t>
        </is>
      </c>
      <c r="B34" s="61" t="inlineStr">
        <is>
          <t>DY260603B</t>
        </is>
      </c>
    </row>
    <row r="35">
      <c r="A35" s="65" t="inlineStr">
        <is>
          <t>证书编号</t>
        </is>
      </c>
      <c r="B35" s="61" t="inlineStr">
        <is>
          <t>DY-QC-26-0603</t>
        </is>
      </c>
    </row>
    <row r="36">
      <c r="A36" s="65" t="inlineStr">
        <is>
          <t>生产日期</t>
        </is>
      </c>
      <c r="B36" s="61" t="inlineStr">
        <is>
          <t>2026-06-03</t>
        </is>
      </c>
    </row>
    <row r="37">
      <c r="A37" s="65" t="inlineStr">
        <is>
          <t>检测日期</t>
        </is>
      </c>
      <c r="B37" s="61" t="inlineStr">
        <is>
          <t>2026-06-04</t>
        </is>
      </c>
    </row>
    <row r="38">
      <c r="A38" s="65" t="inlineStr">
        <is>
          <t>复检期至</t>
        </is>
      </c>
      <c r="B38" s="71" t="inlineStr">
        <is>
          <t>（缺失）</t>
        </is>
      </c>
    </row>
    <row r="39">
      <c r="A39" s="65" t="inlineStr">
        <is>
          <t>检测依据</t>
        </is>
      </c>
      <c r="B39" s="61" t="inlineStr">
        <is>
          <t>GB/T 4649-2018</t>
        </is>
      </c>
    </row>
    <row r="40">
      <c r="A40" s="65" t="inlineStr">
        <is>
          <t>检验结论</t>
        </is>
      </c>
      <c r="B40" s="61" t="inlineStr">
        <is>
          <t>符合优等品要求</t>
        </is>
      </c>
    </row>
    <row r="41">
      <c r="A41" s="65" t="inlineStr">
        <is>
          <t>包装/数量</t>
        </is>
      </c>
      <c r="B41" s="61" t="inlineStr">
        <is>
          <t>槽车散装 / 31.4 t</t>
        </is>
      </c>
    </row>
    <row r="42">
      <c r="A42" s="65" t="inlineStr">
        <is>
          <t>防伪码/签章</t>
        </is>
      </c>
      <c r="B42" s="61" t="inlineStr">
        <is>
          <t>防伪码 无；编制 张；审核 -；签发 -</t>
        </is>
      </c>
    </row>
    <row r="43" ht="30" customHeight="1">
      <c r="A43" s="12" t="inlineStr">
        <is>
          <t>指标名称</t>
        </is>
      </c>
      <c r="B43" s="12" t="inlineStr">
        <is>
          <t>实测值(原文)</t>
        </is>
      </c>
      <c r="C43" s="12" t="inlineStr">
        <is>
          <t>单位(原文)</t>
        </is>
      </c>
      <c r="D43" s="12" t="inlineStr">
        <is>
          <t>检测方法(原文)</t>
        </is>
      </c>
      <c r="E43" s="12" t="inlineStr">
        <is>
          <t>检出限</t>
        </is>
      </c>
      <c r="F43" s="12" t="inlineStr">
        <is>
          <t>基准</t>
        </is>
      </c>
      <c r="G43" s="12" t="inlineStr">
        <is>
          <t>原文位置</t>
        </is>
      </c>
      <c r="H43" s="12" t="inlineStr">
        <is>
          <t>备注</t>
        </is>
      </c>
      <c r="I43" s="12" t="inlineStr"/>
    </row>
    <row r="44">
      <c r="A44" s="34" t="inlineStr">
        <is>
          <t>纯度</t>
        </is>
      </c>
      <c r="B44" s="52" t="inlineStr">
        <is>
          <t>99.86</t>
        </is>
      </c>
      <c r="C44" s="39" t="inlineStr">
        <is>
          <t>%</t>
        </is>
      </c>
      <c r="D44" s="55" t="inlineStr">
        <is>
          <t>GB/T 14571.1-2018</t>
        </is>
      </c>
      <c r="E44" s="39" t="inlineStr"/>
      <c r="F44" s="42" t="inlineStr">
        <is>
          <t>到货/收货基准（湿基）</t>
        </is>
      </c>
      <c r="G44" s="8" t="inlineStr">
        <is>
          <t>COA-B 表 第1行</t>
        </is>
      </c>
      <c r="H44" s="8" t="inlineStr"/>
      <c r="I44" s="8" t="inlineStr"/>
    </row>
    <row r="45">
      <c r="A45" s="34" t="inlineStr">
        <is>
          <t>水分</t>
        </is>
      </c>
      <c r="B45" s="52" t="inlineStr">
        <is>
          <t>865</t>
        </is>
      </c>
      <c r="C45" s="39" t="inlineStr">
        <is>
          <t>ppm</t>
        </is>
      </c>
      <c r="D45" s="55" t="inlineStr">
        <is>
          <t>GB/T 6283-2008</t>
        </is>
      </c>
      <c r="E45" s="39" t="inlineStr"/>
      <c r="F45" s="42" t="inlineStr">
        <is>
          <t>到货/收货基准（湿基）</t>
        </is>
      </c>
      <c r="G45" s="8" t="inlineStr">
        <is>
          <t>COA-B 表 第2行</t>
        </is>
      </c>
      <c r="H45" s="8" t="inlineStr"/>
      <c r="I45" s="8" t="inlineStr"/>
    </row>
    <row r="46">
      <c r="A46" s="34" t="inlineStr">
        <is>
          <t>铁含量</t>
        </is>
      </c>
      <c r="B46" s="52" t="inlineStr">
        <is>
          <t>580</t>
        </is>
      </c>
      <c r="C46" s="39" t="inlineStr">
        <is>
          <t>ppb</t>
        </is>
      </c>
      <c r="D46" s="55" t="inlineStr">
        <is>
          <t>GB/T 14571.3-2018</t>
        </is>
      </c>
      <c r="E46" s="39" t="inlineStr">
        <is>
          <t>检出限 8 ppb</t>
        </is>
      </c>
      <c r="F46" s="42" t="inlineStr">
        <is>
          <t>到货/收货基准（湿基）</t>
        </is>
      </c>
      <c r="G46" s="8" t="inlineStr">
        <is>
          <t>COA-B 表 第3行</t>
        </is>
      </c>
      <c r="H46" s="8" t="inlineStr"/>
      <c r="I46" s="8" t="inlineStr"/>
    </row>
    <row r="47">
      <c r="A47" s="34" t="inlineStr">
        <is>
          <t>醛类（以乙醛计）</t>
        </is>
      </c>
      <c r="B47" s="52" t="inlineStr">
        <is>
          <t>7.2</t>
        </is>
      </c>
      <c r="C47" s="39" t="inlineStr">
        <is>
          <t>ppm</t>
        </is>
      </c>
      <c r="D47" s="55" t="inlineStr">
        <is>
          <t>GB/T 14571.6-2018</t>
        </is>
      </c>
      <c r="E47" s="39" t="inlineStr"/>
      <c r="F47" s="42" t="inlineStr">
        <is>
          <t>到货/收货基准（湿基）</t>
        </is>
      </c>
      <c r="G47" s="8" t="inlineStr">
        <is>
          <t>COA-B 表 第4行</t>
        </is>
      </c>
      <c r="H47" s="8" t="inlineStr"/>
      <c r="I47" s="8" t="inlineStr"/>
    </row>
    <row r="48">
      <c r="A48" s="34" t="inlineStr">
        <is>
          <t>色度</t>
        </is>
      </c>
      <c r="B48" s="52" t="inlineStr">
        <is>
          <t>12</t>
        </is>
      </c>
      <c r="C48" s="39" t="inlineStr">
        <is>
          <t>Hazen</t>
        </is>
      </c>
      <c r="D48" s="55" t="inlineStr">
        <is>
          <t>GB/T 3143-1982</t>
        </is>
      </c>
      <c r="E48" s="39" t="inlineStr"/>
      <c r="F48" s="42" t="inlineStr">
        <is>
          <t>到货/收货基准（湿基）</t>
        </is>
      </c>
      <c r="G48" s="8" t="inlineStr">
        <is>
          <t>COA-B 表 第5行</t>
        </is>
      </c>
      <c r="H48" s="8" t="inlineStr"/>
      <c r="I48" s="8" t="inlineStr"/>
    </row>
    <row r="49">
      <c r="A49" s="34" t="inlineStr">
        <is>
          <t>酸度</t>
        </is>
      </c>
      <c r="B49" s="52" t="inlineStr">
        <is>
          <t>未检测</t>
        </is>
      </c>
      <c r="C49" s="39" t="inlineStr">
        <is>
          <t>%</t>
        </is>
      </c>
      <c r="D49" s="55" t="inlineStr">
        <is>
          <t>—</t>
        </is>
      </c>
      <c r="E49" s="39" t="inlineStr"/>
      <c r="F49" s="42" t="inlineStr">
        <is>
          <t>到货/收货基准（湿基）</t>
        </is>
      </c>
      <c r="G49" s="8" t="inlineStr">
        <is>
          <t>COA-B 表 第6行</t>
        </is>
      </c>
      <c r="H49" s="8" t="inlineStr">
        <is>
          <t>标注'本批未检'</t>
        </is>
      </c>
      <c r="I49" s="8" t="inlineStr"/>
    </row>
    <row r="50">
      <c r="A50" s="34" t="inlineStr">
        <is>
          <t>外观</t>
        </is>
      </c>
      <c r="B50" s="52" t="inlineStr">
        <is>
          <t>微带浅黄色，透明度略差</t>
        </is>
      </c>
      <c r="C50" s="39" t="inlineStr">
        <is>
          <t>—</t>
        </is>
      </c>
      <c r="D50" s="55" t="inlineStr">
        <is>
          <t>目视法</t>
        </is>
      </c>
      <c r="E50" s="39" t="inlineStr"/>
      <c r="F50" s="42" t="inlineStr">
        <is>
          <t>到货/收货基准（湿基）</t>
        </is>
      </c>
      <c r="G50" s="8" t="inlineStr">
        <is>
          <t>COA-B 表 第7行</t>
        </is>
      </c>
      <c r="H50" s="8" t="inlineStr"/>
      <c r="I50" s="8" t="inlineStr"/>
    </row>
    <row r="51">
      <c r="A51" s="34" t="inlineStr">
        <is>
          <t>密度（15℃）</t>
        </is>
      </c>
      <c r="B51" s="52" t="inlineStr">
        <is>
          <t>1.1171</t>
        </is>
      </c>
      <c r="C51" s="39" t="inlineStr">
        <is>
          <t>g/cm³</t>
        </is>
      </c>
      <c r="D51" s="55" t="inlineStr">
        <is>
          <t>GB/T 4472-2011</t>
        </is>
      </c>
      <c r="E51" s="39" t="inlineStr"/>
      <c r="F51" s="42" t="inlineStr">
        <is>
          <t>到货/收货基准（湿基）</t>
        </is>
      </c>
      <c r="G51" s="8" t="inlineStr">
        <is>
          <t>COA-B 表 第8行</t>
        </is>
      </c>
      <c r="H51" s="8" t="inlineStr">
        <is>
          <t>测定温度为 15℃，与规格约定的 20℃ 不同</t>
        </is>
      </c>
      <c r="I51" s="8" t="inlineStr"/>
    </row>
    <row r="53" ht="20" customHeight="1">
      <c r="A53" s="6" t="inlineStr">
        <is>
          <t>规格 · 年度采购框架合同 · 技术附件（质量条款） · CMSY-HT-2026-0417-附件2 第1版</t>
        </is>
      </c>
    </row>
    <row r="54" ht="30" customHeight="1">
      <c r="A54" s="12" t="inlineStr">
        <is>
          <t>指标</t>
        </is>
      </c>
      <c r="B54" s="12" t="inlineStr">
        <is>
          <t>单位</t>
        </is>
      </c>
      <c r="C54" s="12" t="inlineStr">
        <is>
          <t>限值(原文)</t>
        </is>
      </c>
      <c r="D54" s="12" t="inlineStr">
        <is>
          <t>方法(约定)</t>
        </is>
      </c>
      <c r="E54" s="12" t="inlineStr">
        <is>
          <t>基准</t>
        </is>
      </c>
      <c r="F54" s="12" t="inlineStr">
        <is>
          <t>类别</t>
        </is>
      </c>
      <c r="G54" s="12" t="inlineStr">
        <is>
          <t>原文位置</t>
        </is>
      </c>
      <c r="H54" s="12" t="inlineStr"/>
      <c r="I54" s="12" t="inlineStr"/>
    </row>
    <row r="55">
      <c r="A55" s="34" t="inlineStr">
        <is>
          <t>乙二醇含量</t>
        </is>
      </c>
      <c r="B55" s="39" t="inlineStr">
        <is>
          <t>%</t>
        </is>
      </c>
      <c r="C55" s="52" t="inlineStr">
        <is>
          <t>≥99.85</t>
        </is>
      </c>
      <c r="D55" s="55" t="inlineStr">
        <is>
          <t>GB/T 14571.1</t>
        </is>
      </c>
      <c r="E55" s="42" t="inlineStr">
        <is>
          <t>到货/收货基准（湿基）</t>
        </is>
      </c>
      <c r="F55" s="42" t="inlineStr">
        <is>
          <t>含量</t>
        </is>
      </c>
      <c r="G55" s="8" t="inlineStr">
        <is>
          <t>技术附件 §3.2 表3-1 第1行（低于国标优等品 99.90%，按合同优先原则执行 ≥99.85%）</t>
        </is>
      </c>
      <c r="H55" s="8" t="inlineStr"/>
      <c r="I55" s="8" t="inlineStr"/>
    </row>
    <row r="56">
      <c r="A56" s="34" t="inlineStr">
        <is>
          <t>水分</t>
        </is>
      </c>
      <c r="B56" s="39" t="inlineStr">
        <is>
          <t>%</t>
        </is>
      </c>
      <c r="C56" s="52" t="inlineStr">
        <is>
          <t>≤0.08</t>
        </is>
      </c>
      <c r="D56" s="55" t="inlineStr">
        <is>
          <t>GB/T 6283</t>
        </is>
      </c>
      <c r="E56" s="42" t="inlineStr">
        <is>
          <t>到货/收货基准（湿基）</t>
        </is>
      </c>
      <c r="F56" s="42" t="inlineStr">
        <is>
          <t>水分</t>
        </is>
      </c>
      <c r="G56" s="8" t="inlineStr">
        <is>
          <t>技术附件 §3.2 表3-1 第2行</t>
        </is>
      </c>
      <c r="H56" s="8" t="inlineStr"/>
      <c r="I56" s="8" t="inlineStr"/>
    </row>
    <row r="57">
      <c r="A57" s="34" t="inlineStr">
        <is>
          <t>醛(以乙醛计)</t>
        </is>
      </c>
      <c r="B57" s="39" t="inlineStr">
        <is>
          <t>ppm</t>
        </is>
      </c>
      <c r="C57" s="52" t="inlineStr">
        <is>
          <t>≤5</t>
        </is>
      </c>
      <c r="D57" s="55" t="inlineStr">
        <is>
          <t>GB/T 14571.6</t>
        </is>
      </c>
      <c r="E57" s="42" t="inlineStr">
        <is>
          <t>到货/收货基准（湿基）</t>
        </is>
      </c>
      <c r="F57" s="42" t="inlineStr">
        <is>
          <t>杂质</t>
        </is>
      </c>
      <c r="G57" s="8" t="inlineStr">
        <is>
          <t>技术附件 §3.3 特殊质量条款</t>
        </is>
      </c>
      <c r="H57" s="8" t="inlineStr"/>
      <c r="I57" s="8" t="inlineStr"/>
    </row>
    <row r="58">
      <c r="A58" s="34" t="inlineStr">
        <is>
          <t>外观</t>
        </is>
      </c>
      <c r="B58" s="39" t="inlineStr">
        <is>
          <t>—</t>
        </is>
      </c>
      <c r="C58" s="52" t="inlineStr">
        <is>
          <t>无色透明、无可见机械杂质</t>
        </is>
      </c>
      <c r="D58" s="55" t="inlineStr">
        <is>
          <t>目视法</t>
        </is>
      </c>
      <c r="E58" s="42" t="inlineStr">
        <is>
          <t>到货/收货基准（湿基）</t>
        </is>
      </c>
      <c r="F58" s="42" t="inlineStr">
        <is>
          <t>外观</t>
        </is>
      </c>
      <c r="G58" s="8" t="inlineStr">
        <is>
          <t>技术附件 §3.2 表3-1 第9行</t>
        </is>
      </c>
      <c r="H58" s="8" t="inlineStr"/>
      <c r="I58" s="8" t="inlineStr"/>
    </row>
    <row r="59">
      <c r="A59" s="34" t="inlineStr">
        <is>
          <t>色度</t>
        </is>
      </c>
      <c r="B59" s="39" t="inlineStr">
        <is>
          <t>Hazen</t>
        </is>
      </c>
      <c r="C59" s="52" t="inlineStr">
        <is>
          <t>≤10</t>
        </is>
      </c>
      <c r="D59" s="55" t="inlineStr">
        <is>
          <t>GB/T 3143</t>
        </is>
      </c>
      <c r="E59" s="42" t="inlineStr">
        <is>
          <t>到货/收货基准（湿基）</t>
        </is>
      </c>
      <c r="F59" s="42" t="inlineStr">
        <is>
          <t>物性</t>
        </is>
      </c>
      <c r="G59" s="8" t="inlineStr">
        <is>
          <t>技术附件 §3.2 表3-1 第3行</t>
        </is>
      </c>
      <c r="H59" s="8" t="inlineStr"/>
      <c r="I59" s="8" t="inlineStr"/>
    </row>
    <row r="60">
      <c r="A60" s="34" t="inlineStr">
        <is>
          <t>灰分</t>
        </is>
      </c>
      <c r="B60" s="39" t="inlineStr">
        <is>
          <t>%</t>
        </is>
      </c>
      <c r="C60" s="52" t="inlineStr">
        <is>
          <t>≤0.002</t>
        </is>
      </c>
      <c r="D60" s="55" t="inlineStr">
        <is>
          <t>GB/T 14571.5</t>
        </is>
      </c>
      <c r="E60" s="42" t="inlineStr">
        <is>
          <t>到货/收货基准（湿基）</t>
        </is>
      </c>
      <c r="F60" s="42" t="inlineStr">
        <is>
          <t>杂质</t>
        </is>
      </c>
      <c r="G60" s="8" t="inlineStr">
        <is>
          <t>技术附件 §3.2 表3-1 第6行</t>
        </is>
      </c>
      <c r="H60" s="8" t="inlineStr"/>
      <c r="I60" s="8" t="inlineStr"/>
    </row>
    <row r="61">
      <c r="A61" s="34" t="inlineStr">
        <is>
          <t>二乙二醇(DEG)</t>
        </is>
      </c>
      <c r="B61" s="39" t="inlineStr">
        <is>
          <t>%</t>
        </is>
      </c>
      <c r="C61" s="52" t="inlineStr">
        <is>
          <t>≤0.01</t>
        </is>
      </c>
      <c r="D61" s="55" t="inlineStr">
        <is>
          <t>GB/T 14571.7</t>
        </is>
      </c>
      <c r="E61" s="42" t="inlineStr">
        <is>
          <t>到货/收货基准（湿基）</t>
        </is>
      </c>
      <c r="F61" s="42" t="inlineStr">
        <is>
          <t>杂质</t>
        </is>
      </c>
      <c r="G61" s="8" t="inlineStr">
        <is>
          <t>技术附件 §3.3 特殊质量条款（合同新增，规格书未约定）</t>
        </is>
      </c>
      <c r="H61" s="8" t="inlineStr"/>
      <c r="I61" s="8" t="inlineStr"/>
    </row>
    <row r="63" ht="20" customHeight="1">
      <c r="A63" s="6" t="inlineStr">
        <is>
          <t>规格 · 工业用乙二醇 采购质量规格书 · CMSY-QS-MEG-2026-03 Rev.C</t>
        </is>
      </c>
    </row>
    <row r="64" ht="30" customHeight="1">
      <c r="A64" s="12" t="inlineStr">
        <is>
          <t>指标</t>
        </is>
      </c>
      <c r="B64" s="12" t="inlineStr">
        <is>
          <t>单位</t>
        </is>
      </c>
      <c r="C64" s="12" t="inlineStr">
        <is>
          <t>限值(原文)</t>
        </is>
      </c>
      <c r="D64" s="12" t="inlineStr">
        <is>
          <t>方法(约定)</t>
        </is>
      </c>
      <c r="E64" s="12" t="inlineStr">
        <is>
          <t>基准</t>
        </is>
      </c>
      <c r="F64" s="12" t="inlineStr">
        <is>
          <t>类别</t>
        </is>
      </c>
      <c r="G64" s="12" t="inlineStr">
        <is>
          <t>原文位置</t>
        </is>
      </c>
      <c r="H64" s="12" t="inlineStr"/>
      <c r="I64" s="12" t="inlineStr"/>
    </row>
    <row r="65">
      <c r="A65" s="34" t="inlineStr">
        <is>
          <t>纯度</t>
        </is>
      </c>
      <c r="B65" s="39" t="inlineStr">
        <is>
          <t>%</t>
        </is>
      </c>
      <c r="C65" s="52" t="inlineStr">
        <is>
          <t>≥99.9</t>
        </is>
      </c>
      <c r="D65" s="55" t="inlineStr">
        <is>
          <t>GB/T 14571.1</t>
        </is>
      </c>
      <c r="E65" s="42" t="inlineStr">
        <is>
          <t>到货/收货基准（湿基）</t>
        </is>
      </c>
      <c r="F65" s="42" t="inlineStr">
        <is>
          <t>含量</t>
        </is>
      </c>
      <c r="G65" s="8" t="inlineStr">
        <is>
          <t>规格书 §4.1 表1 第1行</t>
        </is>
      </c>
      <c r="H65" s="8" t="inlineStr"/>
      <c r="I65" s="8" t="inlineStr"/>
    </row>
    <row r="66">
      <c r="A66" s="34" t="inlineStr">
        <is>
          <t>水分</t>
        </is>
      </c>
      <c r="B66" s="39" t="inlineStr">
        <is>
          <t>%</t>
        </is>
      </c>
      <c r="C66" s="52" t="inlineStr">
        <is>
          <t>≤0.08</t>
        </is>
      </c>
      <c r="D66" s="55" t="inlineStr">
        <is>
          <t>GB/T 6283</t>
        </is>
      </c>
      <c r="E66" s="42" t="inlineStr">
        <is>
          <t>到货/收货基准（湿基）</t>
        </is>
      </c>
      <c r="F66" s="42" t="inlineStr">
        <is>
          <t>水分</t>
        </is>
      </c>
      <c r="G66" s="8" t="inlineStr">
        <is>
          <t>规格书 §4.1 表1 第2行</t>
        </is>
      </c>
      <c r="H66" s="8" t="inlineStr"/>
      <c r="I66" s="8" t="inlineStr"/>
    </row>
    <row r="67">
      <c r="A67" s="34" t="inlineStr">
        <is>
          <t>色度</t>
        </is>
      </c>
      <c r="B67" s="39" t="inlineStr">
        <is>
          <t>Hazen</t>
        </is>
      </c>
      <c r="C67" s="52" t="inlineStr">
        <is>
          <t>≤10</t>
        </is>
      </c>
      <c r="D67" s="55" t="inlineStr">
        <is>
          <t>GB/T 3143</t>
        </is>
      </c>
      <c r="E67" s="42" t="inlineStr">
        <is>
          <t>到货/收货基准（湿基）</t>
        </is>
      </c>
      <c r="F67" s="42" t="inlineStr">
        <is>
          <t>物性</t>
        </is>
      </c>
      <c r="G67" s="8" t="inlineStr">
        <is>
          <t>规格书 §4.1 表1 第3行</t>
        </is>
      </c>
      <c r="H67" s="8" t="inlineStr"/>
      <c r="I67" s="8" t="inlineStr"/>
    </row>
    <row r="68">
      <c r="A68" s="34" t="inlineStr">
        <is>
          <t>酸度(以乙酸计)</t>
        </is>
      </c>
      <c r="B68" s="39" t="inlineStr">
        <is>
          <t>%</t>
        </is>
      </c>
      <c r="C68" s="52" t="inlineStr">
        <is>
          <t>≤0.001</t>
        </is>
      </c>
      <c r="D68" s="55" t="inlineStr">
        <is>
          <t>GB/T 14571.4</t>
        </is>
      </c>
      <c r="E68" s="42" t="inlineStr">
        <is>
          <t>到货/收货基准（湿基）</t>
        </is>
      </c>
      <c r="F68" s="42" t="inlineStr">
        <is>
          <t>杂质</t>
        </is>
      </c>
      <c r="G68" s="8" t="inlineStr">
        <is>
          <t>规格书 §4.1 表1 第4行</t>
        </is>
      </c>
      <c r="H68" s="8" t="inlineStr"/>
      <c r="I68" s="8" t="inlineStr"/>
    </row>
    <row r="69">
      <c r="A69" s="34" t="inlineStr">
        <is>
          <t>铁</t>
        </is>
      </c>
      <c r="B69" s="39" t="inlineStr">
        <is>
          <t>ppm</t>
        </is>
      </c>
      <c r="C69" s="52" t="inlineStr">
        <is>
          <t>≤0.5</t>
        </is>
      </c>
      <c r="D69" s="55" t="inlineStr">
        <is>
          <t>GB/T 14571.3</t>
        </is>
      </c>
      <c r="E69" s="42" t="inlineStr">
        <is>
          <t>到货/收货基准（湿基）</t>
        </is>
      </c>
      <c r="F69" s="42" t="inlineStr">
        <is>
          <t>杂质</t>
        </is>
      </c>
      <c r="G69" s="8" t="inlineStr">
        <is>
          <t>规格书 §4.1 表1 第5行（注1：铁以 Fe 计，ppb 表示时须换算）</t>
        </is>
      </c>
      <c r="H69" s="8" t="inlineStr"/>
      <c r="I69" s="8" t="inlineStr"/>
    </row>
    <row r="70">
      <c r="A70" s="34" t="inlineStr">
        <is>
          <t>灰分</t>
        </is>
      </c>
      <c r="B70" s="39" t="inlineStr">
        <is>
          <t>%</t>
        </is>
      </c>
      <c r="C70" s="52" t="inlineStr">
        <is>
          <t>≤0.002</t>
        </is>
      </c>
      <c r="D70" s="55" t="inlineStr">
        <is>
          <t>GB/T 14571.5</t>
        </is>
      </c>
      <c r="E70" s="42" t="inlineStr">
        <is>
          <t>到货/收货基准（湿基）</t>
        </is>
      </c>
      <c r="F70" s="42" t="inlineStr">
        <is>
          <t>杂质</t>
        </is>
      </c>
      <c r="G70" s="8" t="inlineStr">
        <is>
          <t>规格书 §4.1 表1 第6行</t>
        </is>
      </c>
      <c r="H70" s="8" t="inlineStr"/>
      <c r="I70" s="8" t="inlineStr"/>
    </row>
    <row r="71">
      <c r="A71" s="34" t="inlineStr">
        <is>
          <t>醛(以乙醛计)</t>
        </is>
      </c>
      <c r="B71" s="39" t="inlineStr">
        <is>
          <t>ppm</t>
        </is>
      </c>
      <c r="C71" s="52" t="inlineStr">
        <is>
          <t>≤5</t>
        </is>
      </c>
      <c r="D71" s="55" t="inlineStr">
        <is>
          <t>GB/T 14571.6</t>
        </is>
      </c>
      <c r="E71" s="42" t="inlineStr">
        <is>
          <t>到货/收货基准（湿基）</t>
        </is>
      </c>
      <c r="F71" s="42" t="inlineStr">
        <is>
          <t>杂质</t>
        </is>
      </c>
      <c r="G71" s="8" t="inlineStr">
        <is>
          <t>规格书 §4.1 表1 第7行</t>
        </is>
      </c>
      <c r="H71" s="8" t="inlineStr"/>
      <c r="I71" s="8" t="inlineStr"/>
    </row>
    <row r="72">
      <c r="A72" s="34" t="inlineStr">
        <is>
          <t>密度(20℃)</t>
        </is>
      </c>
      <c r="B72" s="39" t="inlineStr">
        <is>
          <t>g/cm³</t>
        </is>
      </c>
      <c r="C72" s="52" t="inlineStr">
        <is>
          <t>≥1.112</t>
        </is>
      </c>
      <c r="D72" s="55" t="inlineStr">
        <is>
          <t>GB/T 4472</t>
        </is>
      </c>
      <c r="E72" s="42" t="inlineStr">
        <is>
          <t>到货/收货基准（湿基）</t>
        </is>
      </c>
      <c r="F72" s="42" t="inlineStr">
        <is>
          <t>物性</t>
        </is>
      </c>
      <c r="G72" s="8" t="inlineStr">
        <is>
          <t>规格书 §4.1 表1 第8行</t>
        </is>
      </c>
      <c r="H72" s="8" t="inlineStr"/>
      <c r="I72" s="8" t="inlineStr"/>
    </row>
    <row r="73">
      <c r="A73" s="34" t="inlineStr">
        <is>
          <t>外观</t>
        </is>
      </c>
      <c r="B73" s="39" t="inlineStr">
        <is>
          <t>—</t>
        </is>
      </c>
      <c r="C73" s="52" t="inlineStr">
        <is>
          <t>无色透明、无可见机械杂质</t>
        </is>
      </c>
      <c r="D73" s="55" t="inlineStr">
        <is>
          <t>目视法</t>
        </is>
      </c>
      <c r="E73" s="42" t="inlineStr">
        <is>
          <t>到货/收货基准（湿基）</t>
        </is>
      </c>
      <c r="F73" s="42" t="inlineStr">
        <is>
          <t>外观</t>
        </is>
      </c>
      <c r="G73" s="8" t="inlineStr">
        <is>
          <t>规格书 §4.1 表1 第9行</t>
        </is>
      </c>
      <c r="H73" s="8" t="inlineStr"/>
      <c r="I73" s="8" t="inlineStr"/>
    </row>
    <row r="74">
      <c r="A74" s="34" t="inlineStr">
        <is>
          <t>蒸发残渣</t>
        </is>
      </c>
      <c r="B74" s="39" t="inlineStr">
        <is>
          <t>%</t>
        </is>
      </c>
      <c r="C74" s="52" t="inlineStr">
        <is>
          <t>≤0.002</t>
        </is>
      </c>
      <c r="D74" s="55" t="inlineStr">
        <is>
          <t>GB/T 6324.2</t>
        </is>
      </c>
      <c r="E74" s="42" t="inlineStr">
        <is>
          <t>到货/收货基准（湿基）</t>
        </is>
      </c>
      <c r="F74" s="42" t="inlineStr">
        <is>
          <t>杂质</t>
        </is>
      </c>
      <c r="G74" s="8" t="inlineStr">
        <is>
          <t>规格书 §4.1 表1 第10行</t>
        </is>
      </c>
      <c r="H74" s="8" t="inlineStr"/>
      <c r="I74" s="8" t="inlineStr"/>
    </row>
    <row r="76" ht="20" customHeight="1">
      <c r="A76" s="6" t="inlineStr">
        <is>
          <t>标准参照 · GB/T 4649-2018（非合同引用，仅供对照）</t>
        </is>
      </c>
    </row>
    <row r="77" ht="30" customHeight="1">
      <c r="A77" s="12" t="inlineStr">
        <is>
          <t>指标</t>
        </is>
      </c>
      <c r="B77" s="12" t="inlineStr">
        <is>
          <t>单位</t>
        </is>
      </c>
      <c r="C77" s="12" t="inlineStr">
        <is>
          <t>限值</t>
        </is>
      </c>
      <c r="D77" s="12" t="inlineStr">
        <is>
          <t>方法</t>
        </is>
      </c>
      <c r="E77" s="12" t="inlineStr"/>
      <c r="F77" s="12" t="inlineStr"/>
      <c r="G77" s="12" t="inlineStr">
        <is>
          <t>说明</t>
        </is>
      </c>
      <c r="H77" s="12" t="inlineStr"/>
      <c r="I77" s="12" t="inlineStr"/>
    </row>
    <row r="78">
      <c r="A78" s="8" t="inlineStr">
        <is>
          <t>乙二醇含量</t>
        </is>
      </c>
      <c r="B78" s="39" t="inlineStr">
        <is>
          <t>%</t>
        </is>
      </c>
      <c r="C78" s="39" t="inlineStr">
        <is>
          <t>≥99.9</t>
        </is>
      </c>
      <c r="D78" s="55" t="inlineStr">
        <is>
          <t>GB/T 14571.1</t>
        </is>
      </c>
      <c r="E78" s="8" t="inlineStr"/>
      <c r="F78" s="8" t="inlineStr"/>
      <c r="G78" s="8" t="inlineStr">
        <is>
          <t>参照：GB/T 4649-2018 表1 优等品</t>
        </is>
      </c>
      <c r="H78" s="8" t="inlineStr"/>
      <c r="I78" s="8" t="inlineStr"/>
    </row>
    <row r="79">
      <c r="A79" s="8" t="inlineStr">
        <is>
          <t>水分</t>
        </is>
      </c>
      <c r="B79" s="39" t="inlineStr">
        <is>
          <t>%</t>
        </is>
      </c>
      <c r="C79" s="39" t="inlineStr">
        <is>
          <t>≤0.08</t>
        </is>
      </c>
      <c r="D79" s="55" t="inlineStr">
        <is>
          <t>GB/T 6283</t>
        </is>
      </c>
      <c r="E79" s="8" t="inlineStr"/>
      <c r="F79" s="8" t="inlineStr"/>
      <c r="G79" s="8" t="inlineStr">
        <is>
          <t>参照：GB/T 4649-2018 表1 优等品</t>
        </is>
      </c>
      <c r="H79" s="8" t="inlineStr"/>
      <c r="I79" s="8" t="inlineStr"/>
    </row>
    <row r="80">
      <c r="A80" s="8" t="inlineStr">
        <is>
          <t>色度</t>
        </is>
      </c>
      <c r="B80" s="39" t="inlineStr">
        <is>
          <t>Hazen</t>
        </is>
      </c>
      <c r="C80" s="39" t="inlineStr">
        <is>
          <t>≤10</t>
        </is>
      </c>
      <c r="D80" s="55" t="inlineStr">
        <is>
          <t>GB/T 3143</t>
        </is>
      </c>
      <c r="E80" s="8" t="inlineStr"/>
      <c r="F80" s="8" t="inlineStr"/>
      <c r="G80" s="8" t="inlineStr">
        <is>
          <t>参照：GB/T 4649-2018 表1 优等品</t>
        </is>
      </c>
      <c r="H80" s="8" t="inlineStr"/>
      <c r="I80" s="8" t="inlineStr"/>
    </row>
    <row r="81">
      <c r="A81" s="8" t="inlineStr">
        <is>
          <t>酸度</t>
        </is>
      </c>
      <c r="B81" s="39" t="inlineStr">
        <is>
          <t>%</t>
        </is>
      </c>
      <c r="C81" s="39" t="inlineStr">
        <is>
          <t>≤0.001</t>
        </is>
      </c>
      <c r="D81" s="55" t="inlineStr">
        <is>
          <t>GB/T 14571.4</t>
        </is>
      </c>
      <c r="E81" s="8" t="inlineStr"/>
      <c r="F81" s="8" t="inlineStr"/>
      <c r="G81" s="8" t="inlineStr">
        <is>
          <t>参照：GB/T 4649-2018 表1 优等品</t>
        </is>
      </c>
      <c r="H81" s="8" t="inlineStr"/>
      <c r="I81" s="8" t="inlineStr"/>
    </row>
    <row r="82">
      <c r="A82" s="8" t="inlineStr">
        <is>
          <t>铁</t>
        </is>
      </c>
      <c r="B82" s="39" t="inlineStr">
        <is>
          <t>ppm</t>
        </is>
      </c>
      <c r="C82" s="39" t="inlineStr">
        <is>
          <t>≤0.5</t>
        </is>
      </c>
      <c r="D82" s="55" t="inlineStr">
        <is>
          <t>GB/T 14571.3</t>
        </is>
      </c>
      <c r="E82" s="8" t="inlineStr"/>
      <c r="F82" s="8" t="inlineStr"/>
      <c r="G82" s="8" t="inlineStr">
        <is>
          <t>参照：GB/T 4649-2018 表1 优等品</t>
        </is>
      </c>
      <c r="H82" s="8" t="inlineStr"/>
      <c r="I82" s="8" t="inlineStr"/>
    </row>
    <row r="83">
      <c r="A83" s="8" t="inlineStr">
        <is>
          <t>灰分</t>
        </is>
      </c>
      <c r="B83" s="39" t="inlineStr">
        <is>
          <t>%</t>
        </is>
      </c>
      <c r="C83" s="39" t="inlineStr">
        <is>
          <t>≤0.002</t>
        </is>
      </c>
      <c r="D83" s="55" t="inlineStr">
        <is>
          <t>GB/T 14571.5</t>
        </is>
      </c>
      <c r="E83" s="8" t="inlineStr"/>
      <c r="F83" s="8" t="inlineStr"/>
      <c r="G83" s="8" t="inlineStr">
        <is>
          <t>参照：GB/T 4649-2018 表1 优等品</t>
        </is>
      </c>
      <c r="H83" s="8" t="inlineStr"/>
      <c r="I83" s="8" t="inlineStr"/>
    </row>
    <row r="84">
      <c r="A84" s="8" t="inlineStr">
        <is>
          <t>醛</t>
        </is>
      </c>
      <c r="B84" s="39" t="inlineStr">
        <is>
          <t>ppm</t>
        </is>
      </c>
      <c r="C84" s="39" t="inlineStr">
        <is>
          <t>≤5</t>
        </is>
      </c>
      <c r="D84" s="55" t="inlineStr">
        <is>
          <t>GB/T 14571.6</t>
        </is>
      </c>
      <c r="E84" s="8" t="inlineStr"/>
      <c r="F84" s="8" t="inlineStr"/>
      <c r="G84" s="8" t="inlineStr">
        <is>
          <t>参照：GB/T 4649-2018 表1 优等品</t>
        </is>
      </c>
      <c r="H84" s="8" t="inlineStr"/>
      <c r="I84" s="8" t="inlineStr"/>
    </row>
    <row r="85">
      <c r="A85" s="8" t="inlineStr">
        <is>
          <t>密度(20℃)</t>
        </is>
      </c>
      <c r="B85" s="39" t="inlineStr">
        <is>
          <t>g/cm³</t>
        </is>
      </c>
      <c r="C85" s="39" t="inlineStr">
        <is>
          <t>≈1.113</t>
        </is>
      </c>
      <c r="D85" s="55" t="inlineStr">
        <is>
          <t>GB/T 4472</t>
        </is>
      </c>
      <c r="E85" s="8" t="inlineStr"/>
      <c r="F85" s="8" t="inlineStr"/>
      <c r="G85" s="8" t="inlineStr">
        <is>
          <t>参照：GB/T 4649-2018 表1 优等品</t>
        </is>
      </c>
      <c r="H85" s="8" t="inlineStr"/>
      <c r="I85" s="8" t="inlineStr"/>
    </row>
    <row r="86">
      <c r="A86" s="8" t="inlineStr">
        <is>
          <t>外观</t>
        </is>
      </c>
      <c r="B86" s="39" t="inlineStr">
        <is>
          <t>—</t>
        </is>
      </c>
      <c r="C86" s="39" t="inlineStr">
        <is>
          <t>无色透明、无可见机械杂质</t>
        </is>
      </c>
      <c r="D86" s="55" t="inlineStr">
        <is>
          <t>目视法</t>
        </is>
      </c>
      <c r="E86" s="8" t="inlineStr"/>
      <c r="F86" s="8" t="inlineStr"/>
      <c r="G86" s="8" t="inlineStr">
        <is>
          <t>参照：GB/T 4649-2018 表1 优等品</t>
        </is>
      </c>
      <c r="H86" s="8" t="inlineStr"/>
      <c r="I86" s="8" t="inlineStr"/>
    </row>
    <row r="87">
      <c r="A87" s="8" t="inlineStr">
        <is>
          <t>蒸发残渣</t>
        </is>
      </c>
      <c r="B87" s="39" t="inlineStr">
        <is>
          <t>%</t>
        </is>
      </c>
      <c r="C87" s="39" t="inlineStr">
        <is>
          <t>≤0.002</t>
        </is>
      </c>
      <c r="D87" s="55" t="inlineStr">
        <is>
          <t>GB/T 6324.2</t>
        </is>
      </c>
      <c r="E87" s="8" t="inlineStr"/>
      <c r="F87" s="8" t="inlineStr"/>
      <c r="G87" s="8" t="inlineStr">
        <is>
          <t>参照：GB/T 4649-2018 表1 优等品</t>
        </is>
      </c>
      <c r="H87" s="8" t="inlineStr"/>
      <c r="I87" s="8" t="inlineStr"/>
    </row>
    <row r="88">
      <c r="A88" s="8" t="inlineStr">
        <is>
          <t>二乙二醇</t>
        </is>
      </c>
      <c r="B88" s="39" t="inlineStr">
        <is>
          <t>%</t>
        </is>
      </c>
      <c r="C88" s="39" t="inlineStr">
        <is>
          <t>≤0.01</t>
        </is>
      </c>
      <c r="D88" s="55" t="inlineStr">
        <is>
          <t>GB/T 14571.7</t>
        </is>
      </c>
      <c r="E88" s="8" t="inlineStr"/>
      <c r="F88" s="8" t="inlineStr"/>
      <c r="G88" s="8" t="inlineStr">
        <is>
          <t>参照：GB/T 4649-2018 表1 优等品</t>
        </is>
      </c>
      <c r="H88" s="8" t="inlineStr"/>
      <c r="I88" s="8" t="inlineStr"/>
    </row>
  </sheetData>
  <mergeCells count="6">
    <mergeCell ref="A2:I2"/>
    <mergeCell ref="A63:I63"/>
    <mergeCell ref="A76:I76"/>
    <mergeCell ref="A53:I53"/>
    <mergeCell ref="A4:I4"/>
    <mergeCell ref="A30:I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76" customWidth="1" min="4" max="4"/>
    <col width="26" customWidth="1" min="5" max="5"/>
    <col width="6" customWidth="1" min="6" max="6"/>
  </cols>
  <sheetData>
    <row r="1" ht="26" customHeight="1">
      <c r="A1" s="1" t="inlineStr">
        <is>
          <t>判定规则卡（去重后）</t>
        </is>
      </c>
    </row>
    <row r="2" ht="30" customHeight="1">
      <c r="A2" s="2" t="inlineStr">
        <is>
          <t>本页签即引擎的判定顺序；改动本页签不会改变结果，改规则请改 references/*.md 与 coa_lib.py</t>
        </is>
      </c>
    </row>
    <row r="4" ht="30" customHeight="1">
      <c r="A4" s="12" t="inlineStr">
        <is>
          <t>优先级</t>
        </is>
      </c>
      <c r="B4" s="12" t="inlineStr">
        <is>
          <t>规则</t>
        </is>
      </c>
      <c r="C4" s="12" t="inlineStr">
        <is>
          <t>判定结果</t>
        </is>
      </c>
      <c r="D4" s="12" t="inlineStr">
        <is>
          <t>说明</t>
        </is>
      </c>
      <c r="E4" s="12" t="inlineStr">
        <is>
          <t>代码位置</t>
        </is>
      </c>
      <c r="F4" s="12" t="inlineStr"/>
    </row>
    <row r="5" ht="32" customHeight="1">
      <c r="A5" s="52" t="inlineStr">
        <is>
          <t>1</t>
        </is>
      </c>
      <c r="B5" s="34" t="inlineStr">
        <is>
          <t>规格文件未约定该指标限值</t>
        </is>
      </c>
      <c r="C5" s="21" t="inlineStr">
        <is>
          <t>规格未约定</t>
        </is>
      </c>
      <c r="D5" s="8" t="inlineStr">
        <is>
          <t>合同/规格/标准均无该指标。生产规格或供应商建议值只作提示，不改判定；若要作为验收依据须补充约定</t>
        </is>
      </c>
      <c r="E5" s="55" t="inlineStr">
        <is>
          <t>engine._row / infer_spec</t>
        </is>
      </c>
      <c r="F5" s="8" t="inlineStr"/>
    </row>
    <row r="6" ht="32" customHeight="1">
      <c r="A6" s="52" t="inlineStr">
        <is>
          <t>2</t>
        </is>
      </c>
      <c r="B6" s="34" t="inlineStr">
        <is>
          <t>COA 缺该项 / 值为空 / 标注未检测</t>
        </is>
      </c>
      <c r="C6" s="25" t="inlineStr">
        <is>
          <t>COA未检测</t>
        </is>
      </c>
      <c r="D6" s="8" t="inlineStr">
        <is>
          <t>含“COA 整行缺失”与“原表写 / 或 未测”。两者在异议中处理动作相同，故合并</t>
        </is>
      </c>
      <c r="E6" s="55" t="inlineStr">
        <is>
          <t>engine._row</t>
        </is>
      </c>
      <c r="F6" s="8" t="inlineStr"/>
    </row>
    <row r="7" ht="32" customHeight="1">
      <c r="A7" s="52" t="inlineStr">
        <is>
          <t>3a</t>
        </is>
      </c>
      <c r="B7" s="34" t="inlineStr">
        <is>
          <t>指标名称不在别名表中</t>
        </is>
      </c>
      <c r="C7" s="29" t="inlineStr">
        <is>
          <t>无法判断</t>
        </is>
      </c>
      <c r="D7" s="8" t="inlineStr">
        <is>
          <t>“名称相似”不等于同一指标，必须人工确认对应关系</t>
        </is>
      </c>
      <c r="E7" s="55" t="inlineStr">
        <is>
          <t>coa_lib.comparability</t>
        </is>
      </c>
      <c r="F7" s="8" t="inlineStr"/>
    </row>
    <row r="8" ht="32" customHeight="1">
      <c r="A8" s="52" t="inlineStr">
        <is>
          <t>3b</t>
        </is>
      </c>
      <c r="B8" s="34" t="inlineStr">
        <is>
          <t>量纲不同且缺换条件</t>
        </is>
      </c>
      <c r="C8" s="29" t="inlineStr">
        <is>
          <t>无法判断</t>
        </is>
      </c>
      <c r="D8" s="8" t="inlineStr">
        <is>
          <t>如 % ↔ mg/L 缺密度；ppm 与 ppb 可换（1 ppm = 1000 ppb）</t>
        </is>
      </c>
      <c r="E8" s="55" t="inlineStr">
        <is>
          <t>coa_lib.convert</t>
        </is>
      </c>
      <c r="F8" s="8" t="inlineStr"/>
    </row>
    <row r="9" ht="32" customHeight="1">
      <c r="A9" s="52" t="inlineStr">
        <is>
          <t>3c</t>
        </is>
      </c>
      <c r="B9" s="34" t="inlineStr">
        <is>
          <t>COA 方法与约定方法不同</t>
        </is>
      </c>
      <c r="C9" s="29" t="inlineStr">
        <is>
          <t>无法判断</t>
        </is>
      </c>
      <c r="D9" s="8" t="inlineStr">
        <is>
          <t>同指标不同方法的结果不能直接比；等效方法组除外（见 06 页签）</t>
        </is>
      </c>
      <c r="E9" s="55" t="inlineStr">
        <is>
          <t>coa_lib.method_relation</t>
        </is>
      </c>
      <c r="F9" s="8" t="inlineStr"/>
    </row>
    <row r="10" ht="32" customHeight="1">
      <c r="A10" s="52" t="inlineStr">
        <is>
          <t>3d</t>
        </is>
      </c>
      <c r="B10" s="34" t="inlineStr">
        <is>
          <t>基准不同（干基/湿基、折百）</t>
        </is>
      </c>
      <c r="C10" s="29" t="inlineStr">
        <is>
          <t>无法判断</t>
        </is>
      </c>
      <c r="D10" s="8" t="inlineStr">
        <is>
          <t>缺换算系数时不折算</t>
        </is>
      </c>
      <c r="E10" s="55" t="inlineStr">
        <is>
          <t>coa_lib.comparability</t>
        </is>
      </c>
      <c r="F10" s="8" t="inlineStr"/>
    </row>
    <row r="11" ht="32" customHeight="1">
      <c r="A11" s="52" t="inlineStr">
        <is>
          <t>4a</t>
        </is>
      </c>
      <c r="B11" s="34" t="inlineStr">
        <is>
          <t>COA 报“未检出”但无检出限</t>
        </is>
      </c>
      <c r="C11" s="25" t="inlineStr">
        <is>
          <t>COA未检测</t>
        </is>
      </c>
      <c r="D11" s="8" t="inlineStr">
        <is>
          <t>未检出 ≠ 合格；无检出限无法与限值比较</t>
        </is>
      </c>
      <c r="E11" s="55" t="inlineStr">
        <is>
          <t>coa_lib.determine_status</t>
        </is>
      </c>
      <c r="F11" s="8" t="inlineStr"/>
    </row>
    <row r="12" ht="32" customHeight="1">
      <c r="A12" s="52" t="inlineStr">
        <is>
          <t>4b</t>
        </is>
      </c>
      <c r="B12" s="34" t="inlineStr">
        <is>
          <t>实测低于检出限，且检出限 ≤ 上限</t>
        </is>
      </c>
      <c r="C12" s="13" t="inlineStr">
        <is>
          <t>符合</t>
        </is>
      </c>
      <c r="D12" s="8" t="inlineStr">
        <is>
          <t>若检出限高于上限则落“无法判断”</t>
        </is>
      </c>
      <c r="E12" s="55" t="inlineStr">
        <is>
          <t>coa_lib.determine_status</t>
        </is>
      </c>
      <c r="F12" s="8" t="inlineStr"/>
    </row>
    <row r="13" ht="32" customHeight="1">
      <c r="A13" s="52" t="inlineStr">
        <is>
          <t>4c</t>
        </is>
      </c>
      <c r="B13" s="34" t="inlineStr">
        <is>
          <t>微量杂质报单一数值，且为该结构检出限</t>
        </is>
      </c>
      <c r="C13" s="29" t="inlineStr">
        <is>
          <t>无法判断</t>
        </is>
      </c>
      <c r="D13" s="8" t="inlineStr">
        <is>
          <t>数值 = 上限的 1/5 量级且有效位不少于限值，常见于“低于报告下限按 LOD 报出”</t>
        </is>
      </c>
      <c r="E13" s="55" t="inlineStr">
        <is>
          <t>coa_lib._lod_structure</t>
        </is>
      </c>
      <c r="F13" s="8" t="inlineStr"/>
    </row>
    <row r="14" ht="32" customHeight="1">
      <c r="A14" s="52" t="inlineStr">
        <is>
          <t>4d</t>
        </is>
      </c>
      <c r="B14" s="34" t="inlineStr">
        <is>
          <t>换算前后判定结论发生变化</t>
        </is>
      </c>
      <c r="C14" s="29" t="inlineStr">
        <is>
          <t>无法判断</t>
        </is>
      </c>
      <c r="D14" s="8" t="inlineStr">
        <is>
          <t>提示单位标注/小数点可能错误，必须回原件人工复核</t>
        </is>
      </c>
      <c r="E14" s="55" t="inlineStr">
        <is>
          <t>coa_lib._crosses_limit</t>
        </is>
      </c>
      <c r="F14" s="8" t="inlineStr"/>
    </row>
    <row r="15" ht="32" customHeight="1">
      <c r="A15" s="52" t="inlineStr">
        <is>
          <t>5</t>
        </is>
      </c>
      <c r="B15" s="34" t="inlineStr">
        <is>
          <t>数值比较（上限/下限/范围/规定值）</t>
        </is>
      </c>
      <c r="C15" s="13" t="inlineStr">
        <is>
          <t>符合 / 不符合</t>
        </is>
      </c>
      <c r="D15" s="8" t="inlineStr">
        <is>
          <t>统一换算到规格单位后比较；偏离 = 超出部分 ÷ 限值（上限用正、下限取正）</t>
        </is>
      </c>
      <c r="E15" s="55" t="inlineStr">
        <is>
          <t>coa_lib.limit_eval / deviation</t>
        </is>
      </c>
      <c r="F15" s="8" t="inlineStr"/>
    </row>
    <row r="16" ht="32" customHeight="1">
      <c r="A16" s="52" t="inlineStr">
        <is>
          <t>6</t>
        </is>
      </c>
      <c r="B16" s="34" t="inlineStr">
        <is>
          <t>定性/描述性指标</t>
        </is>
      </c>
      <c r="C16" s="13" t="inlineStr">
        <is>
          <t>符合 / 不符合 / 无法判断</t>
        </is>
      </c>
      <c r="D16" s="8" t="inlineStr">
        <is>
          <t>规格关键词全部出现→符合；出现相悖表述→不符合（理由为词面证据）；其余交人工</t>
        </is>
      </c>
      <c r="E16" s="55" t="inlineStr">
        <is>
          <t>coa_lib.determine_status(text)</t>
        </is>
      </c>
      <c r="F16" s="8" t="inlineStr"/>
    </row>
    <row r="18" ht="20" customHeight="1">
      <c r="A18" s="6" t="inlineStr">
        <is>
          <t>量纲与单位换算约定</t>
        </is>
      </c>
    </row>
    <row r="19" ht="28" customHeight="1">
      <c r="A19" s="8" t="inlineStr"/>
      <c r="B19" s="72" t="inlineStr">
        <is>
          <t>质量分数</t>
        </is>
      </c>
      <c r="C19" s="8" t="inlineStr">
        <is>
          <t>% = wt% = 质量分数；1 % = 10⁴ ppm = 10⁷ ppb；ppm 族 = mg/kg；ppb 族 = μg/kg</t>
        </is>
      </c>
      <c r="D19" s="10" t="n"/>
      <c r="E19" s="42" t="inlineStr">
        <is>
          <t>精确换算</t>
        </is>
      </c>
      <c r="F19" s="8" t="inlineStr"/>
    </row>
    <row r="20" ht="28" customHeight="1">
      <c r="A20" s="8" t="inlineStr"/>
      <c r="B20" s="72" t="inlineStr">
        <is>
          <t>质量浓度</t>
        </is>
      </c>
      <c r="C20" s="8" t="inlineStr">
        <is>
          <t>mg/L、g/L；ppm(v/v) 按 mg/L 处理（水溶液近似）</t>
        </is>
      </c>
      <c r="D20" s="10" t="n"/>
      <c r="E20" s="42" t="inlineStr">
        <is>
          <t>精确换算</t>
        </is>
      </c>
      <c r="F20" s="8" t="inlineStr"/>
    </row>
    <row r="21" ht="28" customHeight="1">
      <c r="A21" s="8" t="inlineStr"/>
      <c r="B21" s="72" t="inlineStr">
        <is>
          <t>温度</t>
        </is>
      </c>
      <c r="C21" s="8" t="inlineStr">
        <is>
          <t>℃ ↔ ℉ 仿射换算（F = C×9/5+32）；温度是判定条件，不是指标值</t>
        </is>
      </c>
      <c r="D21" s="10" t="n"/>
      <c r="E21" s="42" t="inlineStr">
        <is>
          <t>仿射</t>
        </is>
      </c>
      <c r="F21" s="8" t="inlineStr"/>
    </row>
    <row r="22" ht="28" customHeight="1">
      <c r="A22" s="8" t="inlineStr"/>
      <c r="B22" s="72" t="inlineStr">
        <is>
          <t>密度</t>
        </is>
      </c>
      <c r="C22" s="8" t="inlineStr">
        <is>
          <t>g/cm³ = g/mL；kg/m³ → g/cm³ 乘 1e-3；温度必须同为 20℃</t>
        </is>
      </c>
      <c r="D22" s="10" t="n"/>
      <c r="E22" s="42" t="inlineStr">
        <is>
          <t>精确换算</t>
        </is>
      </c>
      <c r="F22" s="8" t="inlineStr"/>
    </row>
    <row r="23" ht="28" customHeight="1">
      <c r="A23" s="8" t="inlineStr"/>
      <c r="B23" s="72" t="inlineStr">
        <is>
          <t>不可换算</t>
        </is>
      </c>
      <c r="C23" s="8" t="inlineStr">
        <is>
          <t>质量分数 ↔ 质量浓度（% ↔ mg/L）：需要同温度密度，缺条件时不换算</t>
        </is>
      </c>
      <c r="D23" s="10" t="n"/>
      <c r="E23" s="42" t="inlineStr">
        <is>
          <t>禁止换算</t>
        </is>
      </c>
      <c r="F23" s="8" t="inlineStr"/>
    </row>
    <row r="24" ht="28" customHeight="1">
      <c r="A24" s="8" t="inlineStr"/>
      <c r="B24" s="72" t="inlineStr">
        <is>
          <t>色度</t>
        </is>
      </c>
      <c r="C24" s="8" t="inlineStr">
        <is>
          <t>Hazen = 铂钴色号（Pt-Co）；不同光源/比色皿结果不可比</t>
        </is>
      </c>
      <c r="D24" s="10" t="n"/>
      <c r="E24" s="42" t="inlineStr">
        <is>
          <t>同体系</t>
        </is>
      </c>
      <c r="F24" s="8" t="inlineStr"/>
    </row>
  </sheetData>
  <mergeCells count="8">
    <mergeCell ref="A2:F2"/>
    <mergeCell ref="C20:D20"/>
    <mergeCell ref="C21:D21"/>
    <mergeCell ref="C24:D24"/>
    <mergeCell ref="C19:D19"/>
    <mergeCell ref="A18:F18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chem-coa-spec-check</dc:creator>
  <dc:title xmlns:dc="http://purl.org/dc/elements/1.1/">工业级乙二醇 到货 COA 与采购质量规格书核对</dc:title>
  <dc:description xmlns:dc="http://purl.org/dc/elements/1.1/">模拟数据，仅用于流程演示</dc:description>
  <dc:subject xmlns:dc="http://purl.org/dc/elements/1.1/">COA × 采购规格书 质量核对</dc:subject>
  <dcterms:created xmlns:dcterms="http://purl.org/dc/terms/" xmlns:xsi="http://www.w3.org/2001/XMLSchema-instance" xsi:type="dcterms:W3CDTF">2026-10-19T10:13:17Z</dcterms:created>
  <dcterms:modified xmlns:dcterms="http://purl.org/dc/terms/" xmlns:xsi="http://www.w3.org/2001/XMLSchema-instance" xsi:type="dcterms:W3CDTF">2026-10-19T10:13:17Z</dcterms:modified>
</cp:coreProperties>
</file>
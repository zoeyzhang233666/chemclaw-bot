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说明" sheetId="1" state="visible" r:id="rId1"/>
    <sheet xmlns:r="http://schemas.openxmlformats.org/officeDocument/2006/relationships" name="01 采购需求" sheetId="2" state="visible" r:id="rId2"/>
    <sheet xmlns:r="http://schemas.openxmlformats.org/officeDocument/2006/relationships" name="02 横向比较" sheetId="3" state="visible" r:id="rId3"/>
    <sheet xmlns:r="http://schemas.openxmlformats.org/officeDocument/2006/relationships" name="03 厂家身份" sheetId="4" state="visible" r:id="rId4"/>
    <sheet xmlns:r="http://schemas.openxmlformats.org/officeDocument/2006/relationships" name="04 产能与生产" sheetId="5" state="visible" r:id="rId5"/>
    <sheet xmlns:r="http://schemas.openxmlformats.org/officeDocument/2006/relationships" name="05 资质许可" sheetId="6" state="visible" r:id="rId6"/>
    <sheet xmlns:r="http://schemas.openxmlformats.org/officeDocument/2006/relationships" name="06 报价对比" sheetId="7" state="visible" r:id="rId7"/>
    <sheet xmlns:r="http://schemas.openxmlformats.org/officeDocument/2006/relationships" name="07 风险与事件" sheetId="8" state="visible" r:id="rId8"/>
    <sheet xmlns:r="http://schemas.openxmlformats.org/officeDocument/2006/relationships" name="08 自定义维度" sheetId="9" state="visible" r:id="rId9"/>
    <sheet xmlns:r="http://schemas.openxmlformats.org/officeDocument/2006/relationships" name="09 问询清单" sheetId="10" state="visible" r:id="rId10"/>
    <sheet xmlns:r="http://schemas.openxmlformats.org/officeDocument/2006/relationships" name="10 证据索引" sheetId="11" state="visible" r:id="rId11"/>
    <sheet xmlns:r="http://schemas.openxmlformats.org/officeDocument/2006/relationships" name="11 评分留白" sheetId="12" state="visible" r:id="rId12"/>
    <sheet xmlns:r="http://schemas.openxmlformats.org/officeDocument/2006/relationships" name="12 字段说明" sheetId="13" state="visible" r:id="rId13"/>
  </sheets>
  <definedNames>
    <definedName name="_xlnm._FilterDatabase" localSheetId="9" hidden="1">'09 问询清单'!$A$4:$F$40</definedName>
    <definedName name="_xlnm._FilterDatabase" localSheetId="10" hidden="1">'10 证据索引'!$A$4:$G$34</definedName>
  </definedNames>
  <calcPr calcId="124519" fullCalcOnLoad="1"/>
</workbook>
</file>

<file path=xl/styles.xml><?xml version="1.0" encoding="utf-8"?>
<styleSheet xmlns="http://schemas.openxmlformats.org/spreadsheetml/2006/main">
  <numFmts count="2">
    <numFmt numFmtId="164" formatCode="#,##0&quot; 万吨/年&quot;"/>
    <numFmt numFmtId="165" formatCode="#,##0.0"/>
  </numFmts>
  <fonts count="26">
    <font>
      <name val="Calibri"/>
      <family val="2"/>
      <color theme="1"/>
      <sz val="11"/>
      <scheme val="minor"/>
    </font>
    <font>
      <name val="微软雅黑"/>
      <b val="1"/>
      <color rgb="00FFFFFF"/>
      <sz val="15"/>
    </font>
    <font>
      <name val="微软雅黑"/>
      <color rgb="005A6670"/>
      <sz val="9.5"/>
    </font>
    <font>
      <name val="微软雅黑"/>
      <b val="1"/>
      <color rgb="000F3B4C"/>
      <sz val="10"/>
    </font>
    <font>
      <name val="微软雅黑"/>
      <color rgb="001F2D36"/>
      <sz val="10"/>
    </font>
    <font>
      <name val="微软雅黑"/>
      <b val="1"/>
      <color rgb="0097702F"/>
      <sz val="11"/>
    </font>
    <font>
      <name val="微软雅黑"/>
      <b val="1"/>
      <color rgb="00FFFFFF"/>
      <sz val="10"/>
    </font>
    <font>
      <name val="微软雅黑"/>
      <b val="1"/>
      <color rgb="001B6A49"/>
      <sz val="9"/>
    </font>
    <font>
      <name val="微软雅黑"/>
      <color rgb="001F2D36"/>
      <sz val="9.5"/>
    </font>
    <font>
      <name val="微软雅黑"/>
      <b val="1"/>
      <color rgb="009C5F13"/>
      <sz val="9"/>
    </font>
    <font>
      <name val="微软雅黑"/>
      <b val="1"/>
      <color rgb="002A5A86"/>
      <sz val="9"/>
    </font>
    <font>
      <name val="微软雅黑"/>
      <b val="1"/>
      <color rgb="004A5157"/>
      <sz val="9"/>
    </font>
    <font>
      <name val="微软雅黑"/>
      <b val="1"/>
      <color rgb="009C2A2A"/>
      <sz val="9"/>
    </font>
    <font>
      <name val="微软雅黑"/>
      <color rgb="008A949B"/>
      <sz val="9"/>
    </font>
    <font>
      <name val="微软雅黑"/>
      <b val="1"/>
      <color rgb="001F2D36"/>
      <sz val="9.5"/>
    </font>
    <font>
      <name val="微软雅黑"/>
      <i val="1"/>
      <color rgb="005A6670"/>
      <sz val="9.5"/>
    </font>
    <font>
      <name val="微软雅黑"/>
      <b val="1"/>
      <color rgb="0097702F"/>
      <sz val="9.5"/>
    </font>
    <font>
      <name val="微软雅黑"/>
      <color rgb="009C5F13"/>
      <sz val="9.5"/>
    </font>
    <font>
      <name val="微软雅黑"/>
      <b val="1"/>
      <color rgb="009C2A2A"/>
      <sz val="9.5"/>
    </font>
    <font>
      <name val="微软雅黑"/>
      <b val="1"/>
      <color rgb="009C5F13"/>
      <sz val="9.5"/>
    </font>
    <font>
      <name val="微软雅黑"/>
      <b val="1"/>
      <color rgb="001B6A49"/>
      <sz val="9.5"/>
    </font>
    <font>
      <name val="微软雅黑"/>
      <color rgb="009C2A2A"/>
      <sz val="9.5"/>
    </font>
    <font>
      <name val="微软雅黑"/>
      <color rgb="002A5A86"/>
      <sz val="9"/>
      <u val="single"/>
    </font>
    <font>
      <name val="微软雅黑"/>
      <b val="1"/>
      <sz val="10"/>
    </font>
    <font>
      <name val="微软雅黑"/>
      <color rgb="005A6670"/>
      <sz val="9"/>
    </font>
    <font>
      <name val="Consolas"/>
      <color rgb="000F3B4C"/>
      <sz val="9"/>
    </font>
  </fonts>
  <fills count="13">
    <fill>
      <patternFill/>
    </fill>
    <fill>
      <patternFill patternType="gray125"/>
    </fill>
    <fill>
      <patternFill patternType="solid">
        <fgColor rgb="000F3B4C"/>
      </patternFill>
    </fill>
    <fill>
      <patternFill patternType="solid">
        <fgColor rgb="00F7F5EF"/>
      </patternFill>
    </fill>
    <fill>
      <patternFill patternType="solid">
        <fgColor rgb="0017495C"/>
      </patternFill>
    </fill>
    <fill>
      <patternFill patternType="solid">
        <fgColor rgb="00E7F4ED"/>
      </patternFill>
    </fill>
    <fill>
      <patternFill patternType="solid">
        <fgColor rgb="00FBF1E1"/>
      </patternFill>
    </fill>
    <fill>
      <patternFill patternType="solid">
        <fgColor rgb="00E9F0F7"/>
      </patternFill>
    </fill>
    <fill>
      <patternFill patternType="solid">
        <fgColor rgb="00EEF0F1"/>
      </patternFill>
    </fill>
    <fill>
      <patternFill patternType="solid">
        <fgColor rgb="00FBEAE9"/>
      </patternFill>
    </fill>
    <fill>
      <patternFill patternType="solid">
        <fgColor rgb="00FBFAF6"/>
      </patternFill>
    </fill>
    <fill>
      <patternFill patternType="solid">
        <fgColor rgb="00FFFDF4"/>
      </patternFill>
    </fill>
    <fill>
      <patternFill patternType="solid">
        <fgColor rgb="00EAF1F3"/>
      </patternFill>
    </fill>
  </fills>
  <borders count="6">
    <border>
      <left/>
      <right/>
      <top/>
      <bottom/>
      <diagonal/>
    </border>
    <border>
      <left style="thin">
        <color rgb="00D9D3C6"/>
      </left>
      <right style="thin">
        <color rgb="00D9D3C6"/>
      </right>
      <top style="thin">
        <color rgb="00D9D3C6"/>
      </top>
      <bottom style="thin">
        <color rgb="00D9D3C6"/>
      </bottom>
    </border>
    <border>
      <left/>
      <right/>
      <top style="thin">
        <color rgb="00D9D3C6"/>
      </top>
      <bottom/>
      <diagonal/>
    </border>
    <border>
      <left/>
      <right style="thin">
        <color rgb="00D9D3C6"/>
      </right>
      <top style="thin">
        <color rgb="00D9D3C6"/>
      </top>
      <bottom/>
      <diagonal/>
    </border>
    <border>
      <left/>
      <right/>
      <top style="thin">
        <color rgb="00D9D3C6"/>
      </top>
      <bottom style="thin">
        <color rgb="00D9D3C6"/>
      </bottom>
      <diagonal/>
    </border>
    <border>
      <left/>
      <right style="thin">
        <color rgb="00D9D3C6"/>
      </right>
      <top style="thin">
        <color rgb="00D9D3C6"/>
      </top>
      <bottom style="thin">
        <color rgb="00D9D3C6"/>
      </bottom>
      <diagonal/>
    </border>
  </borders>
  <cellStyleXfs count="1">
    <xf numFmtId="0" fontId="0" fillId="0" borderId="0"/>
  </cellStyleXfs>
  <cellXfs count="57">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3" borderId="1"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1" applyAlignment="1" pivotButton="0" quotePrefix="0" xfId="0">
      <alignment vertical="top" wrapText="1"/>
    </xf>
    <xf numFmtId="0" fontId="0" fillId="0" borderId="1" pivotButton="0" quotePrefix="0" xfId="0"/>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0" borderId="0" applyAlignment="1" pivotButton="0" quotePrefix="0" xfId="0">
      <alignment vertical="top" wrapText="1"/>
    </xf>
    <xf numFmtId="0" fontId="14" fillId="0" borderId="1" applyAlignment="1" pivotButton="0" quotePrefix="0" xfId="0">
      <alignment vertical="top" wrapText="1"/>
    </xf>
    <xf numFmtId="0" fontId="14" fillId="10" borderId="1" applyAlignment="1" pivotButton="0" quotePrefix="0" xfId="0">
      <alignment vertical="top" wrapText="1"/>
    </xf>
    <xf numFmtId="0" fontId="8" fillId="10" borderId="1" applyAlignment="1" pivotButton="0" quotePrefix="0" xfId="0">
      <alignment vertical="top" wrapText="1"/>
    </xf>
    <xf numFmtId="0" fontId="15" fillId="0" borderId="0" pivotButton="0" quotePrefix="0" xfId="0"/>
    <xf numFmtId="0" fontId="8" fillId="0" borderId="1" applyAlignment="1" pivotButton="0" quotePrefix="0" xfId="0">
      <alignment horizontal="center" vertical="top"/>
    </xf>
    <xf numFmtId="0" fontId="16" fillId="0" borderId="1" applyAlignment="1" pivotButton="0" quotePrefix="0" xfId="0">
      <alignment horizontal="center" vertical="center"/>
    </xf>
    <xf numFmtId="0" fontId="8" fillId="10" borderId="1" applyAlignment="1" pivotButton="0" quotePrefix="0" xfId="0">
      <alignment horizontal="center" vertical="top"/>
    </xf>
    <xf numFmtId="0" fontId="16" fillId="10" borderId="1" applyAlignment="1" pivotButton="0" quotePrefix="0" xfId="0">
      <alignment horizontal="center" vertical="center"/>
    </xf>
    <xf numFmtId="0" fontId="8" fillId="0" borderId="1" applyAlignment="1" pivotButton="0" quotePrefix="0" xfId="0">
      <alignment horizontal="center" vertical="center"/>
    </xf>
    <xf numFmtId="0" fontId="8" fillId="10" borderId="1" applyAlignment="1" pivotButton="0" quotePrefix="0" xfId="0">
      <alignment horizontal="center" vertical="center"/>
    </xf>
    <xf numFmtId="0" fontId="17" fillId="6" borderId="0" applyAlignment="1" pivotButton="0" quotePrefix="0" xfId="0">
      <alignment vertical="top" wrapText="1"/>
    </xf>
    <xf numFmtId="164" fontId="8" fillId="0" borderId="1" applyAlignment="1" pivotButton="0" quotePrefix="0" xfId="0">
      <alignment horizontal="center" vertical="center"/>
    </xf>
    <xf numFmtId="10" fontId="8" fillId="0" borderId="1" applyAlignment="1" pivotButton="0" quotePrefix="0" xfId="0">
      <alignment horizontal="center" vertical="center"/>
    </xf>
    <xf numFmtId="165" fontId="8" fillId="0" borderId="1" applyAlignment="1" pivotButton="0" quotePrefix="0" xfId="0">
      <alignment horizontal="center" vertical="center"/>
    </xf>
    <xf numFmtId="164" fontId="8" fillId="10" borderId="1" applyAlignment="1" pivotButton="0" quotePrefix="0" xfId="0">
      <alignment horizontal="center" vertical="center"/>
    </xf>
    <xf numFmtId="10" fontId="8" fillId="10" borderId="1" applyAlignment="1" pivotButton="0" quotePrefix="0" xfId="0">
      <alignment horizontal="center" vertical="center"/>
    </xf>
    <xf numFmtId="165" fontId="8" fillId="10" borderId="1" applyAlignment="1" pivotButton="0" quotePrefix="0" xfId="0">
      <alignment horizontal="center" vertical="center"/>
    </xf>
    <xf numFmtId="164" fontId="17" fillId="0" borderId="1" applyAlignment="1" pivotButton="0" quotePrefix="0" xfId="0">
      <alignment horizontal="center" vertical="center"/>
    </xf>
    <xf numFmtId="10" fontId="17" fillId="0" borderId="1" applyAlignment="1" pivotButton="0" quotePrefix="0" xfId="0">
      <alignment horizontal="center" vertical="center"/>
    </xf>
    <xf numFmtId="0" fontId="2" fillId="0" borderId="0" applyAlignment="1" pivotButton="0" quotePrefix="0" xfId="0">
      <alignment vertical="top" wrapText="1"/>
    </xf>
    <xf numFmtId="0" fontId="18" fillId="9" borderId="1" applyAlignment="1" pivotButton="0" quotePrefix="0" xfId="0">
      <alignment horizontal="center" vertical="center"/>
    </xf>
    <xf numFmtId="0" fontId="19" fillId="6" borderId="1" applyAlignment="1" pivotButton="0" quotePrefix="0" xfId="0">
      <alignment horizontal="center" vertical="center"/>
    </xf>
    <xf numFmtId="0" fontId="20" fillId="5" borderId="1" applyAlignment="1" pivotButton="0" quotePrefix="0" xfId="0">
      <alignment horizontal="center" vertical="center"/>
    </xf>
    <xf numFmtId="0" fontId="21" fillId="9" borderId="0" applyAlignment="1" pivotButton="0" quotePrefix="0" xfId="0">
      <alignment vertical="top" wrapText="1"/>
    </xf>
    <xf numFmtId="0" fontId="14" fillId="5" borderId="1" applyAlignment="1" pivotButton="0" quotePrefix="0" xfId="0">
      <alignment horizontal="center" vertical="center"/>
    </xf>
    <xf numFmtId="0" fontId="14" fillId="8" borderId="1" applyAlignment="1" pivotButton="0" quotePrefix="0" xfId="0">
      <alignment horizontal="center" vertical="center"/>
    </xf>
    <xf numFmtId="0" fontId="14" fillId="6" borderId="1" applyAlignment="1" pivotButton="0" quotePrefix="0" xfId="0">
      <alignment horizontal="center" vertical="center"/>
    </xf>
    <xf numFmtId="0" fontId="0" fillId="0" borderId="4" pivotButton="0" quotePrefix="0" xfId="0"/>
    <xf numFmtId="0" fontId="0" fillId="0" borderId="5" pivotButton="0" quotePrefix="0" xfId="0"/>
    <xf numFmtId="0" fontId="8" fillId="6" borderId="1" applyAlignment="1" pivotButton="0" quotePrefix="0" xfId="0">
      <alignment vertical="top" wrapText="1"/>
    </xf>
    <xf numFmtId="0" fontId="22" fillId="0" borderId="1" applyAlignment="1" pivotButton="0" quotePrefix="0" xfId="0">
      <alignment vertical="top" wrapText="1"/>
    </xf>
    <xf numFmtId="0" fontId="22" fillId="10" borderId="1" applyAlignment="1" pivotButton="0" quotePrefix="0" xfId="0">
      <alignment vertical="top" wrapText="1"/>
    </xf>
    <xf numFmtId="0" fontId="8" fillId="11" borderId="1" applyAlignment="1" pivotButton="0" quotePrefix="0" xfId="0">
      <alignment vertical="top" wrapText="1"/>
    </xf>
    <xf numFmtId="2" fontId="13" fillId="11" borderId="1" applyAlignment="1" pivotButton="0" quotePrefix="0" xfId="0">
      <alignment horizontal="center" vertical="center"/>
    </xf>
    <xf numFmtId="2" fontId="13" fillId="0" borderId="1" applyAlignment="1" pivotButton="0" quotePrefix="0" xfId="0">
      <alignment horizontal="center" vertical="center"/>
    </xf>
    <xf numFmtId="2" fontId="13" fillId="10" borderId="1" applyAlignment="1" pivotButton="0" quotePrefix="0" xfId="0">
      <alignment horizontal="center" vertical="center"/>
    </xf>
    <xf numFmtId="0" fontId="3" fillId="0" borderId="1" pivotButton="0" quotePrefix="0" xfId="0"/>
    <xf numFmtId="0" fontId="24" fillId="0" borderId="1" pivotButton="0" quotePrefix="0" xfId="0"/>
    <xf numFmtId="0" fontId="23" fillId="0" borderId="1" applyAlignment="1" pivotButton="0" quotePrefix="0" xfId="0">
      <alignment horizontal="center" vertical="center"/>
    </xf>
    <xf numFmtId="2" fontId="3" fillId="12" borderId="1" applyAlignment="1" pivotButton="0" quotePrefix="0" xfId="0">
      <alignment horizontal="center" vertical="center"/>
    </xf>
    <xf numFmtId="0" fontId="25" fillId="0" borderId="1" applyAlignment="1" pivotButton="0" quotePrefix="0" xfId="0">
      <alignment vertical="top" wrapText="1"/>
    </xf>
    <xf numFmtId="0" fontId="25"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hyperlink" Target="https://static.cninfo.com.cn/finalpage/2026-03-21/1225022066.PDF" TargetMode="External" Id="rId1"/><Relationship Type="http://schemas.openxmlformats.org/officeDocument/2006/relationships/hyperlink" Target="https://static.cninfo.com.cn/finalpage/2026-03-21/1225022066.PDF" TargetMode="External" Id="rId2"/><Relationship Type="http://schemas.openxmlformats.org/officeDocument/2006/relationships/hyperlink" Target="https://static.cninfo.com.cn/finalpage/2025-08-22/1224531620.PDF" TargetMode="External" Id="rId3"/><Relationship Type="http://schemas.openxmlformats.org/officeDocument/2006/relationships/hyperlink" Target="https://static.cninfo.com.cn/finalpage/2026-04-25/1225177612.PDF" TargetMode="External" Id="rId4"/><Relationship Type="http://schemas.openxmlformats.org/officeDocument/2006/relationships/hyperlink" Target="https://static.cninfo.com.cn/finalpage/2025-04-16/1223098359.PDF" TargetMode="External" Id="rId5"/><Relationship Type="http://schemas.openxmlformats.org/officeDocument/2006/relationships/hyperlink" Target="https://static.cninfo.com.cn/finalpage/2026-08-26/1225502300.PDF" TargetMode="External" Id="rId6"/><Relationship Type="http://schemas.openxmlformats.org/officeDocument/2006/relationships/hyperlink" Target="https://static.cninfo.com.cn/finalpage/2025-08-28/1224592523.PDF" TargetMode="External" Id="rId7"/><Relationship Type="http://schemas.openxmlformats.org/officeDocument/2006/relationships/hyperlink" Target="https://static.cninfo.com.cn/finalpage/2026-08-24/1225489210.PDF" TargetMode="External" Id="rId8"/><Relationship Type="http://schemas.openxmlformats.org/officeDocument/2006/relationships/hyperlink" Target="https://static.cninfo.com.cn/finalpage/2025-04-16/1223098359.PDF" TargetMode="External" Id="rId9"/><Relationship Type="http://schemas.openxmlformats.org/officeDocument/2006/relationships/hyperlink" Target="https://baike.baidu.com/item/%E6%B2%B3%E5%8D%97%E9%87%91%E5%B1%B1%E5%8C%96%E5%B7%A5%E6%9C%89%E9%99%90%E8%B4%A3%E4%BB%BB%E5%85%AC%E5%8F%B8/8087058" TargetMode="External" Id="rId10"/><Relationship Type="http://schemas.openxmlformats.org/officeDocument/2006/relationships/hyperlink" Target="http://www.jshgjt.com/a/zoujinjinshan/" TargetMode="External" Id="rId11"/><Relationship Type="http://schemas.openxmlformats.org/officeDocument/2006/relationships/hyperlink" Target="https://baike.baidu.com/item/%E6%B2%B3%E5%8D%97%E9%87%91%E5%A4%A7%E5%9C%B0%E5%8C%96%E5%B7%A5%E6%9C%89%E9%99%90%E8%B4%A3%E4%BB%BB%E5%85%AC%E5%8F%B8/2403006" TargetMode="External" Id="rId12"/><Relationship Type="http://schemas.openxmlformats.org/officeDocument/2006/relationships/hyperlink" Target="https://www.gov-hospital.com/sthjj/content/id/10565/" TargetMode="External" Id="rId13"/><Relationship Type="http://schemas.openxmlformats.org/officeDocument/2006/relationships/hyperlink" Target="https://www.hncourt.gov.cn/public/detail.php?id=182472" TargetMode="External" Id="rId14"/><Relationship Type="http://schemas.openxmlformats.org/officeDocument/2006/relationships/hyperlink" Target="https://jdgc.hati.edu.cn/info/1046/1331.htm" TargetMode="External" Id="rId15"/><Relationship Type="http://schemas.openxmlformats.org/officeDocument/2006/relationships/hyperlink" Target="https://news.sina.cn/sa/2011-09-05/detail-ikftssap4065288.d.html" TargetMode="External" Id="rId16"/><Relationship Type="http://schemas.openxmlformats.org/officeDocument/2006/relationships/hyperlink" Target="https://chem.jgvogel.cn/c1346705.shtml" TargetMode="External" Id="rId17"/><Relationship Type="http://schemas.openxmlformats.org/officeDocument/2006/relationships/hyperlink" Target="https://chem.jgvogel.cn/c1197596.shtml" TargetMode="External" Id="rId18"/><Relationship Type="http://schemas.openxmlformats.org/officeDocument/2006/relationships/hyperlink" Target="https://app.dahecube.com/nweb/news/20220928/140659n4e1212fd6d3.htm" TargetMode="External" Id="rId19"/><Relationship Type="http://schemas.openxmlformats.org/officeDocument/2006/relationships/hyperlink" Target="http://www.cfachina.org/industrydynamics/mediaviewoffuturesmarket/202105/t20210506_18761.html" TargetMode="External" Id="rId20"/><Relationship Type="http://schemas.openxmlformats.org/officeDocument/2006/relationships/hyperlink" Target="https://www.nanyang.gov.cn/2024/09-06/614325.html" TargetMode="External" Id="rId21"/><Relationship Type="http://schemas.openxmlformats.org/officeDocument/2006/relationships/hyperlink" Target="https://www.jiemian.com/article/4824553.html" TargetMode="External" Id="rId22"/><Relationship Type="http://schemas.openxmlformats.org/officeDocument/2006/relationships/hyperlink" Target="https://www.haihua.com.cn/About.html" TargetMode="External" Id="rId23"/><Relationship Type="http://schemas.openxmlformats.org/officeDocument/2006/relationships/hyperlink" Target="http://www.sdenews.com/html/2026/9/387972.shtml" TargetMode="External" Id="rId24"/><Relationship Type="http://schemas.openxmlformats.org/officeDocument/2006/relationships/hyperlink" Target="https://news.haiwainet.cn/n/2025/0122/c3541089-32832061.html" TargetMode="External" Id="rId25"/><Relationship Type="http://schemas.openxmlformats.org/officeDocument/2006/relationships/hyperlink" Target="https://static.cninfo.com.cn/finalpage/2025-03-22/1222867296.PDF" TargetMode="External" Id="rId26"/><Relationship Type="http://schemas.openxmlformats.org/officeDocument/2006/relationships/hyperlink" Target="https://www.haihua.com.cn/About_11/1664471386467147776.html" TargetMode="External" Id="rId27"/><Relationship Type="http://schemas.openxmlformats.org/officeDocument/2006/relationships/hyperlink" Target="https://m.jiemian.com/article/14050478.html" TargetMode="External" Id="rId28"/><Relationship Type="http://schemas.openxmlformats.org/officeDocument/2006/relationships/hyperlink" Target="https://www.cnacce.org.cn/news/684.html" TargetMode="External" Id="rId29"/></Relationships>
</file>

<file path=xl/worksheets/sheet1.xml><?xml version="1.0" encoding="utf-8"?>
<worksheet xmlns="http://schemas.openxmlformats.org/spreadsheetml/2006/main">
  <sheetPr>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16" customWidth="1" min="1" max="1"/>
    <col width="30" customWidth="1" min="2" max="2"/>
    <col width="56" customWidth="1" min="3" max="3"/>
    <col width="14" customWidth="1" min="4" max="4"/>
    <col width="14" customWidth="1" min="5" max="5"/>
    <col width="14" customWidth="1" min="6" max="6"/>
  </cols>
  <sheetData>
    <row r="1" ht="30" customHeight="1">
      <c r="A1" s="1" t="inlineStr">
        <is>
          <t>供应商横向比较报告 · 重质纯碱（碳酸钠 Na₂CO₃，GB/T 210-2022 工业碳酸钠 II 类及以上；堆积密度与粒径按贵司质量协议）</t>
        </is>
      </c>
    </row>
    <row r="2" ht="22" customHeight="1">
      <c r="A2" s="2" t="inlineStr">
        <is>
          <t>文档编号 SUP-CMP-2026-1019-SODA｜数据截止 2026-10-19｜版本 v1.1｜本工作簿由 chem-supplier-compare 生成，可编辑复算</t>
        </is>
      </c>
    </row>
    <row r="4" ht="29" customHeight="1">
      <c r="A4" s="3" t="inlineStr">
        <is>
          <t>比较对象</t>
        </is>
      </c>
      <c r="B4" s="4" t="inlineStr">
        <is>
          <t>山东海化股份有限公司（000822.SZ） · 唐山三友化工股份有限公司（600409.SH） · 河南金大地化工有限责任公司（河南金山化工集团核心生产基地）（非上市）</t>
        </is>
      </c>
    </row>
    <row r="5" ht="29" customHeight="1">
      <c r="A5" s="3" t="inlineStr">
        <is>
          <t>采购标的</t>
        </is>
      </c>
      <c r="B5" s="4" t="inlineStr">
        <is>
          <t>重质纯碱（Na₂CO₃ 质量分数 ≥99.2%，工业 II 类，重质）</t>
        </is>
      </c>
    </row>
    <row r="6" ht="43" customHeight="1">
      <c r="A6" s="3" t="inlineStr">
        <is>
          <t>执行标准 / 规格</t>
        </is>
      </c>
      <c r="B6" s="4" t="inlineStr">
        <is>
          <t>GB/T 210-2022；质量分数 ≥99.2%，氯化物 ≤0.90%，铁 ≤0.0035%，堆积密度 ≥0.90 g/cm³，粒度（250 μm 筛余）≤10% —— 以贵司质量协议为准</t>
        </is>
      </c>
    </row>
    <row r="7" ht="29" customHeight="1">
      <c r="A7" s="3" t="inlineStr">
        <is>
          <t>数量</t>
        </is>
      </c>
      <c r="B7" s="4" t="inlineStr">
        <is>
          <t>50,000 吨/年（月度均衡）；备选 一次性 5,000 吨（请报价时两档分列）</t>
        </is>
      </c>
    </row>
    <row r="8" ht="29" customHeight="1">
      <c r="A8" s="3" t="inlineStr">
        <is>
          <t>收货地</t>
        </is>
      </c>
      <c r="B8" s="4" t="inlineStr">
        <is>
          <t>江苏省苏州市常熟经济开发区（贵司指定仓库）</t>
        </is>
      </c>
    </row>
    <row r="9" ht="29" customHeight="1">
      <c r="A9" s="3" t="inlineStr">
        <is>
          <t>交付偏好</t>
        </is>
      </c>
      <c r="B9" s="4" t="inlineStr">
        <is>
          <t>汽运散装为主、吨袋为辅；月度均衡发货</t>
        </is>
      </c>
    </row>
    <row r="10" ht="29" customHeight="1">
      <c r="A10" s="3" t="inlineStr">
        <is>
          <t>结算偏好</t>
        </is>
      </c>
      <c r="B10" s="4" t="inlineStr">
        <is>
          <t>月结 30 天，银行承兑可议；13% 增值税专用发票</t>
        </is>
      </c>
    </row>
    <row r="11" ht="29" customHeight="1">
      <c r="A11" s="3" t="inlineStr">
        <is>
          <t>维度数量</t>
        </is>
      </c>
      <c r="B11" s="4" t="inlineStr">
        <is>
          <t>10 个（其中自定义 2 个）</t>
        </is>
      </c>
    </row>
    <row r="12" ht="29" customHeight="1">
      <c r="A12" s="3" t="inlineStr">
        <is>
          <t>证据数量</t>
        </is>
      </c>
      <c r="B12" s="4" t="inlineStr">
        <is>
          <t>30 条</t>
        </is>
      </c>
    </row>
    <row r="13" ht="29" customHeight="1">
      <c r="A13" s="3" t="inlineStr">
        <is>
          <t>报价状态</t>
        </is>
      </c>
      <c r="B13" s="4" t="inlineStr">
        <is>
          <t>本次未取得任何报价</t>
        </is>
      </c>
    </row>
    <row r="15">
      <c r="A15" s="5" t="inlineStr">
        <is>
          <t>证据标签与判定规则</t>
        </is>
      </c>
    </row>
    <row r="16" ht="24" customHeight="1">
      <c r="A16" s="6" t="inlineStr">
        <is>
          <t>标签</t>
        </is>
      </c>
      <c r="B16" s="6" t="inlineStr">
        <is>
          <t>含义</t>
        </is>
      </c>
      <c r="C16" s="6" t="inlineStr">
        <is>
          <t>在本工作簿中的用法</t>
        </is>
      </c>
      <c r="D16" s="6" t="inlineStr"/>
      <c r="E16" s="6" t="inlineStr"/>
      <c r="F16" s="6" t="inlineStr"/>
    </row>
    <row r="17" ht="34" customHeight="1">
      <c r="A17" s="7" t="inlineStr">
        <is>
          <t>已核实</t>
        </is>
      </c>
      <c r="B17" s="8" t="inlineStr">
        <is>
          <t>已核实（有一手文件直接支撑（上市公司公告/年报、环评公示、法院文书、政府许可公示））</t>
        </is>
      </c>
      <c r="C17" s="8" t="inlineStr">
        <is>
          <t>一手文件（定期报告、政府公示、法院文书、证照副本）可直接引用</t>
        </is>
      </c>
      <c r="D17" s="9" t="n"/>
      <c r="E17" s="9" t="n"/>
      <c r="F17" s="9" t="n"/>
    </row>
    <row r="18" ht="34" customHeight="1">
      <c r="A18" s="10" t="inlineStr">
        <is>
          <t>企业自述</t>
        </is>
      </c>
      <c r="B18" s="8" t="inlineStr">
        <is>
          <t>企业自述（来自企业官网、宣传资料、行业会议发言，未经验证）</t>
        </is>
      </c>
      <c r="C18" s="8" t="inlineStr">
        <is>
          <t>企业自述/宣传口径，只能作为线索，须索取证明文件</t>
        </is>
      </c>
      <c r="D18" s="9" t="n"/>
      <c r="E18" s="9" t="n"/>
      <c r="F18" s="9" t="n"/>
    </row>
    <row r="19" ht="34" customHeight="1">
      <c r="A19" s="11" t="inlineStr">
        <is>
          <t>媒体/第三方</t>
        </is>
      </c>
      <c r="B19" s="8" t="inlineStr">
        <is>
          <t>媒体/第三方（主流媒体报道或第三方数据库，可参考但不等于核实）</t>
        </is>
      </c>
      <c r="C19" s="8" t="inlineStr">
        <is>
          <t>媒体或第三方转载，需回溯原始公告或政府文件</t>
        </is>
      </c>
      <c r="D19" s="9" t="n"/>
      <c r="E19" s="9" t="n"/>
      <c r="F19" s="9" t="n"/>
    </row>
    <row r="20" ht="34" customHeight="1">
      <c r="A20" s="12" t="inlineStr">
        <is>
          <t>无法核实</t>
        </is>
      </c>
      <c r="B20" s="8" t="inlineStr">
        <is>
          <t>无法核实（公开渠道未取得，不等于不存在；须供应商提供材料或现场确认）</t>
        </is>
      </c>
      <c r="C20" s="8" t="inlineStr">
        <is>
          <t>截止数据日公开渠道未取得，不代表不存在，必须转为问询</t>
        </is>
      </c>
      <c r="D20" s="9" t="n"/>
      <c r="E20" s="9" t="n"/>
      <c r="F20" s="9" t="n"/>
    </row>
    <row r="21" ht="34" customHeight="1">
      <c r="A21" s="13" t="inlineStr">
        <is>
          <t>风险事实</t>
        </is>
      </c>
      <c r="B21" s="8" t="inlineStr">
        <is>
          <t>风险事实（已发生的负面事实（诉讼、处罚、事故、法律、经营异常等），附出处）</t>
        </is>
      </c>
      <c r="C21" s="8" t="inlineStr">
        <is>
          <t>已发生的负面事实（处罚、诉讼、事故），可直接用于风险评估</t>
        </is>
      </c>
      <c r="D21" s="9" t="n"/>
      <c r="E21" s="9" t="n"/>
      <c r="F21" s="9" t="n"/>
    </row>
    <row r="23" ht="29" customHeight="1">
      <c r="A23" s="14" t="inlineStr">
        <is>
          <t>· 本工作簿不做综合评分、不给出“最佳供应商”结论；11 表为留白评估表，权重与分数由采购方填写。</t>
        </is>
      </c>
    </row>
    <row r="24" ht="29" customHeight="1">
      <c r="A24" s="14" t="inlineStr">
        <is>
          <t>· “经营范围包含该产品”不等于具备该产品的实际生产能力，04 表以设计产能×利用率=产量能否自洽为核验标准。</t>
        </is>
      </c>
    </row>
    <row r="25" ht="29" customHeight="1">
      <c r="A25" s="14" t="inlineStr">
        <is>
          <t>· “无重大诉讼”“未发现处罚”均为披露或检索口径，不代表事实上的零风险。</t>
        </is>
      </c>
    </row>
    <row r="26" ht="29" customHeight="1">
      <c r="A26" s="14" t="inlineStr">
        <is>
          <t>· 商业条款未取得报价的一律标注“待确认”，不填估算值。</t>
        </is>
      </c>
    </row>
    <row r="27" ht="29" customHeight="1">
      <c r="A27" s="14" t="inlineStr">
        <is>
          <t>· 本报告只做事实核验与差异呈现，评分与选择权归采购方；风险等级指对本次采购的潜在影响，不是企业整体评级。</t>
        </is>
      </c>
    </row>
  </sheetData>
  <mergeCells count="22">
    <mergeCell ref="B4:F4"/>
    <mergeCell ref="B7:F7"/>
    <mergeCell ref="C17:F17"/>
    <mergeCell ref="A27:F27"/>
    <mergeCell ref="A26:F26"/>
    <mergeCell ref="C19:F19"/>
    <mergeCell ref="A2:F2"/>
    <mergeCell ref="C18:F18"/>
    <mergeCell ref="B12:F12"/>
    <mergeCell ref="B11:F11"/>
    <mergeCell ref="A23:F23"/>
    <mergeCell ref="B8:F8"/>
    <mergeCell ref="B13:F13"/>
    <mergeCell ref="B10:F10"/>
    <mergeCell ref="C20:F20"/>
    <mergeCell ref="B9:F9"/>
    <mergeCell ref="A24:F24"/>
    <mergeCell ref="B6:F6"/>
    <mergeCell ref="A1:F1"/>
    <mergeCell ref="B5:F5"/>
    <mergeCell ref="C21:F2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62" customWidth="1" min="3" max="3"/>
    <col width="14" customWidth="1" min="4" max="4"/>
  </cols>
  <sheetData>
    <row r="1" ht="30" customHeight="1">
      <c r="A1" s="1" t="inlineStr">
        <is>
          <t>01 采购需求（本次比较的统一标尺）</t>
        </is>
      </c>
    </row>
    <row r="2" ht="22" customHeight="1">
      <c r="A2" s="2" t="inlineStr">
        <is>
          <t>所有候选企业按同一份需求口径被比较；需求变化需重做比较</t>
        </is>
      </c>
    </row>
    <row r="4" ht="30" customHeight="1">
      <c r="A4" s="6" t="inlineStr">
        <is>
          <t>项目</t>
        </is>
      </c>
      <c r="B4" s="6" t="inlineStr">
        <is>
          <t>内容</t>
        </is>
      </c>
      <c r="C4" s="6" t="inlineStr">
        <is>
          <t>说明 / 影响</t>
        </is>
      </c>
      <c r="D4" s="6" t="inlineStr"/>
    </row>
    <row r="5" ht="29" customHeight="1">
      <c r="A5" s="15" t="inlineStr">
        <is>
          <t>采购标的</t>
        </is>
      </c>
      <c r="B5" s="8" t="inlineStr">
        <is>
          <t>重质纯碱（Na₂CO₃ 质量分数 ≥99.2%，工业 II 类，重质）</t>
        </is>
      </c>
      <c r="C5" s="8" t="inlineStr">
        <is>
          <t>决定适用标准与工艺路线匹配度</t>
        </is>
      </c>
    </row>
    <row r="6" ht="43" customHeight="1">
      <c r="A6" s="16" t="inlineStr">
        <is>
          <t>执行标准 / 规格</t>
        </is>
      </c>
      <c r="B6" s="17" t="inlineStr">
        <is>
          <t>GB/T 210-2022；质量分数 ≥99.2%，氯化物 ≤0.90%，铁 ≤0.0035%，堆积密度 ≥0.90 g/cm³，粒度（250 μm 筛余）≤10% —— 以贵司质量协议为准</t>
        </is>
      </c>
      <c r="C6" s="17" t="inlineStr">
        <is>
          <t>三家证书上写着“工业碳酸钠”，但等级与粒径需逐项对上</t>
        </is>
      </c>
    </row>
    <row r="7" ht="29" customHeight="1">
      <c r="A7" s="15" t="inlineStr">
        <is>
          <t>年需求量</t>
        </is>
      </c>
      <c r="B7" s="8" t="inlineStr">
        <is>
          <t>50,000 吨/年（月度均衡）</t>
        </is>
      </c>
      <c r="C7" s="8" t="inlineStr">
        <is>
          <t>决定供应商能否给到长约价与稳定排产</t>
        </is>
      </c>
    </row>
    <row r="8" ht="29" customHeight="1">
      <c r="A8" s="16" t="inlineStr">
        <is>
          <t>备选口径</t>
        </is>
      </c>
      <c r="B8" s="17" t="inlineStr">
        <is>
          <t>一次性 5,000 吨（请报价时两档分列）</t>
        </is>
      </c>
      <c r="C8" s="17" t="inlineStr">
        <is>
          <t>小批量试单常用于首单验证</t>
        </is>
      </c>
    </row>
    <row r="9" ht="29" customHeight="1">
      <c r="A9" s="15" t="inlineStr">
        <is>
          <t>收货地</t>
        </is>
      </c>
      <c r="B9" s="8" t="inlineStr">
        <is>
          <t>江苏省苏州市常熟经济开发区（贵司指定仓库）</t>
        </is>
      </c>
      <c r="C9" s="8" t="inlineStr">
        <is>
          <t>运费、损耗与水运/铁运可行性均由收货地决定</t>
        </is>
      </c>
    </row>
    <row r="10" ht="29" customHeight="1">
      <c r="A10" s="16" t="inlineStr">
        <is>
          <t>交付偏好</t>
        </is>
      </c>
      <c r="B10" s="17" t="inlineStr">
        <is>
          <t>汽运散装为主、吨袋为辅；月度均衡发货</t>
        </is>
      </c>
      <c r="C10" s="17" t="inlineStr">
        <is>
          <t>散装罐车 vs 吨袋，直接影响包装费与卸货条件</t>
        </is>
      </c>
    </row>
    <row r="11" ht="29" customHeight="1">
      <c r="A11" s="15" t="inlineStr">
        <is>
          <t>结算偏好</t>
        </is>
      </c>
      <c r="B11" s="8" t="inlineStr">
        <is>
          <t>月结 30 天，银行承兑可议；13% 增值税专用发票</t>
        </is>
      </c>
      <c r="C11" s="8" t="inlineStr">
        <is>
          <t>账期与票据类型是价格谈判的对价</t>
        </is>
      </c>
    </row>
    <row r="12" ht="29" customHeight="1">
      <c r="A12" s="16" t="inlineStr">
        <is>
          <t>数据截止日</t>
        </is>
      </c>
      <c r="B12" s="17" t="inlineStr">
        <is>
          <t>2026-10-19</t>
        </is>
      </c>
      <c r="C12" s="17" t="inlineStr">
        <is>
          <t>所有时效性判断（许可到期、负面事件）以此为基准</t>
        </is>
      </c>
    </row>
    <row r="14">
      <c r="A14" s="18" t="inlineStr">
        <is>
          <t>以下维度为本工作簿的固定比较骨架，可在 08 表追加自定义维度。</t>
        </is>
      </c>
    </row>
    <row r="16" ht="30" customHeight="1">
      <c r="A16" s="6" t="inlineStr">
        <is>
          <t>序号</t>
        </is>
      </c>
      <c r="B16" s="6" t="inlineStr">
        <is>
          <t>比较维度</t>
        </is>
      </c>
      <c r="C16" s="6" t="inlineStr">
        <is>
          <t>判读要点</t>
        </is>
      </c>
      <c r="D16" s="6" t="inlineStr">
        <is>
          <t>类型</t>
        </is>
      </c>
    </row>
    <row r="17" ht="29" customHeight="1">
      <c r="A17" s="8" t="n">
        <v>1</v>
      </c>
      <c r="B17" s="8" t="inlineStr">
        <is>
          <t>是否真实生产厂家及核验证据</t>
        </is>
      </c>
      <c r="C17" s="8" t="inlineStr">
        <is>
          <t>看：生产主体与合同主体是否同一法人；许可持有人是谁</t>
        </is>
      </c>
      <c r="D17" s="8" t="inlineStr">
        <is>
          <t>producer</t>
        </is>
      </c>
    </row>
    <row r="18" ht="29" customHeight="1">
      <c r="A18" s="17" t="n">
        <v>2</v>
      </c>
      <c r="B18" s="17" t="inlineStr">
        <is>
          <t>生产基地所在地及与收货地距离</t>
        </is>
      </c>
      <c r="C18" s="17" t="inlineStr">
        <is>
          <t>距离只是起点，运费与损耗口径才是到厂价差异的来源</t>
        </is>
      </c>
      <c r="D18" s="17" t="inlineStr">
        <is>
          <t>location</t>
        </is>
      </c>
    </row>
    <row r="19" ht="29" customHeight="1">
      <c r="A19" s="8" t="n">
        <v>3</v>
      </c>
      <c r="B19" s="8" t="inlineStr">
        <is>
          <t>公开产能、企业规模及生产能力</t>
        </is>
      </c>
      <c r="C19" s="8" t="inlineStr">
        <is>
          <t>设计产能 × 利用率 = 产量，三个数能否自洽是核验核心</t>
        </is>
      </c>
      <c r="D19" s="8" t="inlineStr">
        <is>
          <t>capacity</t>
        </is>
      </c>
    </row>
    <row r="20" ht="29" customHeight="1">
      <c r="A20" s="17" t="n">
        <v>4</v>
      </c>
      <c r="B20" s="17" t="inlineStr">
        <is>
          <t>主营产品与目标产品匹配度</t>
        </is>
      </c>
      <c r="C20" s="17" t="inlineStr">
        <is>
          <t>主营占比越高、工艺越匹配，目标产品越不易被边缘化排产</t>
        </is>
      </c>
      <c r="D20" s="17" t="inlineStr">
        <is>
          <t>match</t>
        </is>
      </c>
    </row>
    <row r="21" ht="29" customHeight="1">
      <c r="A21" s="8" t="n">
        <v>5</v>
      </c>
      <c r="B21" s="8" t="inlineStr">
        <is>
          <t>经营资质与许可证照</t>
        </is>
      </c>
      <c r="C21" s="8" t="inlineStr">
        <is>
          <t>工业碳酸钠不在生产许可目录内，排污许可与食品级许可是关键两张</t>
        </is>
      </c>
      <c r="D21" s="8" t="inlineStr">
        <is>
          <t>licence</t>
        </is>
      </c>
    </row>
    <row r="22" ht="29" customHeight="1">
      <c r="A22" s="17" t="n">
        <v>6</v>
      </c>
      <c r="B22" s="17" t="inlineStr">
        <is>
          <t>经营与司法风险、经营异常</t>
        </is>
      </c>
      <c r="C22" s="17" t="inlineStr">
        <is>
          <t>“无重大诉讼”是披露口径；“未查到”是检索口径；两者都不能写成“无”</t>
        </is>
      </c>
      <c r="D22" s="17" t="inlineStr">
        <is>
          <t>risk</t>
        </is>
      </c>
    </row>
    <row r="23" ht="29" customHeight="1">
      <c r="A23" s="8" t="n">
        <v>7</v>
      </c>
      <c r="B23" s="8" t="inlineStr">
        <is>
          <t>近期负面事件（近 12 个月）</t>
        </is>
      </c>
      <c r="C23" s="8" t="inlineStr">
        <is>
          <t>上市公司有披露义务，非上市企业只能靠检索与问询</t>
        </is>
      </c>
      <c r="D23" s="8" t="inlineStr">
        <is>
          <t>event</t>
        </is>
      </c>
    </row>
    <row r="24" ht="29" customHeight="1">
      <c r="A24" s="17" t="n">
        <v>8</v>
      </c>
      <c r="B24" s="17" t="inlineStr">
        <is>
          <t>【自定义】重质纯碱专项：粒径 / 超低盐 / 散装能力</t>
        </is>
      </c>
      <c r="C24" s="17" t="inlineStr">
        <is>
          <t>重质 vs 轻质直接决定玻璃窑炉投料效率；只认检测报告与装置证据</t>
        </is>
      </c>
      <c r="D24" s="17" t="inlineStr">
        <is>
          <t>custom</t>
        </is>
      </c>
    </row>
    <row r="25" ht="29" customHeight="1">
      <c r="A25" s="8" t="n">
        <v>9</v>
      </c>
      <c r="B25" s="8" t="inlineStr">
        <is>
          <t>【自定义】供应稳定性：检修、库存、华东可分配量</t>
        </is>
      </c>
      <c r="C25" s="8" t="inlineStr">
        <is>
          <t>断供代价 &gt;&gt; 价差；检修窗口与库存波动是保供条款的依据</t>
        </is>
      </c>
      <c r="D25" s="8" t="inlineStr">
        <is>
          <t>custom</t>
        </is>
      </c>
    </row>
    <row r="26" ht="29" customHeight="1">
      <c r="A26" s="17" t="n">
        <v>10</v>
      </c>
      <c r="B26" s="17" t="inlineStr">
        <is>
          <t>商业条款（价格、含税口径、运费、包装、账期、交期、MOQ、有效期）</t>
        </is>
      </c>
      <c r="C26" s="17" t="inlineStr">
        <is>
          <t>未取得报价的字段一律留空并转成问询，不做估算</t>
        </is>
      </c>
      <c r="D26" s="17" t="inlineStr">
        <is>
          <t>terms</t>
        </is>
      </c>
    </row>
  </sheetData>
  <mergeCells count="3">
    <mergeCell ref="A1:D1"/>
    <mergeCell ref="A14:D14"/>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46" customWidth="1" min="3" max="3"/>
    <col width="46" customWidth="1" min="4" max="4"/>
    <col width="46" customWidth="1" min="5" max="5"/>
    <col width="10" customWidth="1" min="6" max="6"/>
    <col width="34" customWidth="1" min="7" max="7"/>
    <col width="40" customWidth="1" min="8" max="8"/>
    <col width="10" customWidth="1" min="9" max="9"/>
    <col width="34" customWidth="1" min="10" max="10"/>
    <col width="40" customWidth="1" min="11" max="11"/>
  </cols>
  <sheetData>
    <row r="1" ht="30" customHeight="1">
      <c r="A1" s="1" t="inlineStr">
        <is>
          <t>02 供应商横向比较表</t>
        </is>
      </c>
    </row>
    <row r="2" ht="22" customHeight="1">
      <c r="A2" s="2" t="inlineStr">
        <is>
          <t>每格含：数值/判断｜证据标签｜证据编号。金色“差异”列为自动比对结果，三家相同即为“无”</t>
        </is>
      </c>
    </row>
    <row r="4" ht="34" customHeight="1">
      <c r="A4" s="6" t="inlineStr">
        <is>
          <t>序号</t>
        </is>
      </c>
      <c r="B4" s="6" t="inlineStr">
        <is>
          <t>比较维度</t>
        </is>
      </c>
      <c r="C4" s="6" t="inlineStr">
        <is>
          <t>山东海化</t>
        </is>
      </c>
      <c r="D4" s="6" t="inlineStr">
        <is>
          <t>唐山三友</t>
        </is>
      </c>
      <c r="E4" s="6" t="inlineStr">
        <is>
          <t>河南金山</t>
        </is>
      </c>
      <c r="F4" s="6" t="inlineStr">
        <is>
          <t>差异</t>
        </is>
      </c>
      <c r="G4" s="6" t="inlineStr">
        <is>
          <t>三家趋同/分组</t>
        </is>
      </c>
      <c r="H4" s="6" t="inlineStr">
        <is>
          <t>判读要点</t>
        </is>
      </c>
      <c r="I4" s="6" t="inlineStr"/>
      <c r="J4" s="6" t="inlineStr"/>
      <c r="K4" s="6" t="inlineStr"/>
    </row>
    <row r="5" ht="71" customHeight="1">
      <c r="A5" s="19" t="n">
        <v>1</v>
      </c>
      <c r="B5" s="8" t="inlineStr">
        <is>
          <t>是否真实生产厂家及核验证据</t>
        </is>
      </c>
      <c r="C5" s="8" t="inlineStr">
        <is>
          <t>是。上市公司本体生产经营，2025 年报未披露“生产主体与合同主体分离”情形。
〔已核实〕E01,E26,E27</t>
        </is>
      </c>
      <c r="D5" s="8" t="inlineStr">
        <is>
          <t>是。股份公司本体生产（纯碱分公司），另有控股子公司青海五彩碱业；年报未披露以贸易公司代签主合同情形。
〔已核实〕E04,E06</t>
        </is>
      </c>
      <c r="E5" s="8" t="inlineStr">
        <is>
          <t>是——金大地为生产厂家（舞阳基地）。但“金山”是集团，需锁定签约/开票/危化许可持三个主体：河南金山化工有限责任公司（孟州，集团母公司）／河南金大地化工有限责任公司（舞阳，生产基地）／河南金天化工有限公司（新乡获嘉，已迁建）。
〔媒体/第三方〕E10,E11,E15</t>
        </is>
      </c>
      <c r="F5" s="8" t="inlineStr">
        <is>
          <t>是</t>
        </is>
      </c>
      <c r="G5" s="8" t="inlineStr">
        <is>
          <t>山东海化｜唐山三友｜河南金山</t>
        </is>
      </c>
      <c r="H5" s="20" t="inlineStr">
        <is>
          <t>看：生产主体与合同主体是否同一法人；许可持有人是谁</t>
        </is>
      </c>
      <c r="I5" s="8" t="inlineStr"/>
      <c r="J5" s="8" t="inlineStr"/>
      <c r="K5" s="8" t="inlineStr"/>
    </row>
    <row r="6" ht="57" customHeight="1">
      <c r="A6" s="21" t="n">
        <v>2</v>
      </c>
      <c r="B6" s="17" t="inlineStr">
        <is>
          <t>生产基地所在地及与收货地距离</t>
        </is>
      </c>
      <c r="C6" s="17" t="inlineStr">
        <is>
          <t>潍坊滨海经济技术开发区绿色化工园；到常熟约 700 km，属“潍坊—常熟”主流汽运/海运走廊。
〔已核实〕E01</t>
        </is>
      </c>
      <c r="D6" s="17" t="inlineStr">
        <is>
          <t>河北唐山南堡（本部）+ 青海海西（子公司）；到常熟约 1,150 km（本部公路量级估算），需另评估“天津港→太仓/常熟”水运路径。
〔已核实〕E04</t>
        </is>
      </c>
      <c r="E6" s="17" t="inlineStr">
        <is>
          <t>漯河市舞阳县盐化工园区（南环路），到常熟约 900 km；可评估南水（淮河/长江）水运与铁路。集团母公司注册地在焦作孟州（西工区）。
〔已核实〕E10,E13</t>
        </is>
      </c>
      <c r="F6" s="17" t="inlineStr">
        <is>
          <t>是</t>
        </is>
      </c>
      <c r="G6" s="17" t="inlineStr">
        <is>
          <t>山东海化｜唐山三友｜河南金山</t>
        </is>
      </c>
      <c r="H6" s="22" t="inlineStr">
        <is>
          <t>距离只是起点，运费与损耗口径才是到厂价差异的来源</t>
        </is>
      </c>
      <c r="I6" s="17" t="inlineStr"/>
      <c r="J6" s="17" t="inlineStr"/>
      <c r="K6" s="17" t="inlineStr"/>
    </row>
    <row r="7" ht="99" customHeight="1">
      <c r="A7" s="19" t="n">
        <v>3</v>
      </c>
      <c r="B7" s="8" t="inlineStr">
        <is>
          <t>公开产能、企业规模及生产能力</t>
        </is>
      </c>
      <c r="C7" s="8" t="inlineStr">
        <is>
          <t>纯碱设计产能 280 万吨/年＝老线 120 万吨＋新线 160 万吨（集团官网自述，与年报一个口径）；2025 年产能利用率 97.29%（2024 年 110.60%），2025 年纯碱产量约 272.4 万吨；2026H1 未单列产量。员工 4,451 人（上市公司口径，2025 年末）；2025 年营收 47.45 亿元，纯碱占 67.82%。
〔已核实〕E01,E08,E27</t>
        </is>
      </c>
      <c r="D7" s="8" t="inlineStr">
        <is>
          <t>纯碱总产能 340 万吨/年（本部 230 + 青海 110）；2025 年产量 319.05 万吨，本部利用率 85.37%、青海 111.54%；2026H1 产量 160.19 万吨。员工 17,293 人（2025 年末，全部业务）。2025 年营收 188.31 亿元，纯碱占比较 2024 年下降（2024 年 26.43%）。
〔已核实〕E04,E05,E06</t>
        </is>
      </c>
      <c r="E7" s="8" t="inlineStr">
        <is>
          <t>三套口径并存：① 官网自述集团“年产纯碱 330 万吨、工业盐 380 万吨、合成氨 95 万吨、氯化铵 360 万吨”；② 第三方百科“2024 年：220 万吨纯碱”；③ 2022 年五期环评公示：新增 70 万吨/年纯碱属集团“拆二建一”迁建，总产能不增加。2017 年第三方转载简介：当期 100 万吨纯碱。无法反算，须书面确认。
〔企业自述〕E11,E12,E13,E15,E19</t>
        </is>
      </c>
      <c r="F7" s="8" t="inlineStr">
        <is>
          <t>是</t>
        </is>
      </c>
      <c r="G7" s="8" t="inlineStr">
        <is>
          <t>山东海化｜唐山三友｜河南金山</t>
        </is>
      </c>
      <c r="H7" s="20" t="inlineStr">
        <is>
          <t>设计产能 × 利用率 = 产量，三个数能否自洽是核验核心</t>
        </is>
      </c>
      <c r="I7" s="8" t="inlineStr"/>
      <c r="J7" s="8" t="inlineStr"/>
      <c r="K7" s="8" t="inlineStr"/>
    </row>
    <row r="8" ht="57" customHeight="1">
      <c r="A8" s="21" t="n">
        <v>4</v>
      </c>
      <c r="B8" s="17" t="inlineStr">
        <is>
          <t>主营产品与目标产品匹配度</t>
        </is>
      </c>
      <c r="C8" s="17" t="inlineStr">
        <is>
          <t>纯碱为第一主营产品（营收占比 67.82%），产品结构为纯碱+烧碱+溴素+氯化钙+小苏打；年报明确产品分轻质/重质两类。
〔已核实〕E01</t>
        </is>
      </c>
      <c r="D8" s="17" t="inlineStr">
        <is>
          <t>纯碱为四大主业之一（粘胶短纤、纯碱、氯碱、有机硅），“三友”牌为中国驰名商标；氨碱法，含轻质与超低盐重质纯碱，“重质化率、低盐化率、散装化率行业前列”。
〔已核实〕E04,E05</t>
        </is>
      </c>
      <c r="E8" s="17" t="inlineStr">
        <is>
          <t>纯碱+氯化铵为主业（联碱法），另有工业盐、小苏打、三聚氰胺、尿素、复合肥；官网设有“重质纯碱/轻质纯碱”产品页。与目标产品匹配度高，但联碱法需关注氯根与盐分。
〔企业自述〕E11</t>
        </is>
      </c>
      <c r="F8" s="17" t="inlineStr">
        <is>
          <t>是</t>
        </is>
      </c>
      <c r="G8" s="17" t="inlineStr">
        <is>
          <t>山东海化｜唐山三友｜河南金山</t>
        </is>
      </c>
      <c r="H8" s="22" t="inlineStr">
        <is>
          <t>主营占比越高、工艺越匹配，目标产品越不易被边缘化排产</t>
        </is>
      </c>
      <c r="I8" s="17" t="inlineStr"/>
      <c r="J8" s="17" t="inlineStr"/>
      <c r="K8" s="17" t="inlineStr"/>
    </row>
    <row r="9" ht="85" customHeight="1">
      <c r="A9" s="19" t="n">
        <v>5</v>
      </c>
      <c r="B9" s="8" t="inlineStr">
        <is>
          <t>经营资质与许可证照</t>
        </is>
      </c>
      <c r="C9" s="8" t="inlineStr">
        <is>
          <t>年报公开 40 项许可/资质。与本次采购相关：排污许可证（纯碱厂）2023.09.20–2028.09.19；食品添加剂碳酸钠食品生产许可 2022.04.08–2026.06.17（已到期）；ISO 9001（纯碱厂）2025.05.15–2028.06.26。工业碳酸钠不属于工业产品生产许可证目录，故无该证属正常。
〔已核实〕E01</t>
        </is>
      </c>
      <c r="D9" s="8" t="inlineStr">
        <is>
          <t>公开渠道未取得该公司的许可清单表（年报未设“相关批复、许可、资质”表）。已知：青海五彩碱业都兰盐业分公司 2024 年因环保验收问题被罚 20 万元并重新环评（属采矿/洗盐环节）。工业碳酸钠无需工业产品生产许可证；排污许可与（如需）食品级许可须索取。
〔无法核实〕E09</t>
        </is>
      </c>
      <c r="E9" s="8" t="inlineStr">
        <is>
          <t>公开渠道未取得许可清单。可作旁证：漯河市生态环境局已公示其联碱节能技改项目环评；环评副本通常载明主要产品与产能。排污许可证、危化许可（合成氨/液氨装置）、食品级许可须索取。
〔无法核实〕E13</t>
        </is>
      </c>
      <c r="F9" s="8" t="inlineStr">
        <is>
          <t>是</t>
        </is>
      </c>
      <c r="G9" s="8" t="inlineStr">
        <is>
          <t>山东海化｜唐山三友 = 河南金山</t>
        </is>
      </c>
      <c r="H9" s="20" t="inlineStr">
        <is>
          <t>工业碳酸钠不在生产许可目录内，排污许可与食品级许可是关键两张</t>
        </is>
      </c>
      <c r="I9" s="8" t="inlineStr"/>
      <c r="J9" s="8" t="inlineStr"/>
      <c r="K9" s="8" t="inlineStr"/>
    </row>
    <row r="10" ht="99" customHeight="1">
      <c r="A10" s="21" t="n">
        <v>6</v>
      </c>
      <c r="B10" s="17" t="inlineStr">
        <is>
          <t>经营与司法风险、经营异常</t>
        </is>
      </c>
      <c r="C10" s="17" t="inlineStr">
        <is>
          <t>上市公司披露：2025 年报与 2026 半年报均声明“无重大诉讼、仲裁”，且“不存在处罚及整改情况”“无环境事故”。财务：2025 年归母净利 -13.88 亿元（含计提减值）、2026H1 -2.81 亿元；2025 年经营现金流 -1.04 亿元。重大资本开支：拟投 48.37 亿元做纯碱装置改造（24 个月建设期）；集团层面 2026-09 多家子公司股权划转至新设海化投资公司。
〔已核实〕E01,E08,E24,E28</t>
        </is>
      </c>
      <c r="D10" s="17" t="inlineStr">
        <is>
          <t>年报披露：无重大诉讼、仲裁；公司及控股股东、实控人无违法违规处罚（披露口径）。已披露负面：青海五彩碱业都兰盐业分公司 2024-05-17 环保罚款 20 万元（西生罚字【2024】28号），已缴款并重新环评、通过验收。子公司：青海纯碱 2026H1 净利 -6,104.9 万元。
〔已核实〕E04,E06,E09</t>
        </is>
      </c>
      <c r="E10" s="17" t="inlineStr">
        <is>
          <t>① 2019 年作为原告就纯碱货款起诉沙河安全实业、中玻（朝阳）、天津中玻三家玻璃企业，诉请约 1.6 亿元，一审胜诉、二审维持，2020-03 先予执行扣划 1.40 亿元（反映下游回款压力与自身资金压力）；② 2011 年当地村民反映污染问题、媒体实地采访（年代久远，仅作历史记录）；③ 非上市，无财报、无许可清单、无处罚公示可查。
〔已核实〕E14,E16</t>
        </is>
      </c>
      <c r="F10" s="17" t="inlineStr">
        <is>
          <t>是</t>
        </is>
      </c>
      <c r="G10" s="17" t="inlineStr">
        <is>
          <t>山东海化 = 唐山三友｜河南金山</t>
        </is>
      </c>
      <c r="H10" s="22" t="inlineStr">
        <is>
          <t>“无重大诉讼”是披露口径；“未查到”是检索口径；两者都不能写成“无”</t>
        </is>
      </c>
      <c r="I10" s="17" t="inlineStr"/>
      <c r="J10" s="17" t="inlineStr"/>
      <c r="K10" s="17" t="inlineStr"/>
    </row>
    <row r="11" ht="57" customHeight="1">
      <c r="A11" s="19" t="n">
        <v>7</v>
      </c>
      <c r="B11" s="8" t="inlineStr">
        <is>
          <t>近期负面事件（近 12 个月）</t>
        </is>
      </c>
      <c r="C11" s="8" t="inlineStr">
        <is>
          <t>公开渠道未检索到 2025-10 至 2026-10 的安全、环保、质量、税务类负面事件；相关口径仅为公司“无处罚及整改”声明。
〔已核实〕E01</t>
        </is>
      </c>
      <c r="D11" s="8" t="inlineStr">
        <is>
          <t>近 12 个月未检索到安全、环保、质量类负面事件；最近一次为 2024 年青海子公司环保罚款（已整改闭环）。
〔已核实〕E06,E09</t>
        </is>
      </c>
      <c r="E11" s="8" t="inlineStr">
        <is>
          <t>近 12 个月未检索到可核实的负面事件；但受非上市信息披露限制，“未检索到”只能记为未取得。
〔无法核实〕</t>
        </is>
      </c>
      <c r="F11" s="8" t="inlineStr">
        <is>
          <t>否</t>
        </is>
      </c>
      <c r="G11" s="8" t="inlineStr">
        <is>
          <t>山东海化 = 唐山三友 = 河南金山</t>
        </is>
      </c>
      <c r="H11" s="23" t="inlineStr">
        <is>
          <t>上市公司有披露义务，非上市企业只能靠检索与问询</t>
        </is>
      </c>
      <c r="I11" s="8" t="inlineStr"/>
      <c r="J11" s="8" t="inlineStr"/>
      <c r="K11" s="8" t="inlineStr"/>
    </row>
    <row r="12" ht="85" customHeight="1">
      <c r="A12" s="21" t="n">
        <v>8</v>
      </c>
      <c r="B12" s="17" t="inlineStr">
        <is>
          <t>【自定义】重质纯碱专项：粒径 / 超低盐 / 散装能力</t>
        </is>
      </c>
      <c r="C12" s="17" t="inlineStr">
        <is>
          <t>老线 120 万吨为氨碱法、新线 160 万吨为另一套装置；已公告以 100 万吨/年联碱法置换 120 万吨/年氨碱老线，新建联碱装置设计产出轻质 40 万吨 + 重质 60 万吨（即重质化率按该装置约 60%）、副产氯化铵 103 万吨，建设期 24 个月。当前实际重质产量占比、粒径分布与散装发运能力仍未披露。
〔已核实〕E01,E28</t>
        </is>
      </c>
      <c r="D12" s="17" t="inlineStr">
        <is>
          <t>唯一公开描述重质化工艺与比例的企业：“液相水合法”生产超低盐重质纯碱；重质化率、低盐化率、散装化率行业前列。具体粒径分布与堆积密度未披露。
〔已核实〕E04,E05</t>
        </is>
      </c>
      <c r="E12" s="17" t="inlineStr">
        <is>
          <t>官网展示重质/轻质纯碱产品，但未披露重质化率、粒径分布与堆积密度；联碱法产品的氯根控制是重点核验项。
〔企业自述〕E11</t>
        </is>
      </c>
      <c r="F12" s="17" t="inlineStr">
        <is>
          <t>是</t>
        </is>
      </c>
      <c r="G12" s="17" t="inlineStr">
        <is>
          <t>山东海化｜唐山三友｜河南金山</t>
        </is>
      </c>
      <c r="H12" s="22" t="inlineStr">
        <is>
          <t>重质 vs 轻质直接决定玻璃窑炉投料效率；只认检测报告与装置证据</t>
        </is>
      </c>
      <c r="I12" s="17" t="inlineStr"/>
      <c r="J12" s="17" t="inlineStr"/>
      <c r="K12" s="17" t="inlineStr"/>
    </row>
    <row r="13" ht="85" customHeight="1">
      <c r="A13" s="19" t="n">
        <v>9</v>
      </c>
      <c r="B13" s="8" t="inlineStr">
        <is>
          <t>【自定义】供应稳定性：检修、库存、华东可分配量</t>
        </is>
      </c>
      <c r="C13" s="8" t="inlineStr">
        <is>
          <t>2024 年末化工产品库存回升（库存量同比 +2,798%，主要系纯碱库存增加），2025 年末库存又同比 -76.58%；波动大，需供应商给出库存储备与平衡发货承诺。
〔已核实〕E01</t>
        </is>
      </c>
      <c r="D13" s="8" t="inlineStr">
        <is>
          <t>2025 年本部开工率 85.37%（较 2024 年 92.10% 下降约 7 个百分点），总量与“340 万吨”名义产能之间差额较大；年报未披露华东可分配量。
〔已核实〕E04,E05</t>
        </is>
      </c>
      <c r="E13" s="8" t="inlineStr">
        <is>
          <t>五期（联碱绿色转型产业园）总投资约 108–120 亿元、占地 1,100–1,200 亩（环评与行业媒体口径略有差异）；2023-11 合成氨装置满负荷运行，联碱装置同步投运；2022 年另有联碱节能技改项目拟再增 60 万吨纯碱/氯化铵（公众参与公示）。已投产规模、检修与库存均无公开数据。
〔媒体/第三方〕E17,E18,E29</t>
        </is>
      </c>
      <c r="F13" s="8" t="inlineStr">
        <is>
          <t>是</t>
        </is>
      </c>
      <c r="G13" s="8" t="inlineStr">
        <is>
          <t>山东海化｜唐山三友｜河南金山</t>
        </is>
      </c>
      <c r="H13" s="20" t="inlineStr">
        <is>
          <t>断供代价 &gt;&gt; 价差；检修窗口与库存波动是保供条款的依据</t>
        </is>
      </c>
      <c r="I13" s="8" t="inlineStr"/>
      <c r="J13" s="8" t="inlineStr"/>
      <c r="K13" s="8" t="inlineStr"/>
    </row>
    <row r="14" ht="30" customHeight="1">
      <c r="A14" s="21" t="n">
        <v>10</v>
      </c>
      <c r="B14" s="17" t="inlineStr">
        <is>
          <t>商业条款（价格、含税口径、运费、包装、账期、交期、MOQ、有效期）</t>
        </is>
      </c>
      <c r="C14" s="17" t="inlineStr">
        <is>
          <t>[待确认] 未报价</t>
        </is>
      </c>
      <c r="D14" s="17" t="inlineStr">
        <is>
          <t>[待确认] 未报价</t>
        </is>
      </c>
      <c r="E14" s="17" t="inlineStr">
        <is>
          <t>[待确认] 未报价</t>
        </is>
      </c>
      <c r="F14" s="17" t="inlineStr">
        <is>
          <t>否</t>
        </is>
      </c>
      <c r="G14" s="17" t="inlineStr">
        <is>
          <t>山东海化 = 唐山三友 = 河南金山</t>
        </is>
      </c>
      <c r="H14" s="24" t="inlineStr">
        <is>
          <t>未取得报价的字段一律留空并转成问询，不做估算</t>
        </is>
      </c>
      <c r="I14" s="17" t="inlineStr"/>
      <c r="J14" s="17" t="inlineStr"/>
      <c r="K14" s="17" t="inlineStr"/>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40" customWidth="1" min="3" max="3"/>
    <col width="20" customWidth="1" min="4" max="4"/>
    <col width="12" customWidth="1" min="5" max="5"/>
    <col width="56" customWidth="1" min="6" max="6"/>
    <col width="34" customWidth="1" min="7" max="7"/>
    <col width="12" customWidth="1" min="8" max="8"/>
  </cols>
  <sheetData>
    <row r="1" ht="30" customHeight="1">
      <c r="A1" s="1" t="inlineStr">
        <is>
          <t>03 企业主体与厂家身份核验</t>
        </is>
      </c>
    </row>
    <row r="2" ht="22" customHeight="1">
      <c r="A2" s="2" t="inlineStr">
        <is>
          <t>判定对象：签约主体、开票主体、生产主体、许可证持有人是否同一；经营范围≠生产能力</t>
        </is>
      </c>
    </row>
    <row r="4" ht="30" customHeight="1">
      <c r="A4" s="6" t="inlineStr">
        <is>
          <t>企业</t>
        </is>
      </c>
      <c r="B4" s="6" t="inlineStr">
        <is>
          <t>全称</t>
        </is>
      </c>
      <c r="C4" s="6" t="inlineStr">
        <is>
          <t>集团 / 控制关系</t>
        </is>
      </c>
      <c r="D4" s="6" t="inlineStr">
        <is>
          <t>证券代码 / 上市状态</t>
        </is>
      </c>
      <c r="E4" s="6" t="inlineStr">
        <is>
          <t>厂家身份判定</t>
        </is>
      </c>
      <c r="F4" s="6" t="inlineStr">
        <is>
          <t>判定依据</t>
        </is>
      </c>
      <c r="G4" s="6" t="inlineStr">
        <is>
          <t>生产基地</t>
        </is>
      </c>
      <c r="H4" s="6" t="inlineStr">
        <is>
          <t>证据</t>
        </is>
      </c>
    </row>
    <row r="5" ht="40" customHeight="1">
      <c r="A5" s="15" t="inlineStr">
        <is>
          <t>山东海化</t>
        </is>
      </c>
      <c r="B5" s="8" t="inlineStr">
        <is>
          <t>山东海化股份有限公司</t>
        </is>
      </c>
      <c r="C5" s="8" t="inlineStr">
        <is>
          <t>山东海化集团有限公司（潍坊市属国有企业，持股 40.34%）；实控人潍坊市国资委体系</t>
        </is>
      </c>
      <c r="D5" s="8" t="inlineStr">
        <is>
          <t>000822.SZ</t>
        </is>
      </c>
      <c r="E5" s="8" t="inlineStr">
        <is>
          <t>生产厂家</t>
        </is>
      </c>
      <c r="F5" s="8" t="inlineStr">
        <is>
          <t>上市公司本体即生产主体，“纯碱厂”为其内部生产单位，许可持有人与生产主体一致</t>
        </is>
      </c>
      <c r="G5" s="8" t="inlineStr">
        <is>
          <t>山东省潍坊市滨海经济技术开发区 绿色化工园</t>
        </is>
      </c>
      <c r="H5" s="8" t="inlineStr">
        <is>
          <t>E01,E08,E24,E26,E27,E28</t>
        </is>
      </c>
    </row>
    <row r="6" ht="40" customHeight="1">
      <c r="A6" s="16" t="inlineStr">
        <is>
          <t>唐山三友</t>
        </is>
      </c>
      <c r="B6" s="17" t="inlineStr">
        <is>
          <t>唐山三友化工股份有限公司</t>
        </is>
      </c>
      <c r="C6" s="17" t="inlineStr">
        <is>
          <t>控股股东：唐山三友碱业（集团）有限公司；间接控股股东：唐山三友集团有限公司（唐山市国资委体系，2023 年引入唐国控收购）</t>
        </is>
      </c>
      <c r="D6" s="17" t="inlineStr">
        <is>
          <t>600409.SH</t>
        </is>
      </c>
      <c r="E6" s="17" t="inlineStr">
        <is>
          <t>生产厂家</t>
        </is>
      </c>
      <c r="F6" s="17" t="inlineStr">
        <is>
          <t>股份公司本体（纯碱分公司）+ 控股子公司青海五彩碱业，均为集团内生产单位</t>
        </is>
      </c>
      <c r="G6" s="17" t="inlineStr">
        <is>
          <t>河北省唐山市南堡开发区（本部 230 万吨）；青海省海西州（五彩碱业 110 万吨）</t>
        </is>
      </c>
      <c r="H6" s="17" t="inlineStr">
        <is>
          <t>E04,E05,E06,E09</t>
        </is>
      </c>
    </row>
    <row r="7" ht="43" customHeight="1">
      <c r="A7" s="15" t="inlineStr">
        <is>
          <t>河南金山</t>
        </is>
      </c>
      <c r="B7" s="8" t="inlineStr">
        <is>
          <t>河南金大地化工有限责任公司（河南金山化工集团核心生产基地）</t>
        </is>
      </c>
      <c r="C7" s="8" t="inlineStr">
        <is>
          <t>河南金山化工集团（民营）；集团母公司：河南金山化工有限责任公司（孟州西工区，注册资本 15,480 万元，法定代表人杨玉琛）；另有河南金天化工（新乡获嘉）</t>
        </is>
      </c>
      <c r="D7" s="8" t="inlineStr">
        <is>
          <t>非上市</t>
        </is>
      </c>
      <c r="E7" s="8" t="inlineStr">
        <is>
          <t>厂家身份存疑</t>
        </is>
      </c>
      <c r="F7" s="8" t="inlineStr">
        <is>
          <t>候选主体本身是纯碱生产厂家，但“金山化工”是集团品牌名而非单一法人；签约界面可能落在母公司、舞阳金大地或销售平台</t>
        </is>
      </c>
      <c r="G7" s="8" t="inlineStr">
        <is>
          <t>河南省漯河市舞阳县盐化工园区（南环路）；原孟州金山 30 万吨、新乡金天 40 万吨产能已并入舞阳迁建项目</t>
        </is>
      </c>
      <c r="H7" s="8" t="inlineStr">
        <is>
          <t>E10,E11,E12,E13,E14,E15,E16,E17</t>
        </is>
      </c>
    </row>
    <row r="9" ht="48" customHeight="1">
      <c r="A9" s="25" t="inlineStr">
        <is>
          <t>签约前必须核验的四项一致性：① 营业执照主体 = 合同相对方；② 开票主体 = 合同相对方；③ 生产主体地址 = 实际发货工厂；④ 排污/生产许可持有人 = 生产主体。任一项不一致，须在合同中加入生产主体一致性与违约责任条款。</t>
        </is>
      </c>
    </row>
  </sheetData>
  <mergeCells count="3">
    <mergeCell ref="A9:H9"/>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2" customWidth="1" min="3" max="3"/>
    <col width="16" customWidth="1" min="4" max="4"/>
    <col width="34" customWidth="1" min="5" max="5"/>
    <col width="34" customWidth="1" min="6" max="6"/>
    <col width="44" customWidth="1" min="7" max="7"/>
    <col width="34" customWidth="1" min="8" max="8"/>
    <col width="14" customWidth="1" min="9" max="9"/>
  </cols>
  <sheetData>
    <row r="1" ht="30" customHeight="1">
      <c r="A1" s="1" t="inlineStr">
        <is>
          <t>04 公开产能、企业规模与生产能力</t>
        </is>
      </c>
    </row>
    <row r="2" ht="22" customHeight="1">
      <c r="A2" s="2" t="inlineStr">
        <is>
          <t>核验要点：设计产能 × 产能利用率 = 年产量，三个数字能否自洽；不能自洽即为口径冲突</t>
        </is>
      </c>
    </row>
    <row r="4" ht="30" customHeight="1">
      <c r="A4" s="6" t="inlineStr">
        <is>
          <t>企业</t>
        </is>
      </c>
      <c r="B4" s="6" t="inlineStr">
        <is>
          <t>纯碱设计产能</t>
        </is>
      </c>
      <c r="C4" s="6" t="inlineStr">
        <is>
          <t>2025 利用率</t>
        </is>
      </c>
      <c r="D4" s="6" t="inlineStr">
        <is>
          <t>2025 产量（万吨）</t>
        </is>
      </c>
      <c r="E4" s="6" t="inlineStr">
        <is>
          <t>反算校验</t>
        </is>
      </c>
      <c r="F4" s="6" t="inlineStr">
        <is>
          <t>规模指标</t>
        </is>
      </c>
      <c r="G4" s="6" t="inlineStr">
        <is>
          <t>工艺路线与重质能力</t>
        </is>
      </c>
      <c r="H4" s="6" t="inlineStr">
        <is>
          <t>未披露项</t>
        </is>
      </c>
      <c r="I4" s="6" t="inlineStr">
        <is>
          <t>证据</t>
        </is>
      </c>
    </row>
    <row r="5" ht="92" customHeight="1">
      <c r="A5" s="15" t="inlineStr">
        <is>
          <t>山东海化</t>
        </is>
      </c>
      <c r="B5" s="26" t="n">
        <v>280</v>
      </c>
      <c r="C5" s="27" t="n">
        <v>0.9729</v>
      </c>
      <c r="D5" s="28" t="n">
        <v>272.4</v>
      </c>
      <c r="E5" s="8" t="inlineStr">
        <is>
          <t>280 × 97.29% = 272.4 万吨，与年报产量一致 ✓</t>
        </is>
      </c>
      <c r="F5" s="8" t="inlineStr">
        <is>
          <t>员工 4,451 人；2025 营收 47.45 亿元；纯碱占 67.82%；老线 120＋新线 160 万吨</t>
        </is>
      </c>
      <c r="G5" s="8" t="inlineStr">
        <is>
          <t>纯碱为第一主营产品（营收占比 67.82%），产品结构为纯碱+烧碱+溴素+氯化钙+小苏打；年报明确产品分轻质/重质两类。 ｜ 老线 120 万吨为氨碱法、新线 160 万吨为另一套装置；已公告以 100 万吨/年联碱法置换 120 万吨/年氨碱老线，新建联碱装置设计产出轻质 40 万吨 + 重质 60 万吨（即重质化率按该装置约 60%）、副产氯化铵 103 万吨，建设期 24 个月。当前实际重质产量占比、粒径分布与散装发运能力仍未披露。</t>
        </is>
      </c>
      <c r="H5" s="8" t="inlineStr">
        <is>
          <t>重质实际占比、粒径分布、散装发运能力</t>
        </is>
      </c>
      <c r="I5" s="8" t="inlineStr">
        <is>
          <t>E01,E08,E27,E28</t>
        </is>
      </c>
    </row>
    <row r="6" ht="92" customHeight="1">
      <c r="A6" s="16" t="inlineStr">
        <is>
          <t>唐山三友</t>
        </is>
      </c>
      <c r="B6" s="29" t="n">
        <v>340</v>
      </c>
      <c r="C6" s="30" t="n">
        <v>0.8537</v>
      </c>
      <c r="D6" s="31" t="n">
        <v>319.05</v>
      </c>
      <c r="E6" s="17" t="inlineStr">
        <is>
          <t>230 × 85.37% + 110 × 111.54% = 319.05 万吨，与年报产量一致 ✓</t>
        </is>
      </c>
      <c r="F6" s="17" t="inlineStr">
        <is>
          <t>员工 17,293 人；2025 营收 188.31 亿元；本部 230＋青海 110 万吨</t>
        </is>
      </c>
      <c r="G6" s="17" t="inlineStr">
        <is>
          <t>纯碱为四大主业之一（粘胶短纤、纯碱、氯碱、有机硅），“三友”牌为中国驰名商标；氨碱法，含轻质与超低盐重质纯碱，“重质化率、低盐化率、散装化率行业前列”。 ｜ 唯一公开描述重质化工艺与比例的企业：“液相水合法”生产超低盐重质纯碱；重质化率、低盐化率、散装化率行业前列。具体粒径分布与堆积密度未披露。</t>
        </is>
      </c>
      <c r="H6" s="17" t="inlineStr">
        <is>
          <t>许可产能、粒径分布、华东可分配量</t>
        </is>
      </c>
      <c r="I6" s="17" t="inlineStr">
        <is>
          <t>E04,E05,E06</t>
        </is>
      </c>
    </row>
    <row r="7" ht="92" customHeight="1">
      <c r="A7" s="15" t="inlineStr">
        <is>
          <t>河南金山</t>
        </is>
      </c>
      <c r="B7" s="32" t="inlineStr">
        <is>
          <t>未披露</t>
        </is>
      </c>
      <c r="C7" s="33" t="inlineStr">
        <is>
          <t>未披露</t>
        </is>
      </c>
      <c r="D7" s="28" t="n"/>
      <c r="E7" s="8" t="inlineStr">
        <is>
          <t>330 / 220 / 330（构成不同）三套口径并存，无法反算 ✗</t>
        </is>
      </c>
      <c r="F7" s="8" t="inlineStr">
        <is>
          <t>固定资产 101 亿元（自述）；化工企业 500 强第 129 位（自述）；官网自述 330 万吨</t>
        </is>
      </c>
      <c r="G7" s="8" t="inlineStr">
        <is>
          <t>纯碱+氯化铵为主业（联碱法），另有工业盐、小苏打、三聚氰胺、尿素、复合肥；官网设有“重质纯碱/轻质纯碱”产品页。与目标产品匹配度高，但联碱法需关注氯根与盐分。 ｜ 官网展示重质/轻质纯碱产品，但未披露重质化率、粒径分布与堆积密度；联碱法产品的氯根控制是重点核验项。</t>
        </is>
      </c>
      <c r="H7" s="8" t="inlineStr">
        <is>
          <t>在产装置清单、产量、利用率、检修计划</t>
        </is>
      </c>
      <c r="I7" s="8" t="inlineStr">
        <is>
          <t>S:E11,M:E12,M:E19</t>
        </is>
      </c>
    </row>
    <row r="9" ht="34" customHeight="1">
      <c r="A9" s="34" t="inlineStr">
        <is>
          <t>· 行业对照：2026 年 6 月底国内纯碱产能约 4,500 万吨、开工率约 92%、上半年产量约 2,066 万吨（三友 2026 半年报，E06）；2024 年在产产能约 3,970 万吨（行业述评，E25）。</t>
        </is>
      </c>
    </row>
    <row r="10" ht="34" customHeight="1">
      <c r="A10" s="34" t="inlineStr">
        <is>
          <t>· 三家均属合成碱体系（氨碱/联碱），天然碱（阿拉善一期 500 万吨已投产）扩张带来的成本挤压属系统性风险，不是企业个体差异。</t>
        </is>
      </c>
    </row>
  </sheetData>
  <mergeCells count="4">
    <mergeCell ref="A1:I1"/>
    <mergeCell ref="A9:I9"/>
    <mergeCell ref="A2:I2"/>
    <mergeCell ref="A10:I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2" customWidth="1" min="2" max="2"/>
    <col width="13" customWidth="1" min="3" max="3"/>
    <col width="13" customWidth="1" min="4" max="4"/>
    <col width="12" customWidth="1" min="5" max="5"/>
    <col width="10" customWidth="1" min="6" max="6"/>
    <col width="42" customWidth="1" min="7" max="7"/>
    <col width="18" customWidth="1" min="8" max="8"/>
    <col width="14" customWidth="1" min="9" max="9"/>
    <col width="9" customWidth="1" min="10" max="10"/>
  </cols>
  <sheetData>
    <row r="1" ht="30" customHeight="1">
      <c r="A1" s="1" t="inlineStr">
        <is>
          <t>05 经营资质与许可证照</t>
        </is>
      </c>
    </row>
    <row r="2" ht="22" customHeight="1">
      <c r="A2" s="2" t="inlineStr">
        <is>
          <t>到期状态以数据截止日 2026-10-19 计算：&lt;0 天 已过期 / ≤180 天 即将到期；工业碳酸钠不在工业产品生产许可证目录内</t>
        </is>
      </c>
    </row>
    <row r="4" ht="30" customHeight="1">
      <c r="A4" s="6" t="inlineStr">
        <is>
          <t>企业</t>
        </is>
      </c>
      <c r="B4" s="6" t="inlineStr">
        <is>
          <t>证照名称</t>
        </is>
      </c>
      <c r="C4" s="6" t="inlineStr">
        <is>
          <t>有效期起</t>
        </is>
      </c>
      <c r="D4" s="6" t="inlineStr">
        <is>
          <t>有效期止</t>
        </is>
      </c>
      <c r="E4" s="6" t="inlineStr">
        <is>
          <t>状态</t>
        </is>
      </c>
      <c r="F4" s="6" t="inlineStr">
        <is>
          <t>剩余天数</t>
        </is>
      </c>
      <c r="G4" s="6" t="inlineStr">
        <is>
          <t>许可范围 / 适用产品</t>
        </is>
      </c>
      <c r="H4" s="6" t="inlineStr">
        <is>
          <t>持有人</t>
        </is>
      </c>
      <c r="I4" s="6" t="inlineStr">
        <is>
          <t>与本次采购相关度</t>
        </is>
      </c>
      <c r="J4" s="6" t="inlineStr">
        <is>
          <t>证据</t>
        </is>
      </c>
    </row>
    <row r="5" ht="29" customHeight="1">
      <c r="A5" s="8" t="inlineStr">
        <is>
          <t>山东海化</t>
        </is>
      </c>
      <c r="B5" s="8" t="inlineStr">
        <is>
          <t>食品生产许可证</t>
        </is>
      </c>
      <c r="C5" s="8" t="inlineStr">
        <is>
          <t>2022.04.08</t>
        </is>
      </c>
      <c r="D5" s="8" t="inlineStr">
        <is>
          <t>2026.06.17</t>
        </is>
      </c>
      <c r="E5" s="35" t="inlineStr">
        <is>
          <t>已到期</t>
        </is>
      </c>
      <c r="F5" s="8" t="inlineStr">
        <is>
          <t>—</t>
        </is>
      </c>
      <c r="G5" s="8" t="inlineStr">
        <is>
          <t>食品添加剂碳酸钠</t>
        </is>
      </c>
      <c r="H5" s="8" t="inlineStr">
        <is>
          <t>纯碱厂</t>
        </is>
      </c>
      <c r="I5" s="8" t="inlineStr">
        <is>
          <t>相关</t>
        </is>
      </c>
      <c r="J5" s="8" t="inlineStr">
        <is>
          <t>E01</t>
        </is>
      </c>
    </row>
    <row r="6" ht="29" customHeight="1">
      <c r="A6" s="17" t="inlineStr">
        <is>
          <t>山东海化</t>
        </is>
      </c>
      <c r="B6" s="17" t="inlineStr">
        <is>
          <t>安全生产许可证</t>
        </is>
      </c>
      <c r="C6" s="17" t="inlineStr">
        <is>
          <t>2023.12.31</t>
        </is>
      </c>
      <c r="D6" s="17" t="inlineStr">
        <is>
          <t>2026.12.30</t>
        </is>
      </c>
      <c r="E6" s="36" t="inlineStr">
        <is>
          <t>72 天后到期</t>
        </is>
      </c>
      <c r="F6" s="17" t="inlineStr">
        <is>
          <t>—</t>
        </is>
      </c>
      <c r="G6" s="17" t="inlineStr">
        <is>
          <t>氯 24 万吨/年、氢氧化钠 30 万吨/年、盐酸、氢气、次氯酸钠、双氧水</t>
        </is>
      </c>
      <c r="H6" s="17" t="inlineStr">
        <is>
          <t>氯碱树脂公司</t>
        </is>
      </c>
      <c r="I6" s="17" t="inlineStr">
        <is>
          <t>无关</t>
        </is>
      </c>
      <c r="J6" s="17" t="inlineStr">
        <is>
          <t>E01</t>
        </is>
      </c>
    </row>
    <row r="7" ht="29" customHeight="1">
      <c r="A7" s="8" t="inlineStr">
        <is>
          <t>山东海化</t>
        </is>
      </c>
      <c r="B7" s="8" t="inlineStr">
        <is>
          <t>能源管理体系认证</t>
        </is>
      </c>
      <c r="C7" s="8" t="inlineStr">
        <is>
          <t>2024.05.09</t>
        </is>
      </c>
      <c r="D7" s="8" t="inlineStr">
        <is>
          <t>2027.05.13</t>
        </is>
      </c>
      <c r="E7" s="37" t="inlineStr">
        <is>
          <t>有效</t>
        </is>
      </c>
      <c r="F7" s="8" t="inlineStr">
        <is>
          <t>—</t>
        </is>
      </c>
      <c r="G7" s="8" t="inlineStr">
        <is>
          <t>工业碳酸钠、食品添加剂碳酸钠的生产</t>
        </is>
      </c>
      <c r="H7" s="8" t="inlineStr">
        <is>
          <t>纯碱厂</t>
        </is>
      </c>
      <c r="I7" s="8" t="inlineStr">
        <is>
          <t>无关</t>
        </is>
      </c>
      <c r="J7" s="8" t="inlineStr">
        <is>
          <t>E01</t>
        </is>
      </c>
    </row>
    <row r="8" ht="29" customHeight="1">
      <c r="A8" s="17" t="inlineStr">
        <is>
          <t>山东海化</t>
        </is>
      </c>
      <c r="B8" s="17" t="inlineStr">
        <is>
          <t>采矿许可证（天然卤水）</t>
        </is>
      </c>
      <c r="C8" s="17" t="inlineStr">
        <is>
          <t>2025.11.21</t>
        </is>
      </c>
      <c r="D8" s="17" t="inlineStr">
        <is>
          <t>2027.11.20</t>
        </is>
      </c>
      <c r="E8" s="37" t="inlineStr">
        <is>
          <t>有效</t>
        </is>
      </c>
      <c r="F8" s="17" t="inlineStr">
        <is>
          <t>—</t>
        </is>
      </c>
      <c r="G8" s="17" t="inlineStr">
        <is>
          <t>天然卤水（原盐原料）</t>
        </is>
      </c>
      <c r="H8" s="17" t="inlineStr">
        <is>
          <t>公司</t>
        </is>
      </c>
      <c r="I8" s="17" t="inlineStr">
        <is>
          <t>相关</t>
        </is>
      </c>
      <c r="J8" s="17" t="inlineStr">
        <is>
          <t>E01</t>
        </is>
      </c>
    </row>
    <row r="9" ht="29" customHeight="1">
      <c r="A9" s="8" t="inlineStr">
        <is>
          <t>山东海化</t>
        </is>
      </c>
      <c r="B9" s="8" t="inlineStr">
        <is>
          <t>质量管理体系认证（ISO 9001）</t>
        </is>
      </c>
      <c r="C9" s="8" t="inlineStr">
        <is>
          <t>2025.05.15</t>
        </is>
      </c>
      <c r="D9" s="8" t="inlineStr">
        <is>
          <t>2028.06.26</t>
        </is>
      </c>
      <c r="E9" s="37" t="inlineStr">
        <is>
          <t>有效</t>
        </is>
      </c>
      <c r="F9" s="8" t="inlineStr">
        <is>
          <t>—</t>
        </is>
      </c>
      <c r="G9" s="8" t="inlineStr">
        <is>
          <t>工业碳酸钠、食品添加剂碳酸钠的生产</t>
        </is>
      </c>
      <c r="H9" s="8" t="inlineStr">
        <is>
          <t>纯碱厂</t>
        </is>
      </c>
      <c r="I9" s="8" t="inlineStr">
        <is>
          <t>相关</t>
        </is>
      </c>
      <c r="J9" s="8" t="inlineStr">
        <is>
          <t>E01</t>
        </is>
      </c>
    </row>
    <row r="10" ht="29" customHeight="1">
      <c r="A10" s="17" t="inlineStr">
        <is>
          <t>山东海化</t>
        </is>
      </c>
      <c r="B10" s="17" t="inlineStr">
        <is>
          <t>环境管理体系认证（ISO 14001）</t>
        </is>
      </c>
      <c r="C10" s="17" t="inlineStr">
        <is>
          <t>2025.05.15</t>
        </is>
      </c>
      <c r="D10" s="17" t="inlineStr">
        <is>
          <t>2028.06.26</t>
        </is>
      </c>
      <c r="E10" s="37" t="inlineStr">
        <is>
          <t>有效</t>
        </is>
      </c>
      <c r="F10" s="17" t="inlineStr">
        <is>
          <t>—</t>
        </is>
      </c>
      <c r="G10" s="17" t="inlineStr">
        <is>
          <t>工业碳酸钠、食品添加剂碳酸钠的生产</t>
        </is>
      </c>
      <c r="H10" s="17" t="inlineStr">
        <is>
          <t>纯碱厂</t>
        </is>
      </c>
      <c r="I10" s="17" t="inlineStr">
        <is>
          <t>相关</t>
        </is>
      </c>
      <c r="J10" s="17" t="inlineStr">
        <is>
          <t>E01</t>
        </is>
      </c>
    </row>
    <row r="11" ht="29" customHeight="1">
      <c r="A11" s="8" t="inlineStr">
        <is>
          <t>山东海化</t>
        </is>
      </c>
      <c r="B11" s="8" t="inlineStr">
        <is>
          <t>职业健康安全管理体系认证</t>
        </is>
      </c>
      <c r="C11" s="8" t="inlineStr">
        <is>
          <t>2025.05.15</t>
        </is>
      </c>
      <c r="D11" s="8" t="inlineStr">
        <is>
          <t>2028.06.26</t>
        </is>
      </c>
      <c r="E11" s="37" t="inlineStr">
        <is>
          <t>有效</t>
        </is>
      </c>
      <c r="F11" s="8" t="inlineStr">
        <is>
          <t>—</t>
        </is>
      </c>
      <c r="G11" s="8" t="inlineStr">
        <is>
          <t>工业碳酸钠、食品添加剂碳酸钠的生产</t>
        </is>
      </c>
      <c r="H11" s="8" t="inlineStr">
        <is>
          <t>纯碱厂</t>
        </is>
      </c>
      <c r="I11" s="8" t="inlineStr">
        <is>
          <t>相关</t>
        </is>
      </c>
      <c r="J11" s="8" t="inlineStr">
        <is>
          <t>E01</t>
        </is>
      </c>
    </row>
    <row r="12" ht="29" customHeight="1">
      <c r="A12" s="17" t="inlineStr">
        <is>
          <t>山东海化</t>
        </is>
      </c>
      <c r="B12" s="17" t="inlineStr">
        <is>
          <t>排污许可证</t>
        </is>
      </c>
      <c r="C12" s="17" t="inlineStr">
        <is>
          <t>2023.09.20</t>
        </is>
      </c>
      <c r="D12" s="17" t="inlineStr">
        <is>
          <t>2028.09.19</t>
        </is>
      </c>
      <c r="E12" s="37" t="inlineStr">
        <is>
          <t>有效</t>
        </is>
      </c>
      <c r="F12" s="17" t="inlineStr">
        <is>
          <t>—</t>
        </is>
      </c>
      <c r="G12" s="17" t="inlineStr">
        <is>
          <t>排污</t>
        </is>
      </c>
      <c r="H12" s="17" t="inlineStr">
        <is>
          <t>纯碱厂</t>
        </is>
      </c>
      <c r="I12" s="17" t="inlineStr">
        <is>
          <t>核心（必需）</t>
        </is>
      </c>
      <c r="J12" s="17" t="inlineStr">
        <is>
          <t>E01</t>
        </is>
      </c>
    </row>
    <row r="13" ht="29" customHeight="1">
      <c r="A13" s="8" t="inlineStr">
        <is>
          <t>山东海化</t>
        </is>
      </c>
      <c r="B13" s="8" t="inlineStr">
        <is>
          <t>排污许可证</t>
        </is>
      </c>
      <c r="C13" s="8" t="inlineStr">
        <is>
          <t>2023.09.27</t>
        </is>
      </c>
      <c r="D13" s="8" t="inlineStr">
        <is>
          <t>2028.09.26</t>
        </is>
      </c>
      <c r="E13" s="37" t="inlineStr">
        <is>
          <t>有效</t>
        </is>
      </c>
      <c r="F13" s="8" t="inlineStr">
        <is>
          <t>—</t>
        </is>
      </c>
      <c r="G13" s="8" t="inlineStr">
        <is>
          <t>排污</t>
        </is>
      </c>
      <c r="H13" s="8" t="inlineStr">
        <is>
          <t>氯碱树脂公司</t>
        </is>
      </c>
      <c r="I13" s="8" t="inlineStr">
        <is>
          <t>无关</t>
        </is>
      </c>
      <c r="J13" s="8" t="inlineStr">
        <is>
          <t>E01</t>
        </is>
      </c>
    </row>
    <row r="14" ht="29" customHeight="1">
      <c r="A14" s="17" t="inlineStr">
        <is>
          <t>山东海化</t>
        </is>
      </c>
      <c r="B14" s="17" t="inlineStr">
        <is>
          <t>排污许可证</t>
        </is>
      </c>
      <c r="C14" s="17" t="inlineStr">
        <is>
          <t>2025.09.03</t>
        </is>
      </c>
      <c r="D14" s="17" t="inlineStr">
        <is>
          <t>2030.09.02</t>
        </is>
      </c>
      <c r="E14" s="37" t="inlineStr">
        <is>
          <t>有效</t>
        </is>
      </c>
      <c r="F14" s="17" t="inlineStr">
        <is>
          <t>—</t>
        </is>
      </c>
      <c r="G14" s="17" t="inlineStr">
        <is>
          <t>排污</t>
        </is>
      </c>
      <c r="H14" s="17" t="inlineStr">
        <is>
          <t>小苏打厂</t>
        </is>
      </c>
      <c r="I14" s="17" t="inlineStr">
        <is>
          <t>无关</t>
        </is>
      </c>
      <c r="J14" s="17" t="inlineStr">
        <is>
          <t>E01</t>
        </is>
      </c>
    </row>
    <row r="15" ht="43" customHeight="1">
      <c r="A15" s="8" t="inlineStr">
        <is>
          <t>山东海化</t>
        </is>
      </c>
      <c r="B15" s="8" t="inlineStr">
        <is>
          <t>（在建）纯碱装置提质增效节能环保改造项目环评/安评批复</t>
        </is>
      </c>
      <c r="C15" s="8" t="inlineStr">
        <is>
          <t>2026</t>
        </is>
      </c>
      <c r="D15" s="8" t="inlineStr">
        <is>
          <t>—</t>
        </is>
      </c>
      <c r="E15" s="36" t="inlineStr">
        <is>
          <t>待核定</t>
        </is>
      </c>
      <c r="F15" s="8" t="inlineStr">
        <is>
          <t>—</t>
        </is>
      </c>
      <c r="G15" s="8" t="inlineStr">
        <is>
          <t>100 万吨/年联碱法纯碱（轻质 40 万吨＋重质 60 万吨）置换 120 万吨/年氨碱法老线</t>
        </is>
      </c>
      <c r="H15" s="8" t="inlineStr">
        <is>
          <t>股份公司</t>
        </is>
      </c>
      <c r="I15" s="8" t="inlineStr">
        <is>
          <t>相关</t>
        </is>
      </c>
      <c r="J15" s="8" t="inlineStr">
        <is>
          <t>E01</t>
        </is>
      </c>
    </row>
    <row r="16" ht="29" customHeight="1">
      <c r="A16" s="17" t="inlineStr">
        <is>
          <t>唐山三友</t>
        </is>
      </c>
      <c r="B16" s="17" t="inlineStr">
        <is>
          <t>排污许可证</t>
        </is>
      </c>
      <c r="C16" s="17" t="inlineStr">
        <is>
          <t>—</t>
        </is>
      </c>
      <c r="D16" s="17" t="inlineStr">
        <is>
          <t>—</t>
        </is>
      </c>
      <c r="E16" s="36" t="inlineStr">
        <is>
          <t>待核定</t>
        </is>
      </c>
      <c r="F16" s="17" t="inlineStr">
        <is>
          <t>—</t>
        </is>
      </c>
      <c r="G16" s="17" t="inlineStr">
        <is>
          <t>公开渠道未取得副本</t>
        </is>
      </c>
      <c r="H16" s="17" t="inlineStr">
        <is>
          <t>纯碱分公司（待核）</t>
        </is>
      </c>
      <c r="I16" s="17" t="inlineStr">
        <is>
          <t>核心（必需）</t>
        </is>
      </c>
      <c r="J16" s="17" t="inlineStr">
        <is>
          <t>E09</t>
        </is>
      </c>
    </row>
    <row r="17" ht="29" customHeight="1">
      <c r="A17" s="8" t="inlineStr">
        <is>
          <t>唐山三友</t>
        </is>
      </c>
      <c r="B17" s="8" t="inlineStr">
        <is>
          <t>食品生产许可证（如需食品级）</t>
        </is>
      </c>
      <c r="C17" s="8" t="inlineStr">
        <is>
          <t>—</t>
        </is>
      </c>
      <c r="D17" s="8" t="inlineStr">
        <is>
          <t>—</t>
        </is>
      </c>
      <c r="E17" s="36" t="inlineStr">
        <is>
          <t>待核定</t>
        </is>
      </c>
      <c r="F17" s="8" t="inlineStr">
        <is>
          <t>—</t>
        </is>
      </c>
      <c r="G17" s="8" t="inlineStr">
        <is>
          <t>待供应商提供</t>
        </is>
      </c>
      <c r="H17" s="8" t="inlineStr">
        <is>
          <t>待核</t>
        </is>
      </c>
      <c r="I17" s="8" t="inlineStr">
        <is>
          <t>相关</t>
        </is>
      </c>
      <c r="J17" s="8" t="inlineStr">
        <is>
          <t>E09</t>
        </is>
      </c>
    </row>
    <row r="18" ht="29" customHeight="1">
      <c r="A18" s="17" t="inlineStr">
        <is>
          <t>唐山三友</t>
        </is>
      </c>
      <c r="B18" s="17" t="inlineStr">
        <is>
          <t>质量管理体系认证（ISO 9001）</t>
        </is>
      </c>
      <c r="C18" s="17" t="inlineStr">
        <is>
          <t>—</t>
        </is>
      </c>
      <c r="D18" s="17" t="inlineStr">
        <is>
          <t>—</t>
        </is>
      </c>
      <c r="E18" s="36" t="inlineStr">
        <is>
          <t>待核定</t>
        </is>
      </c>
      <c r="F18" s="17" t="inlineStr">
        <is>
          <t>—</t>
        </is>
      </c>
      <c r="G18" s="17" t="inlineStr">
        <is>
          <t>待供应商提供</t>
        </is>
      </c>
      <c r="H18" s="17" t="inlineStr">
        <is>
          <t>待核</t>
        </is>
      </c>
      <c r="I18" s="17" t="inlineStr">
        <is>
          <t>相关</t>
        </is>
      </c>
      <c r="J18" s="17" t="inlineStr">
        <is>
          <t>E09</t>
        </is>
      </c>
    </row>
    <row r="19" ht="29" customHeight="1">
      <c r="A19" s="8" t="inlineStr">
        <is>
          <t>唐山三友</t>
        </is>
      </c>
      <c r="B19" s="8" t="inlineStr">
        <is>
          <t>危险化学品相关许可</t>
        </is>
      </c>
      <c r="C19" s="8" t="inlineStr">
        <is>
          <t>—</t>
        </is>
      </c>
      <c r="D19" s="8" t="inlineStr">
        <is>
          <t>—</t>
        </is>
      </c>
      <c r="E19" s="36" t="inlineStr">
        <is>
          <t>待核定</t>
        </is>
      </c>
      <c r="F19" s="8" t="inlineStr">
        <is>
          <t>—</t>
        </is>
      </c>
      <c r="G19" s="8" t="inlineStr">
        <is>
          <t>纯碱本身非危化品，但配套合成氨/液氨装置涉危化</t>
        </is>
      </c>
      <c r="H19" s="8" t="inlineStr">
        <is>
          <t>待核</t>
        </is>
      </c>
      <c r="I19" s="8" t="inlineStr">
        <is>
          <t>相关</t>
        </is>
      </c>
      <c r="J19" s="8" t="inlineStr">
        <is>
          <t>E09</t>
        </is>
      </c>
    </row>
    <row r="20" ht="29" customHeight="1">
      <c r="A20" s="17" t="inlineStr">
        <is>
          <t>河南金山</t>
        </is>
      </c>
      <c r="B20" s="17" t="inlineStr">
        <is>
          <t>排污许可证</t>
        </is>
      </c>
      <c r="C20" s="17" t="inlineStr">
        <is>
          <t>—</t>
        </is>
      </c>
      <c r="D20" s="17" t="inlineStr">
        <is>
          <t>—</t>
        </is>
      </c>
      <c r="E20" s="36" t="inlineStr">
        <is>
          <t>待核定</t>
        </is>
      </c>
      <c r="F20" s="17" t="inlineStr">
        <is>
          <t>—</t>
        </is>
      </c>
      <c r="G20" s="17" t="inlineStr">
        <is>
          <t>公开渠道未取得副本（环评公示可作旁证）</t>
        </is>
      </c>
      <c r="H20" s="17" t="inlineStr">
        <is>
          <t>待核</t>
        </is>
      </c>
      <c r="I20" s="17" t="inlineStr">
        <is>
          <t>核心（必需）</t>
        </is>
      </c>
      <c r="J20" s="17" t="inlineStr">
        <is>
          <t>E13</t>
        </is>
      </c>
    </row>
    <row r="21" ht="29" customHeight="1">
      <c r="A21" s="8" t="inlineStr">
        <is>
          <t>河南金山</t>
        </is>
      </c>
      <c r="B21" s="8" t="inlineStr">
        <is>
          <t>危险化学品相关许可</t>
        </is>
      </c>
      <c r="C21" s="8" t="inlineStr">
        <is>
          <t>—</t>
        </is>
      </c>
      <c r="D21" s="8" t="inlineStr">
        <is>
          <t>—</t>
        </is>
      </c>
      <c r="E21" s="36" t="inlineStr">
        <is>
          <t>待核定</t>
        </is>
      </c>
      <c r="F21" s="8" t="inlineStr">
        <is>
          <t>—</t>
        </is>
      </c>
      <c r="G21" s="8" t="inlineStr">
        <is>
          <t>合成氨/液氨装置涉危化，须索取</t>
        </is>
      </c>
      <c r="H21" s="8" t="inlineStr">
        <is>
          <t>待核</t>
        </is>
      </c>
      <c r="I21" s="8" t="inlineStr">
        <is>
          <t>相关</t>
        </is>
      </c>
      <c r="J21" s="8" t="inlineStr">
        <is>
          <t>E13</t>
        </is>
      </c>
    </row>
    <row r="22" ht="29" customHeight="1">
      <c r="A22" s="17" t="inlineStr">
        <is>
          <t>河南金山</t>
        </is>
      </c>
      <c r="B22" s="17" t="inlineStr">
        <is>
          <t>食品生产许可证（如需食品级）</t>
        </is>
      </c>
      <c r="C22" s="17" t="inlineStr">
        <is>
          <t>—</t>
        </is>
      </c>
      <c r="D22" s="17" t="inlineStr">
        <is>
          <t>—</t>
        </is>
      </c>
      <c r="E22" s="36" t="inlineStr">
        <is>
          <t>待核定</t>
        </is>
      </c>
      <c r="F22" s="17" t="inlineStr">
        <is>
          <t>—</t>
        </is>
      </c>
      <c r="G22" s="17" t="inlineStr">
        <is>
          <t>待供应商提供</t>
        </is>
      </c>
      <c r="H22" s="17" t="inlineStr">
        <is>
          <t>待核</t>
        </is>
      </c>
      <c r="I22" s="17" t="inlineStr">
        <is>
          <t>相关</t>
        </is>
      </c>
      <c r="J22" s="17" t="inlineStr">
        <is>
          <t>E13</t>
        </is>
      </c>
    </row>
    <row r="23" ht="29" customHeight="1">
      <c r="A23" s="8" t="inlineStr">
        <is>
          <t>河南金山</t>
        </is>
      </c>
      <c r="B23" s="8" t="inlineStr">
        <is>
          <t>环境影响评价批复（联碱绿色转型产业园）</t>
        </is>
      </c>
      <c r="C23" s="8" t="inlineStr">
        <is>
          <t>2022</t>
        </is>
      </c>
      <c r="D23" s="8" t="inlineStr">
        <is>
          <t>—</t>
        </is>
      </c>
      <c r="E23" s="36" t="inlineStr">
        <is>
          <t>待核定</t>
        </is>
      </c>
      <c r="F23" s="8" t="inlineStr">
        <is>
          <t>—</t>
        </is>
      </c>
      <c r="G23" s="8" t="inlineStr">
        <is>
          <t>60 万吨合成氨、70 万吨纯碱、160 万吨小苏打、180 万吨氯化铵</t>
        </is>
      </c>
      <c r="H23" s="8" t="inlineStr">
        <is>
          <t>河南金大地化工</t>
        </is>
      </c>
      <c r="I23" s="8" t="inlineStr">
        <is>
          <t>核心（必需）</t>
        </is>
      </c>
      <c r="J23" s="8" t="inlineStr">
        <is>
          <t>E13</t>
        </is>
      </c>
    </row>
    <row r="25" ht="30" customHeight="1">
      <c r="A25" s="25" t="inlineStr">
        <is>
          <t>依据：巨潮资讯网年报“相关批复、许可、资质及有效期的情况”。表中“—”代表公开渠道未取得，须在问询阶段索取（见 09 表）。</t>
        </is>
      </c>
    </row>
  </sheetData>
  <mergeCells count="3">
    <mergeCell ref="A1:I1"/>
    <mergeCell ref="A25:J25"/>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30" customWidth="1" min="3" max="3"/>
    <col width="30" customWidth="1" min="4" max="4"/>
    <col width="30" customWidth="1" min="5" max="5"/>
    <col width="16" customWidth="1" min="6" max="6"/>
    <col width="24" customWidth="1" min="7" max="7"/>
  </cols>
  <sheetData>
    <row r="1" ht="30" customHeight="1">
      <c r="A1" s="1" t="inlineStr">
        <is>
          <t>06 商业条款（报价）对比</t>
        </is>
      </c>
    </row>
    <row r="2" ht="22" customHeight="1">
      <c r="A2" s="2" t="inlineStr">
        <is>
          <t>8 项商业条款按统一口径归一化：出厂/到厂 × 散装/吨袋 × 含税/不含税 × 批次量。未收到报价＝待确认，不填估算</t>
        </is>
      </c>
    </row>
    <row r="4" ht="46" customHeight="1">
      <c r="A4" s="38" t="inlineStr">
        <is>
          <t>报价状态：本次未取得任何报价。三家均未提供正式报价单，公开渠道亦无可靠的出厂价可比数据，因此价格与 8 项商业条款全部标为“待确认”。若后续上传报价单（Excel/PDF/截图），按 references/quote-normalization.md 将“出厂/到厂、含税/不含税、散装/吨袋、5000 吨/5 万吨”统一口径后再进入本表与 Excel「06 报价对比」。</t>
        </is>
      </c>
    </row>
    <row r="5" ht="28" customHeight="1">
      <c r="A5" s="6" t="inlineStr">
        <is>
          <t>条款</t>
        </is>
      </c>
      <c r="B5" s="6" t="inlineStr">
        <is>
          <t>口径说明</t>
        </is>
      </c>
      <c r="C5" s="6" t="inlineStr">
        <is>
          <t>山东海化</t>
        </is>
      </c>
      <c r="D5" s="6" t="inlineStr">
        <is>
          <t>唐山三友</t>
        </is>
      </c>
      <c r="E5" s="6" t="inlineStr">
        <is>
          <t>河南金山</t>
        </is>
      </c>
      <c r="F5" s="6" t="inlineStr">
        <is>
          <t>我方底线</t>
        </is>
      </c>
      <c r="G5" s="6" t="inlineStr">
        <is>
          <t>备注</t>
        </is>
      </c>
    </row>
    <row r="6" ht="43" customHeight="1">
      <c r="A6" s="15" t="inlineStr">
        <is>
          <t>含税单价</t>
        </is>
      </c>
      <c r="B6" s="8" t="inlineStr">
        <is>
          <t>必须注明：出厂价 or 到厂价；散装 or 吨袋；含税 or 不含税</t>
        </is>
      </c>
      <c r="C6" s="8" t="inlineStr">
        <is>
          <t>未报价</t>
        </is>
      </c>
      <c r="D6" s="8" t="inlineStr">
        <is>
          <t>未报价</t>
        </is>
      </c>
      <c r="E6" s="8" t="inlineStr">
        <is>
          <t>未报价</t>
        </is>
      </c>
      <c r="F6" s="8" t="inlineStr"/>
      <c r="G6" s="8" t="inlineStr"/>
    </row>
    <row r="7" ht="29" customHeight="1">
      <c r="A7" s="16" t="inlineStr">
        <is>
          <t>含税口径</t>
        </is>
      </c>
      <c r="B7" s="17" t="inlineStr">
        <is>
          <t>13% 增值税专用发票 / 普票 / 不含税</t>
        </is>
      </c>
      <c r="C7" s="17" t="inlineStr">
        <is>
          <t>—</t>
        </is>
      </c>
      <c r="D7" s="17" t="inlineStr">
        <is>
          <t>—</t>
        </is>
      </c>
      <c r="E7" s="17" t="inlineStr">
        <is>
          <t>—</t>
        </is>
      </c>
      <c r="F7" s="17" t="inlineStr"/>
      <c r="G7" s="17" t="inlineStr"/>
    </row>
    <row r="8" ht="29" customHeight="1">
      <c r="A8" s="15" t="inlineStr">
        <is>
          <t>运费承担</t>
        </is>
      </c>
      <c r="B8" s="8" t="inlineStr">
        <is>
          <t>供方承担 / 需方承担 / 含运价 / 运费单独结算，损耗谁承担</t>
        </is>
      </c>
      <c r="C8" s="8" t="inlineStr">
        <is>
          <t>—</t>
        </is>
      </c>
      <c r="D8" s="8" t="inlineStr">
        <is>
          <t>—</t>
        </is>
      </c>
      <c r="E8" s="8" t="inlineStr">
        <is>
          <t>—</t>
        </is>
      </c>
      <c r="F8" s="8" t="inlineStr"/>
      <c r="G8" s="8" t="inlineStr"/>
    </row>
    <row r="9" ht="43" customHeight="1">
      <c r="A9" s="16" t="inlineStr">
        <is>
          <t>包装方式</t>
        </is>
      </c>
      <c r="B9" s="17" t="inlineStr">
        <is>
          <t>散装罐车 / 500–1000 kg 吨袋 / 50 kg 编织袋，含托盘与回收条款</t>
        </is>
      </c>
      <c r="C9" s="17" t="inlineStr">
        <is>
          <t>—</t>
        </is>
      </c>
      <c r="D9" s="17" t="inlineStr">
        <is>
          <t>—</t>
        </is>
      </c>
      <c r="E9" s="17" t="inlineStr">
        <is>
          <t>—</t>
        </is>
      </c>
      <c r="F9" s="17" t="inlineStr"/>
      <c r="G9" s="17" t="inlineStr"/>
    </row>
    <row r="10" ht="29" customHeight="1">
      <c r="A10" s="15" t="inlineStr">
        <is>
          <t>账期 / 结算</t>
        </is>
      </c>
      <c r="B10" s="8" t="inlineStr">
        <is>
          <t>预付 / 货到付款 / 月结 N 天 / 承兑（贴现成本折算）</t>
        </is>
      </c>
      <c r="C10" s="8" t="inlineStr">
        <is>
          <t>—</t>
        </is>
      </c>
      <c r="D10" s="8" t="inlineStr">
        <is>
          <t>—</t>
        </is>
      </c>
      <c r="E10" s="8" t="inlineStr">
        <is>
          <t>—</t>
        </is>
      </c>
      <c r="F10" s="8" t="inlineStr"/>
      <c r="G10" s="8" t="inlineStr"/>
    </row>
    <row r="11" ht="29" customHeight="1">
      <c r="A11" s="16" t="inlineStr">
        <is>
          <t>交期与发货节奏</t>
        </is>
      </c>
      <c r="B11" s="17" t="inlineStr">
        <is>
          <t>下单后 N 天到货、是否接受月度均衡发货、是否接受紧急插单</t>
        </is>
      </c>
      <c r="C11" s="17" t="inlineStr">
        <is>
          <t>—</t>
        </is>
      </c>
      <c r="D11" s="17" t="inlineStr">
        <is>
          <t>—</t>
        </is>
      </c>
      <c r="E11" s="17" t="inlineStr">
        <is>
          <t>—</t>
        </is>
      </c>
      <c r="F11" s="17" t="inlineStr"/>
      <c r="G11" s="17" t="inlineStr"/>
    </row>
    <row r="12" ht="29" customHeight="1">
      <c r="A12" s="15" t="inlineStr">
        <is>
          <t>最小起订量</t>
        </is>
      </c>
      <c r="B12" s="8" t="inlineStr">
        <is>
          <t>最小起订量（吨/车/批），小批量试单是否加价</t>
        </is>
      </c>
      <c r="C12" s="8" t="inlineStr">
        <is>
          <t>—</t>
        </is>
      </c>
      <c r="D12" s="8" t="inlineStr">
        <is>
          <t>—</t>
        </is>
      </c>
      <c r="E12" s="8" t="inlineStr">
        <is>
          <t>—</t>
        </is>
      </c>
      <c r="F12" s="8" t="inlineStr"/>
      <c r="G12" s="8" t="inlineStr"/>
    </row>
    <row r="13" ht="29" customHeight="1">
      <c r="A13" s="16" t="inlineStr">
        <is>
          <t>报价有效期</t>
        </is>
      </c>
      <c r="B13" s="17" t="inlineStr">
        <is>
          <t>报价有效期、价格调整机制（月度/季度联动）</t>
        </is>
      </c>
      <c r="C13" s="17" t="inlineStr">
        <is>
          <t>—</t>
        </is>
      </c>
      <c r="D13" s="17" t="inlineStr">
        <is>
          <t>—</t>
        </is>
      </c>
      <c r="E13" s="17" t="inlineStr">
        <is>
          <t>—</t>
        </is>
      </c>
      <c r="F13" s="17" t="inlineStr"/>
      <c r="G13" s="17" t="inlineStr"/>
    </row>
    <row r="15" ht="34" customHeight="1">
      <c r="A15" s="34" t="inlineStr">
        <is>
          <t>归一化公式（收到报价后启用）：到厂含税单价 = 出厂不含税价 ×(1+13%) + 运费(元/吨) + 包装费 + 装卸/港杂 − 账期资金成本；其中账期资金成本 = 报价 × 年化利率 × 账期天数/365。</t>
        </is>
      </c>
    </row>
  </sheetData>
  <mergeCells count="4">
    <mergeCell ref="A1:I1"/>
    <mergeCell ref="A2:I2"/>
    <mergeCell ref="A4:F4"/>
    <mergeCell ref="A15:I15"/>
  </mergeCells>
  <dataValidations count="1">
    <dataValidation sqref="C6 C7 C8 C9 C10 C11 C12 C13 D6 D7 D8 D9 D10 D11 D12 D13 E6 E7 E8 E9 E10 E11 E12 E13" showDropDown="0" showInputMessage="0" showErrorMessage="0" allowBlank="1" type="list">
      <formula1>"待确认,已报价,不适用"</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76" customWidth="1" min="4" max="4"/>
    <col width="3" customWidth="1" min="5" max="5"/>
    <col width="3" customWidth="1" min="6" max="6"/>
    <col width="16" customWidth="1" min="7" max="7"/>
  </cols>
  <sheetData>
    <row r="1" ht="30" customHeight="1">
      <c r="A1" s="1" t="inlineStr">
        <is>
          <t>07 经营风险、司法风险与近期负面事件</t>
        </is>
      </c>
    </row>
    <row r="2" ht="22" customHeight="1">
      <c r="A2" s="2" t="inlineStr">
        <is>
          <t>等级＝对本次采购的潜在影响（高/中/低/未取得），不是企业整体评级；“未发现”≠“不存在”</t>
        </is>
      </c>
    </row>
    <row r="4" ht="30" customHeight="1">
      <c r="A4" s="6" t="inlineStr">
        <is>
          <t>企业</t>
        </is>
      </c>
      <c r="B4" s="6" t="inlineStr">
        <is>
          <t>风险等级</t>
        </is>
      </c>
      <c r="C4" s="6" t="inlineStr">
        <is>
          <t>司法 / 经营风险要点</t>
        </is>
      </c>
      <c r="D4" s="6" t="inlineStr">
        <is>
          <t>负面事件</t>
        </is>
      </c>
      <c r="E4" s="6" t="inlineStr">
        <is>
          <t>事件等级</t>
        </is>
      </c>
      <c r="F4" s="6" t="inlineStr">
        <is>
          <t>关键差异</t>
        </is>
      </c>
      <c r="G4" s="6" t="inlineStr">
        <is>
          <t>证据</t>
        </is>
      </c>
    </row>
    <row r="5" ht="71" customHeight="1">
      <c r="A5" s="15" t="inlineStr">
        <is>
          <t>山东海化</t>
        </is>
      </c>
      <c r="B5" s="39" t="inlineStr">
        <is>
          <t>低</t>
        </is>
      </c>
      <c r="C5" s="8" t="inlineStr">
        <is>
          <t>上市公司披露：2025 年报与 2026 半年报均声明“无重大诉讼、仲裁”，且“不存在处罚及整改情况”“无环境事故”。财务：2025 年归母净利 -13.88 亿元（含计提减值）、2026H1 -2.81 亿元；2025 年经营现金流 -1.04 亿元。重大资本开支：拟投 48.37 亿元做纯碱装置改造（24 个月建设期）；集团层面 2026-09 多家子公司股权划转至新设海化投资公司。</t>
        </is>
      </c>
      <c r="D5" s="8" t="inlineStr">
        <is>
          <t>公开渠道未检索到 2025-10 至 2026-10 的安全、环保、质量、税务类负面事件；相关口径仅为公司“无处罚及整改”声明。</t>
        </is>
      </c>
      <c r="E5" s="40" t="inlineStr">
        <is>
          <t>无</t>
        </is>
      </c>
      <c r="F5" s="8" t="inlineStr">
        <is>
          <t>风险画像不同质：财报风险、子公司风险、司法风险</t>
        </is>
      </c>
      <c r="G5" s="8" t="inlineStr">
        <is>
          <t>E01,E08,E24,E28</t>
        </is>
      </c>
    </row>
    <row r="6" ht="70" customHeight="1">
      <c r="A6" s="16" t="inlineStr">
        <is>
          <t>唐山三友</t>
        </is>
      </c>
      <c r="B6" s="39" t="inlineStr">
        <is>
          <t>低</t>
        </is>
      </c>
      <c r="C6" s="17" t="inlineStr">
        <is>
          <t>年报披露：无重大诉讼、仲裁；公司及控股股东、实控人无违法违规处罚（披露口径）。已披露负面：青海五彩碱业都兰盐业分公司 2024-05-17 环保罚款 20 万元（西生罚字【2024】28号），已缴款并重新环评、通过验收。子公司：青海纯碱 2026H1 净利 -6,104.9 万元。</t>
        </is>
      </c>
      <c r="D6" s="17" t="inlineStr">
        <is>
          <t>近 12 个月未检索到安全、环保、质量类负面事件；最近一次为 2024 年青海子公司环保罚款（已整改闭环）。</t>
        </is>
      </c>
      <c r="E6" s="40" t="inlineStr">
        <is>
          <t>无</t>
        </is>
      </c>
      <c r="F6" s="17" t="inlineStr">
        <is>
          <t>风险画像不同质：财报风险、子公司风险、司法风险</t>
        </is>
      </c>
      <c r="G6" s="17" t="inlineStr">
        <is>
          <t>E04,E06,E09</t>
        </is>
      </c>
    </row>
    <row r="7" ht="71" customHeight="1">
      <c r="A7" s="15" t="inlineStr">
        <is>
          <t>河南金山</t>
        </is>
      </c>
      <c r="B7" s="41" t="inlineStr">
        <is>
          <t>中</t>
        </is>
      </c>
      <c r="C7" s="8" t="inlineStr">
        <is>
          <t>① 2019 年作为原告就纯碱货款起诉沙河安全实业、中玻（朝阳）、天津中玻三家玻璃企业，诉请约 1.6 亿元，一审胜诉、二审维持，2020-03 先予执行扣划 1.40 亿元（反映下游回款压力与自身资金压力）；② 2011 年当地村民反映污染问题、媒体实地采访（年代久远，仅作历史记录）；③ 非上市，无财报、无许可清单、无处罚公示可查。</t>
        </is>
      </c>
      <c r="D7" s="8" t="inlineStr">
        <is>
          <t>近 12 个月未检索到可核实的负面事件；但受非上市信息披露限制，“未检索到”只能记为未取得。</t>
        </is>
      </c>
      <c r="E7" s="40" t="inlineStr">
        <is>
          <t>无</t>
        </is>
      </c>
      <c r="F7" s="8" t="inlineStr">
        <is>
          <t>风险画像不同质：财报风险、子公司风险、司法风险</t>
        </is>
      </c>
      <c r="G7" s="8" t="inlineStr">
        <is>
          <t>E14,E16</t>
        </is>
      </c>
    </row>
    <row r="9">
      <c r="A9" s="5" t="inlineStr">
        <is>
          <t>近期动态（时间倒序）</t>
        </is>
      </c>
    </row>
    <row r="10" ht="24" customHeight="1">
      <c r="A10" s="6" t="inlineStr">
        <is>
          <t>日期</t>
        </is>
      </c>
      <c r="B10" s="6" t="inlineStr">
        <is>
          <t>标签</t>
        </is>
      </c>
      <c r="C10" s="6" t="inlineStr">
        <is>
          <t>对象</t>
        </is>
      </c>
      <c r="D10" s="6" t="inlineStr">
        <is>
          <t>事件</t>
        </is>
      </c>
      <c r="E10" s="6" t="inlineStr"/>
      <c r="F10" s="6" t="inlineStr"/>
      <c r="G10" s="6" t="inlineStr">
        <is>
          <t>证据</t>
        </is>
      </c>
    </row>
    <row r="11" ht="29" customHeight="1">
      <c r="A11" s="8" t="inlineStr">
        <is>
          <t>2026-10</t>
        </is>
      </c>
      <c r="B11" s="8" t="inlineStr">
        <is>
          <t>产能</t>
        </is>
      </c>
      <c r="C11" s="8" t="inlineStr">
        <is>
          <t>山东海化</t>
        </is>
      </c>
      <c r="D11" s="8" t="inlineStr">
        <is>
          <t>海化集团官网披露纯碱厂为新老两条生产线（老线 120 万吨、新线 160 万吨），年产能 280 万吨、占全国约十分之一，在岗员工 1,886 人</t>
        </is>
      </c>
      <c r="E11" s="42" t="n"/>
      <c r="F11" s="43" t="n"/>
      <c r="G11" s="8" t="inlineStr">
        <is>
          <t>E27</t>
        </is>
      </c>
    </row>
    <row r="12" ht="29" customHeight="1">
      <c r="A12" s="17" t="inlineStr">
        <is>
          <t>2026-09</t>
        </is>
      </c>
      <c r="B12" s="17" t="inlineStr">
        <is>
          <t>股权</t>
        </is>
      </c>
      <c r="C12" s="17" t="inlineStr">
        <is>
          <t>山东海化</t>
        </is>
      </c>
      <c r="D12" s="17" t="inlineStr">
        <is>
          <t>海化集团 2026 年 9 月把至少 5 家子公司股权划转至新设“山东海化集团投资有限公司”（含鲲鹏供应链、塑编等），需确认销售与结算主体是否变化</t>
        </is>
      </c>
      <c r="E12" s="42" t="n"/>
      <c r="F12" s="43" t="n"/>
      <c r="G12" s="17" t="inlineStr">
        <is>
          <t>E24</t>
        </is>
      </c>
    </row>
    <row r="13" ht="29" customHeight="1">
      <c r="A13" s="8" t="inlineStr">
        <is>
          <t>2026-09</t>
        </is>
      </c>
      <c r="B13" s="8" t="inlineStr">
        <is>
          <t>数据口径</t>
        </is>
      </c>
      <c r="C13" s="8" t="inlineStr">
        <is>
          <t>河南金山</t>
        </is>
      </c>
      <c r="D13" s="8" t="inlineStr">
        <is>
          <t>金山集团纯碱产能存在 330 万吨（官网自述）与 220 万吨（第三方百科）两种口径，相差约 110 万吨，需书面确认在产装置清单</t>
        </is>
      </c>
      <c r="E13" s="42" t="n"/>
      <c r="F13" s="43" t="n"/>
      <c r="G13" s="8" t="inlineStr">
        <is>
          <t>E11,E12</t>
        </is>
      </c>
    </row>
    <row r="14" ht="43" customHeight="1">
      <c r="A14" s="17" t="inlineStr">
        <is>
          <t>2026-08</t>
        </is>
      </c>
      <c r="B14" s="17" t="inlineStr">
        <is>
          <t>行业</t>
        </is>
      </c>
      <c r="C14" s="17" t="inlineStr">
        <is>
          <t>行业</t>
        </is>
      </c>
      <c r="D14" s="17" t="inlineStr">
        <is>
          <t>三友披露：2026 年 6 月底国内纯碱产能约 4500 万吨，上半年行业开工率约 92%、产量约 2066 万吨（同比 +4.5%）；浮法与光伏玻璃冷修增多，需求持续萎缩</t>
        </is>
      </c>
      <c r="E14" s="42" t="n"/>
      <c r="F14" s="43" t="n"/>
      <c r="G14" s="17" t="inlineStr">
        <is>
          <t>E06</t>
        </is>
      </c>
    </row>
    <row r="15" ht="29" customHeight="1">
      <c r="A15" s="8" t="inlineStr">
        <is>
          <t>2026-08</t>
        </is>
      </c>
      <c r="B15" s="8" t="inlineStr">
        <is>
          <t>经营</t>
        </is>
      </c>
      <c r="C15" s="8" t="inlineStr">
        <is>
          <t>山东海化</t>
        </is>
      </c>
      <c r="D15" s="8" t="inlineStr">
        <is>
          <t>山东海化 2026H1 营收 21.28 亿元、归母净利 -2.81 亿元（同比亏损扩大 9.14%）；同期声明无重大诉讼、无处罚及整改、无环境事故</t>
        </is>
      </c>
      <c r="E15" s="42" t="n"/>
      <c r="F15" s="43" t="n"/>
      <c r="G15" s="8" t="inlineStr">
        <is>
          <t>E08</t>
        </is>
      </c>
    </row>
    <row r="16" ht="29" customHeight="1">
      <c r="A16" s="17" t="inlineStr">
        <is>
          <t>2026-08</t>
        </is>
      </c>
      <c r="B16" s="17" t="inlineStr">
        <is>
          <t>子公司</t>
        </is>
      </c>
      <c r="C16" s="17" t="inlineStr">
        <is>
          <t>唐山三友</t>
        </is>
      </c>
      <c r="D16" s="17" t="inlineStr">
        <is>
          <t>三友化工青海公司 2026H1 营收 6.28 亿元、净利 -6,104.9 万元，纯碱子公司持续亏损</t>
        </is>
      </c>
      <c r="E16" s="42" t="n"/>
      <c r="F16" s="43" t="n"/>
      <c r="G16" s="17" t="inlineStr">
        <is>
          <t>E06</t>
        </is>
      </c>
    </row>
    <row r="17" ht="29" customHeight="1">
      <c r="A17" s="8" t="inlineStr">
        <is>
          <t>2026-04</t>
        </is>
      </c>
      <c r="B17" s="8" t="inlineStr">
        <is>
          <t>产能</t>
        </is>
      </c>
      <c r="C17" s="8" t="inlineStr">
        <is>
          <t>唐山三友</t>
        </is>
      </c>
      <c r="D17" s="8" t="inlineStr">
        <is>
          <t>三友 2025 年纯碱本部开工率降至 85.37%（2024 年 92.10%），青海基地仍以 111.54% 超产运行</t>
        </is>
      </c>
      <c r="E17" s="42" t="n"/>
      <c r="F17" s="43" t="n"/>
      <c r="G17" s="8" t="inlineStr">
        <is>
          <t>E04,E05</t>
        </is>
      </c>
    </row>
    <row r="18" ht="43" customHeight="1">
      <c r="A18" s="17" t="inlineStr">
        <is>
          <t>2026-02</t>
        </is>
      </c>
      <c r="B18" s="17" t="inlineStr">
        <is>
          <t>技改</t>
        </is>
      </c>
      <c r="C18" s="17" t="inlineStr">
        <is>
          <t>山东海化</t>
        </is>
      </c>
      <c r="D18" s="17" t="inlineStr">
        <is>
          <t>山东海化拟投 48.37 亿元实施纯碱装置改造：以 100 万吨/年联碱法产能置换 120 万吨/年氨碱法老线（减量置换 1.2:1），新建装置设计轻质 40 万吨＋重质 60 万吨、副产氯化铵 103 万吨，建设期 24 个月；同期拟用 16 亿元自有资金开展纯碱/烧碱期货套保</t>
        </is>
      </c>
      <c r="E18" s="42" t="n"/>
      <c r="F18" s="43" t="n"/>
      <c r="G18" s="17" t="inlineStr">
        <is>
          <t>E28</t>
        </is>
      </c>
    </row>
    <row r="19" ht="29" customHeight="1">
      <c r="A19" s="8" t="inlineStr">
        <is>
          <t>2025-01</t>
        </is>
      </c>
      <c r="B19" s="8" t="inlineStr">
        <is>
          <t>行业</t>
        </is>
      </c>
      <c r="C19" s="8" t="inlineStr">
        <is>
          <t>行业</t>
        </is>
      </c>
      <c r="D19" s="8" t="inlineStr">
        <is>
          <t>天然碱产能扩张（阿拉善一期 500 万吨已投产、二期 280 万吨在建），三家企业均属合成碱体系，面临中长期成本挤压</t>
        </is>
      </c>
      <c r="E19" s="42" t="n"/>
      <c r="F19" s="43" t="n"/>
      <c r="G19" s="8" t="inlineStr">
        <is>
          <t>E25</t>
        </is>
      </c>
    </row>
    <row r="20" ht="29" customHeight="1">
      <c r="A20" s="17" t="inlineStr">
        <is>
          <t>2023-11</t>
        </is>
      </c>
      <c r="B20" s="17" t="inlineStr">
        <is>
          <t>产能</t>
        </is>
      </c>
      <c r="C20" s="17" t="inlineStr">
        <is>
          <t>河南金山</t>
        </is>
      </c>
      <c r="D20" s="17" t="inlineStr">
        <is>
          <t>金大地五期（联碱绿色转型产业园）合成氨装置满负荷运行；该期含 70 万吨/年纯碱，属集团内“拆二建一”迁建，不增加集团总产能</t>
        </is>
      </c>
      <c r="E20" s="42" t="n"/>
      <c r="F20" s="43" t="n"/>
      <c r="G20" s="17" t="inlineStr">
        <is>
          <t>E17,E19</t>
        </is>
      </c>
    </row>
    <row r="21" ht="29" customHeight="1">
      <c r="A21" s="8" t="inlineStr">
        <is>
          <t>2020-09</t>
        </is>
      </c>
      <c r="B21" s="8" t="inlineStr">
        <is>
          <t>法律</t>
        </is>
      </c>
      <c r="C21" s="8" t="inlineStr">
        <is>
          <t>河南金山</t>
        </is>
      </c>
      <c r="D21" s="8" t="inlineStr">
        <is>
          <t>金大地作为原告起诉三家玻璃客户追讨纯碱货款约 1.6 亿元并胜诉；2020-03 先予执行扣划 1.40 亿元</t>
        </is>
      </c>
      <c r="E21" s="42" t="n"/>
      <c r="F21" s="43" t="n"/>
      <c r="G21" s="8" t="inlineStr">
        <is>
          <t>E14</t>
        </is>
      </c>
    </row>
  </sheetData>
  <mergeCells count="13">
    <mergeCell ref="D19:F19"/>
    <mergeCell ref="D13:F13"/>
    <mergeCell ref="D11:F11"/>
    <mergeCell ref="A1:G1"/>
    <mergeCell ref="D14:F14"/>
    <mergeCell ref="D12:F12"/>
    <mergeCell ref="D18:F18"/>
    <mergeCell ref="A2:G2"/>
    <mergeCell ref="D17:F17"/>
    <mergeCell ref="D21:F21"/>
    <mergeCell ref="D20:F20"/>
    <mergeCell ref="D15:F15"/>
    <mergeCell ref="D16:F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4" customWidth="1" min="3" max="3"/>
    <col width="38" customWidth="1" min="4" max="4"/>
    <col width="38" customWidth="1" min="5" max="5"/>
    <col width="38" customWidth="1" min="6" max="6"/>
    <col width="16" customWidth="1" min="7" max="7"/>
  </cols>
  <sheetData>
    <row r="1" ht="30" customHeight="1">
      <c r="A1" s="1" t="inlineStr">
        <is>
          <t>08 自定义比较维度</t>
        </is>
      </c>
    </row>
    <row r="2" ht="22" customHeight="1">
      <c r="A2" s="2" t="inlineStr">
        <is>
          <t>本表由 data.json 中 type=custom 的维度生成；可继续追加行做补充比较</t>
        </is>
      </c>
    </row>
    <row r="4" ht="28" customHeight="1">
      <c r="A4" s="6" t="inlineStr">
        <is>
          <t>序号</t>
        </is>
      </c>
      <c r="B4" s="6" t="inlineStr">
        <is>
          <t>自定义维度</t>
        </is>
      </c>
      <c r="C4" s="6" t="inlineStr">
        <is>
          <t>为什么比较（判读要点）</t>
        </is>
      </c>
      <c r="D4" s="6" t="inlineStr">
        <is>
          <t>山东海化</t>
        </is>
      </c>
      <c r="E4" s="6" t="inlineStr">
        <is>
          <t>唐山三友</t>
        </is>
      </c>
      <c r="F4" s="6" t="inlineStr">
        <is>
          <t>河南金山</t>
        </is>
      </c>
      <c r="G4" s="6" t="inlineStr">
        <is>
          <t>证据</t>
        </is>
      </c>
    </row>
    <row r="5" ht="90" customHeight="1">
      <c r="A5" s="8" t="n">
        <v>1</v>
      </c>
      <c r="B5" s="8" t="inlineStr">
        <is>
          <t>【自定义】重质纯碱专项：粒径 / 超低盐 / 散装能力</t>
        </is>
      </c>
      <c r="C5" s="8" t="inlineStr">
        <is>
          <t>重质 vs 轻质直接决定玻璃窑炉投料效率；只认检测报告与装置证据</t>
        </is>
      </c>
      <c r="D5" s="8" t="inlineStr">
        <is>
          <t>老线 120 万吨为氨碱法、新线 160 万吨为另一套装置；已公告以 100 万吨/年联碱法置换 120 万吨/年氨碱老线，新建联碱装置设计产出轻质 40 万吨 + 重质 60 万吨（即重质化率按该装置约 60%）、副产氯化铵 103 万吨，建设期 24 个月。当前实际重质产量占比、粒径分布与散装发运能力仍未披露。</t>
        </is>
      </c>
      <c r="E5" s="8" t="inlineStr">
        <is>
          <t>唯一公开描述重质化工艺与比例的企业：“液相水合法”生产超低盐重质纯碱；重质化率、低盐化率、散装化率行业前列。具体粒径分布与堆积密度未披露。</t>
        </is>
      </c>
      <c r="F5" s="8" t="inlineStr">
        <is>
          <t>官网展示重质/轻质纯碱产品，但未披露重质化率、粒径分布与堆积密度；联碱法产品的氯根控制是重点核验项。</t>
        </is>
      </c>
      <c r="G5" s="8" t="inlineStr">
        <is>
          <t>E01,E04,E05,E11,E28</t>
        </is>
      </c>
    </row>
    <row r="6" ht="90" customHeight="1">
      <c r="A6" s="17" t="n">
        <v>2</v>
      </c>
      <c r="B6" s="17" t="inlineStr">
        <is>
          <t>【自定义】供应稳定性：检修、库存、华东可分配量</t>
        </is>
      </c>
      <c r="C6" s="17" t="inlineStr">
        <is>
          <t>断供代价 &gt;&gt; 价差；检修窗口与库存波动是保供条款的依据</t>
        </is>
      </c>
      <c r="D6" s="17" t="inlineStr">
        <is>
          <t>2024 年末化工产品库存回升（库存量同比 +2,798%，主要系纯碱库存增加），2025 年末库存又同比 -76.58%；波动大，需供应商给出库存储备与平衡发货承诺。</t>
        </is>
      </c>
      <c r="E6" s="17" t="inlineStr">
        <is>
          <t>2025 年本部开工率 85.37%（较 2024 年 92.10% 下降约 7 个百分点），总量与“340 万吨”名义产能之间差额较大；年报未披露华东可分配量。</t>
        </is>
      </c>
      <c r="F6" s="17" t="inlineStr">
        <is>
          <t>五期（联碱绿色转型产业园）总投资约 108–120 亿元、占地 1,100–1,200 亩（环评与行业媒体口径略有差异）；2023-11 合成氨装置满负荷运行，联碱装置同步投运；2022 年另有联碱节能技改项目拟再增 60 万吨纯碱/氯化铵（公众参与公示）。已投产规模、检修与库存均无公开数据。</t>
        </is>
      </c>
      <c r="G6" s="17" t="inlineStr">
        <is>
          <t>E01,E04,E05,E17,E18,E29</t>
        </is>
      </c>
    </row>
    <row r="8" ht="30" customHeight="1">
      <c r="A8" s="34" t="inlineStr">
        <is>
          <t>追加自定义维度的建议：① 与本次采购的失效模式直接相关（如纯碱的粒度/盐分/结块）；② 能通过文件或验厂核验；③ 不与已列维度重复。</t>
        </is>
      </c>
    </row>
  </sheetData>
  <mergeCells count="3">
    <mergeCell ref="A8:H8"/>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9" customWidth="1" min="3" max="3"/>
    <col width="66" customWidth="1" min="4" max="4"/>
    <col width="52" customWidth="1" min="5" max="5"/>
    <col width="12" customWidth="1" min="6" max="6"/>
  </cols>
  <sheetData>
    <row r="1" ht="30" customHeight="1">
      <c r="A1" s="1" t="inlineStr">
        <is>
          <t>09 逐家问询问题清单</t>
        </is>
      </c>
    </row>
    <row r="2" ht="22" customHeight="1">
      <c r="A2" s="2" t="inlineStr">
        <is>
          <t>可直接复制发送；每条注明优先级与“为什么要问”的依据</t>
        </is>
      </c>
    </row>
    <row r="4" ht="26" customHeight="1">
      <c r="A4" s="6" t="inlineStr">
        <is>
          <t>企业</t>
        </is>
      </c>
      <c r="B4" s="6" t="inlineStr">
        <is>
          <t>编号</t>
        </is>
      </c>
      <c r="C4" s="6" t="inlineStr">
        <is>
          <t>优先级</t>
        </is>
      </c>
      <c r="D4" s="6" t="inlineStr">
        <is>
          <t>问题</t>
        </is>
      </c>
      <c r="E4" s="6" t="inlineStr">
        <is>
          <t>依据 / 为什么要问</t>
        </is>
      </c>
      <c r="F4" s="6" t="inlineStr">
        <is>
          <t>回复状态</t>
        </is>
      </c>
    </row>
    <row r="5" ht="43" customHeight="1">
      <c r="A5" s="8" t="inlineStr">
        <is>
          <t>山东海化</t>
        </is>
      </c>
      <c r="B5" s="8" t="inlineStr">
        <is>
          <t>A-Q01</t>
        </is>
      </c>
      <c r="C5" s="8" t="inlineStr">
        <is>
          <t>高</t>
        </is>
      </c>
      <c r="D5" s="8" t="inlineStr">
        <is>
          <t>请提供营业执照（统一社会信用代码）与“山东海化股份有限公司纯碱厂”排污许可证副本，确认签约主体、开票主体、生产主体、排污许可持有人四者一致。</t>
        </is>
      </c>
      <c r="E5" s="8" t="inlineStr">
        <is>
          <t>年报已列许可清单，但需核验原件与当前状态（E01：纯碱厂排污许可 2023.09.20–2028.09.19）</t>
        </is>
      </c>
      <c r="F5" s="44" t="inlineStr">
        <is>
          <t>未发送</t>
        </is>
      </c>
    </row>
    <row r="6" ht="32" customHeight="1">
      <c r="A6" s="17" t="inlineStr">
        <is>
          <t>山东海化</t>
        </is>
      </c>
      <c r="B6" s="17" t="inlineStr">
        <is>
          <t>A-Q02</t>
        </is>
      </c>
      <c r="C6" s="17" t="inlineStr">
        <is>
          <t>高</t>
        </is>
      </c>
      <c r="D6" s="17" t="inlineStr">
        <is>
          <t>是否可由“山东海化股份有限公司”本体直接签约？若须经集团内销售公司（如销售分公司、原鲲鹏供应链），请说明加价、开票与账期差异。</t>
        </is>
      </c>
      <c r="E6" s="17" t="inlineStr">
        <is>
          <t>2026-09 海化集团将多家子公司股权划转至新设海化投资公司（E24）；年报披露前五大供应商第 1 位为控股股东（E02）</t>
        </is>
      </c>
      <c r="F6" s="44" t="inlineStr">
        <is>
          <t>未发送</t>
        </is>
      </c>
    </row>
    <row r="7" ht="43" customHeight="1">
      <c r="A7" s="8" t="inlineStr">
        <is>
          <t>山东海化</t>
        </is>
      </c>
      <c r="B7" s="8" t="inlineStr">
        <is>
          <t>A-Q03</t>
        </is>
      </c>
      <c r="C7" s="8" t="inlineStr">
        <is>
          <t>高</t>
        </is>
      </c>
      <c r="D7" s="8" t="inlineStr">
        <is>
          <t>请提供 2025 年全年与 2026 年 1–9 月纯碱月度产量、当月产能利用率，以及 2026 年剩余时间与 2027 年的检修计划（起止日期、影响产量）。</t>
        </is>
      </c>
      <c r="E7" s="8" t="inlineStr">
        <is>
          <t>年报披露 280 万吨/年、利用率 97.29%（E01）；检修窗口是保供条款的依据</t>
        </is>
      </c>
      <c r="F7" s="44" t="inlineStr">
        <is>
          <t>未发送</t>
        </is>
      </c>
    </row>
    <row r="8" ht="32" customHeight="1">
      <c r="A8" s="17" t="inlineStr">
        <is>
          <t>山东海化</t>
        </is>
      </c>
      <c r="B8" s="17" t="inlineStr">
        <is>
          <t>A-Q04</t>
        </is>
      </c>
      <c r="C8" s="17" t="inlineStr">
        <is>
          <t>高</t>
        </is>
      </c>
      <c r="D8" s="17" t="inlineStr">
        <is>
          <t>请提供重质纯碱占纯碱总产量的比例、典型堆积密度与粒径分布（250 μm 筛余），以及散装（罐车/散货）发运能力与月均散装量。</t>
        </is>
      </c>
      <c r="E8" s="17" t="inlineStr">
        <is>
          <t>年报仅列重灰炉/重碱碳化塔装置，未披露重质比例（E01、E26）</t>
        </is>
      </c>
      <c r="F8" s="44" t="inlineStr">
        <is>
          <t>未发送</t>
        </is>
      </c>
    </row>
    <row r="9" ht="43" customHeight="1">
      <c r="A9" s="8" t="inlineStr">
        <is>
          <t>山东海化</t>
        </is>
      </c>
      <c r="B9" s="8" t="inlineStr">
        <is>
          <t>A-Q05</t>
        </is>
      </c>
      <c r="C9" s="8" t="inlineStr">
        <is>
          <t>高</t>
        </is>
      </c>
      <c r="D9" s="8" t="inlineStr">
        <is>
          <t>48.37 亿元纯碱装置改造（100 万吨联碱置换 120 万吨氨碱老线）的施工排期如何？老线停车的起止时间、新装置投料调试期、以及 2027–2028 年对华东长约客户的供货保障方案（库存前置、外协或代工）请书面说明。</t>
        </is>
      </c>
      <c r="E9" s="8" t="inlineStr">
        <is>
          <t>公告口径建设期 24 个月，改造期内产能与质量指标存在波动风险（E28）</t>
        </is>
      </c>
      <c r="F9" s="44" t="inlineStr">
        <is>
          <t>未发送</t>
        </is>
      </c>
    </row>
    <row r="10" ht="43" customHeight="1">
      <c r="A10" s="17" t="inlineStr">
        <is>
          <t>山东海化</t>
        </is>
      </c>
      <c r="B10" s="17" t="inlineStr">
        <is>
          <t>A-Q06</t>
        </is>
      </c>
      <c r="C10" s="17" t="inlineStr">
        <is>
          <t>高</t>
        </is>
      </c>
      <c r="D10" s="17" t="inlineStr">
        <is>
          <t>请分别给出老线（氨碱）与新线当前的重质纯碱月产量、主要客户结构与散装比例；并说明改造后重质 60 万吨/年的目标粒级与堆积密度指标。</t>
        </is>
      </c>
      <c r="E10" s="17" t="inlineStr">
        <is>
          <t>公告显示新建装置设计轻质 40 万吨＋重质 60 万吨（E28），但现状重质比例未披露</t>
        </is>
      </c>
      <c r="F10" s="44" t="inlineStr">
        <is>
          <t>未发送</t>
        </is>
      </c>
    </row>
    <row r="11" ht="43" customHeight="1">
      <c r="A11" s="8" t="inlineStr">
        <is>
          <t>山东海化</t>
        </is>
      </c>
      <c r="B11" s="8" t="inlineStr">
        <is>
          <t>A-Q07</t>
        </is>
      </c>
      <c r="C11" s="8" t="inlineStr">
        <is>
          <t>高</t>
        </is>
      </c>
      <c r="D11" s="8" t="inlineStr">
        <is>
          <t>食品添加剂碳酸钠食品生产许可证（2022.04.08–2026.06.17）已到期，请提供续期后新证；若不再续期，请明确是否停产食品级并给出工业级替代方案。</t>
        </is>
      </c>
      <c r="E11" s="8" t="inlineStr">
        <is>
          <t>E01 披露有效期，数据截止日已过期</t>
        </is>
      </c>
      <c r="F11" s="44" t="inlineStr">
        <is>
          <t>未发送</t>
        </is>
      </c>
    </row>
    <row r="12" ht="32" customHeight="1">
      <c r="A12" s="17" t="inlineStr">
        <is>
          <t>山东海化</t>
        </is>
      </c>
      <c r="B12" s="17" t="inlineStr">
        <is>
          <t>A-Q08</t>
        </is>
      </c>
      <c r="C12" s="17" t="inlineStr">
        <is>
          <t>高</t>
        </is>
      </c>
      <c r="D12" s="17" t="inlineStr">
        <is>
          <t>请提供信用中国近 12 个月无行政处罚证明、安全生产标准化等级、近三年安全环保事件说明。</t>
        </is>
      </c>
      <c r="E12" s="17" t="inlineStr">
        <is>
          <t>年报为“无处罚及整改”披露口径，需独立核验（E01、E08）</t>
        </is>
      </c>
      <c r="F12" s="44" t="inlineStr">
        <is>
          <t>未发送</t>
        </is>
      </c>
    </row>
    <row r="13" ht="43" customHeight="1">
      <c r="A13" s="8" t="inlineStr">
        <is>
          <t>山东海化</t>
        </is>
      </c>
      <c r="B13" s="8" t="inlineStr">
        <is>
          <t>A-Q09</t>
        </is>
      </c>
      <c r="C13" s="8" t="inlineStr">
        <is>
          <t>中</t>
        </is>
      </c>
      <c r="D13" s="8" t="inlineStr">
        <is>
          <t>2025 年归母净利 -13.88 亿元、2026H1 再亏 2.81 亿元，请说明对纯碱装置开工、账期政策与长协履约的影响，以及 2026 年固定资产减值的后续安排。</t>
        </is>
      </c>
      <c r="E13" s="8" t="inlineStr">
        <is>
          <t>E01、E08 披露的财务事实对长协存在间接影响</t>
        </is>
      </c>
      <c r="F13" s="44" t="inlineStr">
        <is>
          <t>未发送</t>
        </is>
      </c>
    </row>
    <row r="14" ht="43" customHeight="1">
      <c r="A14" s="17" t="inlineStr">
        <is>
          <t>山东海化</t>
        </is>
      </c>
      <c r="B14" s="17" t="inlineStr">
        <is>
          <t>A-Q10</t>
        </is>
      </c>
      <c r="C14" s="17" t="inlineStr">
        <is>
          <t>高</t>
        </is>
      </c>
      <c r="D14" s="17" t="inlineStr">
        <is>
          <t>请按模板报价：出厂/到厂（常熟）、散装/50 kg 吨袋、5,000 吨与 50,000 吨两档；含税口径、运费承担、账期、交期、MOQ、报价有效期分项列明。</t>
        </is>
      </c>
      <c r="E14" s="17" t="inlineStr">
        <is>
          <t>本次未取得报价，全部商业条款待确认</t>
        </is>
      </c>
      <c r="F14" s="44" t="inlineStr">
        <is>
          <t>未发送</t>
        </is>
      </c>
    </row>
    <row r="15" ht="32" customHeight="1">
      <c r="A15" s="8" t="inlineStr">
        <is>
          <t>山东海化</t>
        </is>
      </c>
      <c r="B15" s="8" t="inlineStr">
        <is>
          <t>A-Q11</t>
        </is>
      </c>
      <c r="C15" s="8" t="inlineStr">
        <is>
          <t>中</t>
        </is>
      </c>
      <c r="D15" s="8" t="inlineStr">
        <is>
          <t>请给出潍坊滨海→常熟的常用运输方式、时效、散装车与吨袋运费及损耗口径，是否愿在华东设前置仓或中转库。</t>
        </is>
      </c>
      <c r="E15" s="8" t="inlineStr">
        <is>
          <t>运距约 700 km，运费与损耗直接影响到厂价</t>
        </is>
      </c>
      <c r="F15" s="44" t="inlineStr">
        <is>
          <t>未发送</t>
        </is>
      </c>
    </row>
    <row r="16" ht="32" customHeight="1">
      <c r="A16" s="17" t="inlineStr">
        <is>
          <t>山东海化</t>
        </is>
      </c>
      <c r="B16" s="17" t="inlineStr">
        <is>
          <t>A-Q12</t>
        </is>
      </c>
      <c r="C16" s="17" t="inlineStr">
        <is>
          <t>中</t>
        </is>
      </c>
      <c r="D16" s="17" t="inlineStr">
        <is>
          <t>请说明 2026 年 9 月集团子公司股权划转（含鲲鹏供应链、塑编等）是否涉及纯碱销售主体或结算主体变化。</t>
        </is>
      </c>
      <c r="E16" s="17" t="inlineStr">
        <is>
          <t>E24，会影响合同相对方</t>
        </is>
      </c>
      <c r="F16" s="44" t="inlineStr">
        <is>
          <t>未发送</t>
        </is>
      </c>
    </row>
    <row r="17" ht="32" customHeight="1">
      <c r="A17" s="8" t="inlineStr">
        <is>
          <t>山东海化</t>
        </is>
      </c>
      <c r="B17" s="8" t="inlineStr">
        <is>
          <t>A-Q13</t>
        </is>
      </c>
      <c r="C17" s="8" t="inlineStr">
        <is>
          <t>中</t>
        </is>
      </c>
      <c r="D17" s="8" t="inlineStr">
        <is>
          <t>是否存在对外担保、股权出质、动产抵押、被执行或股权冻结？请提供完整风险画像截图。</t>
        </is>
      </c>
      <c r="E17" s="8" t="inlineStr">
        <is>
          <t>上市公司“无重大诉讼”披露不等于全量诉讼信息</t>
        </is>
      </c>
      <c r="F17" s="44" t="inlineStr">
        <is>
          <t>未发送</t>
        </is>
      </c>
    </row>
    <row r="18" ht="32" customHeight="1">
      <c r="A18" s="17" t="inlineStr">
        <is>
          <t>唐山三友</t>
        </is>
      </c>
      <c r="B18" s="17" t="inlineStr">
        <is>
          <t>B-Q01</t>
        </is>
      </c>
      <c r="C18" s="17" t="inlineStr">
        <is>
          <t>高</t>
        </is>
      </c>
      <c r="D18" s="17" t="inlineStr">
        <is>
          <t>请提供营业执照与“唐山三友化工股份有限公司纯碱分公司”排污许可证副本，确认本部纯碱生产由分公司承担、合同相对方为股份公司本体。</t>
        </is>
      </c>
      <c r="E18" s="17" t="inlineStr">
        <is>
          <t>年报将纯碱分公司列为内部单位（E04）</t>
        </is>
      </c>
      <c r="F18" s="44" t="inlineStr">
        <is>
          <t>未发送</t>
        </is>
      </c>
    </row>
    <row r="19" ht="43" customHeight="1">
      <c r="A19" s="8" t="inlineStr">
        <is>
          <t>唐山三友</t>
        </is>
      </c>
      <c r="B19" s="8" t="inlineStr">
        <is>
          <t>B-Q02</t>
        </is>
      </c>
      <c r="C19" s="8" t="inlineStr">
        <is>
          <t>高</t>
        </is>
      </c>
      <c r="D19" s="8" t="inlineStr">
        <is>
          <t>请提供近 24 个月纯碱（本部 + 青海）月度产量与利用率，并说明 2025 年本部开工率降至 85.37% 的具体原因（检修、负荷、还是产能置换）。</t>
        </is>
      </c>
      <c r="E19" s="8" t="inlineStr">
        <is>
          <t>E04 披露 2025 年本部 85.37%（2024 年 92.10%）</t>
        </is>
      </c>
      <c r="F19" s="44" t="inlineStr">
        <is>
          <t>未发送</t>
        </is>
      </c>
    </row>
    <row r="20" ht="43" customHeight="1">
      <c r="A20" s="17" t="inlineStr">
        <is>
          <t>唐山三友</t>
        </is>
      </c>
      <c r="B20" s="17" t="inlineStr">
        <is>
          <t>B-Q03</t>
        </is>
      </c>
      <c r="C20" s="17" t="inlineStr">
        <is>
          <t>高</t>
        </is>
      </c>
      <c r="D20" s="17" t="inlineStr">
        <is>
          <t>在总量不变前提下，请说明华东（常熟方向）5 万吨/年的可保持续供给量，旺季（3–5 月、9–11 月）是否限量，以及青海基地产品是否发往华东。</t>
        </is>
      </c>
      <c r="E20" s="17" t="inlineStr">
        <is>
          <t>年报“市占率约 10%”，出口与交割需求可能挤占华东配额（U）</t>
        </is>
      </c>
      <c r="F20" s="44" t="inlineStr">
        <is>
          <t>未发送</t>
        </is>
      </c>
    </row>
    <row r="21" ht="32" customHeight="1">
      <c r="A21" s="8" t="inlineStr">
        <is>
          <t>唐山三友</t>
        </is>
      </c>
      <c r="B21" s="8" t="inlineStr">
        <is>
          <t>B-Q04</t>
        </is>
      </c>
      <c r="C21" s="8" t="inlineStr">
        <is>
          <t>高</t>
        </is>
      </c>
      <c r="D21" s="8" t="inlineStr">
        <is>
          <t>请提供“超低盐重质纯碱”的典型指标（NaCl、Fe、堆积密度、粒径分布）、重质化率，以及散装发运方式（汽运散装/散货船/吨袋）。</t>
        </is>
      </c>
      <c r="E21" s="8" t="inlineStr">
        <is>
          <t>年报仅定性表述“重质化率行业前列”（E04）</t>
        </is>
      </c>
      <c r="F21" s="44" t="inlineStr">
        <is>
          <t>未发送</t>
        </is>
      </c>
    </row>
    <row r="22" ht="32" customHeight="1">
      <c r="A22" s="17" t="inlineStr">
        <is>
          <t>唐山三友</t>
        </is>
      </c>
      <c r="B22" s="17" t="inlineStr">
        <is>
          <t>B-Q05</t>
        </is>
      </c>
      <c r="C22" s="17" t="inlineStr">
        <is>
          <t>高</t>
        </is>
      </c>
      <c r="D22" s="17" t="inlineStr">
        <is>
          <t>请提供工业碳酸钠相关排污许可证、配套装置安全生产相关证照、（如需）食品添加剂碳酸钠食品生产许可证及有效期。</t>
        </is>
      </c>
      <c r="E22" s="17" t="inlineStr">
        <is>
          <t>年报未列许可清单表（U）</t>
        </is>
      </c>
      <c r="F22" s="44" t="inlineStr">
        <is>
          <t>未发送</t>
        </is>
      </c>
    </row>
    <row r="23" ht="43" customHeight="1">
      <c r="A23" s="8" t="inlineStr">
        <is>
          <t>唐山三友</t>
        </is>
      </c>
      <c r="B23" s="8" t="inlineStr">
        <is>
          <t>B-Q06</t>
        </is>
      </c>
      <c r="C23" s="8" t="inlineStr">
        <is>
          <t>高</t>
        </is>
      </c>
      <c r="D23" s="8" t="inlineStr">
        <is>
          <t>请提供信用中国、生态环境部门近 12 个月无行政处罚证明，以及青海五彩碱业都兰盐业分公司 2024 年 20 万元环保罚款的整改与验收文件。</t>
        </is>
      </c>
      <c r="E23" s="8" t="inlineStr">
        <is>
          <t>E09 已披露罚款与整改，需核验整改闭环</t>
        </is>
      </c>
      <c r="F23" s="44" t="inlineStr">
        <is>
          <t>未发送</t>
        </is>
      </c>
    </row>
    <row r="24" ht="32" customHeight="1">
      <c r="A24" s="17" t="inlineStr">
        <is>
          <t>唐山三友</t>
        </is>
      </c>
      <c r="B24" s="17" t="inlineStr">
        <is>
          <t>B-Q07</t>
        </is>
      </c>
      <c r="C24" s="17" t="inlineStr">
        <is>
          <t>中</t>
        </is>
      </c>
      <c r="D24" s="17" t="inlineStr">
        <is>
          <t>青海五彩碱业 2026H1 净利 -6,105 万元，请说明是否影响产能安排、是否有停产检修或减值计划。</t>
        </is>
      </c>
      <c r="E24" s="17" t="inlineStr">
        <is>
          <t>E06 披露子公司亏损</t>
        </is>
      </c>
      <c r="F24" s="44" t="inlineStr">
        <is>
          <t>未发送</t>
        </is>
      </c>
    </row>
    <row r="25" ht="43" customHeight="1">
      <c r="A25" s="8" t="inlineStr">
        <is>
          <t>唐山三友</t>
        </is>
      </c>
      <c r="B25" s="8" t="inlineStr">
        <is>
          <t>B-Q08</t>
        </is>
      </c>
      <c r="C25" s="8" t="inlineStr">
        <is>
          <t>高</t>
        </is>
      </c>
      <c r="D25" s="8" t="inlineStr">
        <is>
          <t>请按模板报价，并明确：天津港交割地（如涉及）与常熟到货的价格差、水运（天津港→太仓/常熟）与汽运的运费与损耗、5 万吨/年长协的量价锁定条款。</t>
        </is>
      </c>
      <c r="E25" s="8" t="inlineStr">
        <is>
          <t>纯碱为郑商所交割品种，天津港为基准交割地，出口与交割量可能分流（U）</t>
        </is>
      </c>
      <c r="F25" s="44" t="inlineStr">
        <is>
          <t>未发送</t>
        </is>
      </c>
    </row>
    <row r="26" ht="32" customHeight="1">
      <c r="A26" s="17" t="inlineStr">
        <is>
          <t>唐山三友</t>
        </is>
      </c>
      <c r="B26" s="17" t="inlineStr">
        <is>
          <t>B-Q09</t>
        </is>
      </c>
      <c r="C26" s="17" t="inlineStr">
        <is>
          <t>中</t>
        </is>
      </c>
      <c r="D26" s="17" t="inlineStr">
        <is>
          <t>请说明“双基地”供货比例（本部 vs 青海）与最小批量、发运方式，青海货到华东的实际运费与到货时效。</t>
        </is>
      </c>
      <c r="E26" s="17" t="inlineStr">
        <is>
          <t>E04 双基地产能已披露，组合方式未知</t>
        </is>
      </c>
      <c r="F26" s="44" t="inlineStr">
        <is>
          <t>未发送</t>
        </is>
      </c>
    </row>
    <row r="27" ht="32" customHeight="1">
      <c r="A27" s="8" t="inlineStr">
        <is>
          <t>唐山三友</t>
        </is>
      </c>
      <c r="B27" s="8" t="inlineStr">
        <is>
          <t>B-Q10</t>
        </is>
      </c>
      <c r="C27" s="8" t="inlineStr">
        <is>
          <t>中</t>
        </is>
      </c>
      <c r="D27" s="8" t="inlineStr">
        <is>
          <t>氨碱法的原盐、石灰石、淡水保障情况如何？未来两年是否有产能释放或置换计划？</t>
        </is>
      </c>
      <c r="E27" s="8" t="inlineStr">
        <is>
          <t>氨碱法受资源与环保约束，产能扩张受限（行业已知）</t>
        </is>
      </c>
      <c r="F27" s="44" t="inlineStr">
        <is>
          <t>未发送</t>
        </is>
      </c>
    </row>
    <row r="28" ht="32" customHeight="1">
      <c r="A28" s="17" t="inlineStr">
        <is>
          <t>唐山三友</t>
        </is>
      </c>
      <c r="B28" s="17" t="inlineStr">
        <is>
          <t>B-Q11</t>
        </is>
      </c>
      <c r="C28" s="17" t="inlineStr">
        <is>
          <t>中</t>
        </is>
      </c>
      <c r="D28" s="17" t="inlineStr">
        <is>
          <t>请说明与控股股东碱业集团、间接控股股东三友集团的关联交易（原盐、电、塑编袋等）定价机制及对纯碱成本的影响。</t>
        </is>
      </c>
      <c r="E28" s="17" t="inlineStr">
        <is>
          <t>E07 关联交易明细：向三友塑料制品采购塑编袋等</t>
        </is>
      </c>
      <c r="F28" s="44" t="inlineStr">
        <is>
          <t>未发送</t>
        </is>
      </c>
    </row>
    <row r="29" ht="43" customHeight="1">
      <c r="A29" s="8" t="inlineStr">
        <is>
          <t>河南金山</t>
        </is>
      </c>
      <c r="B29" s="8" t="inlineStr">
        <is>
          <t>C-Q01</t>
        </is>
      </c>
      <c r="C29" s="8" t="inlineStr">
        <is>
          <t>高</t>
        </is>
      </c>
      <c r="D29" s="8" t="inlineStr">
        <is>
          <t>请提供三个法人主体的营业执照、统一社会信用代码、注册地址与生产地址：河南金山化工有限责任公司（孟州）、河南金大地化工有限责任公司（舞阳）、河南金天化工有限公司（新乡获嘉），并明确本次报价的签约主体与开票主体。</t>
        </is>
      </c>
      <c r="E29" s="8" t="inlineStr">
        <is>
          <t>集团—基地结构，母公司注册地在孟州，生产地在舞阳（E10、E15）</t>
        </is>
      </c>
      <c r="F29" s="44" t="inlineStr">
        <is>
          <t>未发送</t>
        </is>
      </c>
    </row>
    <row r="30" ht="32" customHeight="1">
      <c r="A30" s="17" t="inlineStr">
        <is>
          <t>河南金山</t>
        </is>
      </c>
      <c r="B30" s="17" t="inlineStr">
        <is>
          <t>C-Q02</t>
        </is>
      </c>
      <c r="C30" s="17" t="inlineStr">
        <is>
          <t>高</t>
        </is>
      </c>
      <c r="D30" s="17" t="inlineStr">
        <is>
          <t>若由集团母公司或销售平台签约，请提供它与生产企业的经销/代理授权书与关联关系说明，并同意在合同中约定生产主体一致性条款。</t>
        </is>
      </c>
      <c r="E30" s="17" t="inlineStr">
        <is>
          <t>E19：集团内存在多个纯碱法人主体</t>
        </is>
      </c>
      <c r="F30" s="44" t="inlineStr">
        <is>
          <t>未发送</t>
        </is>
      </c>
    </row>
    <row r="31" ht="43" customHeight="1">
      <c r="A31" s="8" t="inlineStr">
        <is>
          <t>河南金山</t>
        </is>
      </c>
      <c r="B31" s="8" t="inlineStr">
        <is>
          <t>C-Q03</t>
        </is>
      </c>
      <c r="C31" s="8" t="inlineStr">
        <is>
          <t>高</t>
        </is>
      </c>
      <c r="D31" s="8" t="inlineStr">
        <is>
          <t>请书面确认当前在产纯碱装置清单（按基地：设计产能、年产量、投产时间、工艺），并解释官网“330 万吨”与第三方“220 万吨（2024）”口径差异的证据来源。</t>
        </is>
      </c>
      <c r="E31" s="8" t="inlineStr">
        <is>
          <t>S:E11 与 M:E12 相差约 110 万吨</t>
        </is>
      </c>
      <c r="F31" s="44" t="inlineStr">
        <is>
          <t>未发送</t>
        </is>
      </c>
    </row>
    <row r="32" ht="32" customHeight="1">
      <c r="A32" s="17" t="inlineStr">
        <is>
          <t>河南金山</t>
        </is>
      </c>
      <c r="B32" s="17" t="inlineStr">
        <is>
          <t>C-Q04</t>
        </is>
      </c>
      <c r="C32" s="17" t="inlineStr">
        <is>
          <t>高</t>
        </is>
      </c>
      <c r="D32" s="17" t="inlineStr">
        <is>
          <t>请确认五期 70 万吨纯碱是新增产能还是“拆二建一”迁建；若为迁建，请提供孟州、新乡原装置的停产证明与产能置换文件。</t>
        </is>
      </c>
      <c r="E32" s="17" t="inlineStr">
        <is>
          <t>E19 明确为集团内异地迁建，总产能不增加</t>
        </is>
      </c>
      <c r="F32" s="44" t="inlineStr">
        <is>
          <t>未发送</t>
        </is>
      </c>
    </row>
    <row r="33" ht="43" customHeight="1">
      <c r="A33" s="8" t="inlineStr">
        <is>
          <t>河南金山</t>
        </is>
      </c>
      <c r="B33" s="8" t="inlineStr">
        <is>
          <t>C-Q05</t>
        </is>
      </c>
      <c r="C33" s="8" t="inlineStr">
        <is>
          <t>高</t>
        </is>
      </c>
      <c r="D33" s="8" t="inlineStr">
        <is>
          <t>请提供排污许可证副本（载明主要产品、产能、排放口）、危化品相关许可（合成氨/液氨储罐）、以及（如需）食品添加剂碳酸钠食品生产许可证。</t>
        </is>
      </c>
      <c r="E33" s="8" t="inlineStr">
        <is>
          <t>无公开许可清单（U）；环评副本是核验产能的最佳一手文件</t>
        </is>
      </c>
      <c r="F33" s="44" t="inlineStr">
        <is>
          <t>未发送</t>
        </is>
      </c>
    </row>
    <row r="34" ht="43" customHeight="1">
      <c r="A34" s="17" t="inlineStr">
        <is>
          <t>河南金山</t>
        </is>
      </c>
      <c r="B34" s="17" t="inlineStr">
        <is>
          <t>C-Q06</t>
        </is>
      </c>
      <c r="C34" s="17" t="inlineStr">
        <is>
          <t>高</t>
        </is>
      </c>
      <c r="D34" s="17" t="inlineStr">
        <is>
          <t>请提供近 3 年 1,000 万元以上诉讼与执行案件清单，说明 2019–2020 年三起玻璃客户纯碱货款诉讼（约 1.6 亿元）的执行结果与当前应收账款账龄。</t>
        </is>
      </c>
      <c r="E34" s="17" t="inlineStr">
        <is>
          <t>E14 河南高院发布案例；需评估资金链与客户结构</t>
        </is>
      </c>
      <c r="F34" s="44" t="inlineStr">
        <is>
          <t>未发送</t>
        </is>
      </c>
    </row>
    <row r="35" ht="43" customHeight="1">
      <c r="A35" s="8" t="inlineStr">
        <is>
          <t>河南金山</t>
        </is>
      </c>
      <c r="B35" s="8" t="inlineStr">
        <is>
          <t>C-Q07</t>
        </is>
      </c>
      <c r="C35" s="8" t="inlineStr">
        <is>
          <t>高</t>
        </is>
      </c>
      <c r="D35" s="8" t="inlineStr">
        <is>
          <t>请提供信用中国、生态环境、应急管理部门近 12 个月无行政处罚证明，并说明 2011 年舞阳污染事件以来的环保投入与现行在线监测联网情况。</t>
        </is>
      </c>
      <c r="E35" s="8" t="inlineStr">
        <is>
          <t>E16 历史报道，需给出改进证据</t>
        </is>
      </c>
      <c r="F35" s="44" t="inlineStr">
        <is>
          <t>未发送</t>
        </is>
      </c>
    </row>
    <row r="36" ht="32" customHeight="1">
      <c r="A36" s="17" t="inlineStr">
        <is>
          <t>河南金山</t>
        </is>
      </c>
      <c r="B36" s="17" t="inlineStr">
        <is>
          <t>C-Q08</t>
        </is>
      </c>
      <c r="C36" s="17" t="inlineStr">
        <is>
          <t>高</t>
        </is>
      </c>
      <c r="D36" s="17" t="inlineStr">
        <is>
          <t>请提供最近一年审计报告（或银行资信证明）与资产负债率，说明 2022–2023 年百亿级五期投资后的负债与现金流状况。</t>
        </is>
      </c>
      <c r="E36" s="17" t="inlineStr">
        <is>
          <t>非上市、无公开财报（U）；投后资金压力需评估</t>
        </is>
      </c>
      <c r="F36" s="44" t="inlineStr">
        <is>
          <t>未发送</t>
        </is>
      </c>
    </row>
    <row r="37" ht="32" customHeight="1">
      <c r="A37" s="8" t="inlineStr">
        <is>
          <t>河南金山</t>
        </is>
      </c>
      <c r="B37" s="8" t="inlineStr">
        <is>
          <t>C-Q09</t>
        </is>
      </c>
      <c r="C37" s="8" t="inlineStr">
        <is>
          <t>高</t>
        </is>
      </c>
      <c r="D37" s="8" t="inlineStr">
        <is>
          <t>请提供重质纯碱的粒度分布、堆积密度、盐分与氯根控制指标，以及散装发运能力与月可供华东量。</t>
        </is>
      </c>
      <c r="E37" s="8" t="inlineStr">
        <is>
          <t>联碱法产品需重点关注氯根与盐分（U）</t>
        </is>
      </c>
      <c r="F37" s="44" t="inlineStr">
        <is>
          <t>未发送</t>
        </is>
      </c>
    </row>
    <row r="38" ht="32" customHeight="1">
      <c r="A38" s="17" t="inlineStr">
        <is>
          <t>河南金山</t>
        </is>
      </c>
      <c r="B38" s="17" t="inlineStr">
        <is>
          <t>C-Q10</t>
        </is>
      </c>
      <c r="C38" s="17" t="inlineStr">
        <is>
          <t>高</t>
        </is>
      </c>
      <c r="D38" s="17" t="inlineStr">
        <is>
          <t>请按模板报价（出厂/到厂常熟、散装/吨袋、5,000 与 50,000 吨两档），并说明是否接受我方验收标准与第三方抽检复检条款。</t>
        </is>
      </c>
      <c r="E38" s="17" t="inlineStr">
        <is>
          <t>本次未取得报价</t>
        </is>
      </c>
      <c r="F38" s="44" t="inlineStr">
        <is>
          <t>未发送</t>
        </is>
      </c>
    </row>
    <row r="39" ht="32" customHeight="1">
      <c r="A39" s="8" t="inlineStr">
        <is>
          <t>河南金山</t>
        </is>
      </c>
      <c r="B39" s="8" t="inlineStr">
        <is>
          <t>C-Q11</t>
        </is>
      </c>
      <c r="C39" s="8" t="inlineStr">
        <is>
          <t>中</t>
        </is>
      </c>
      <c r="D39" s="8" t="inlineStr">
        <is>
          <t>请给出舞阳→常熟的运输方式（汽运/铁路/经淮河—长江水运）、时效、损耗与运费报价。</t>
        </is>
      </c>
      <c r="E39" s="8" t="inlineStr">
        <is>
          <t>运距约 900 km</t>
        </is>
      </c>
      <c r="F39" s="44" t="inlineStr">
        <is>
          <t>未发送</t>
        </is>
      </c>
    </row>
    <row r="40" ht="32" customHeight="1">
      <c r="A40" s="17" t="inlineStr">
        <is>
          <t>河南金山</t>
        </is>
      </c>
      <c r="B40" s="17" t="inlineStr">
        <is>
          <t>C-Q12</t>
        </is>
      </c>
      <c r="C40" s="17" t="inlineStr">
        <is>
          <t>中</t>
        </is>
      </c>
      <c r="D40" s="17" t="inlineStr">
        <is>
          <t>请说明纯碱外销中用于华东玻璃/光伏客户的比例与主要客户类型，以及对我方 5 万吨/年的分配可能。</t>
        </is>
      </c>
      <c r="E40" s="17" t="inlineStr">
        <is>
          <t>E14 显示其客户以玻璃企业为主，需评估区域配置</t>
        </is>
      </c>
      <c r="F40" s="44" t="inlineStr">
        <is>
          <t>未发送</t>
        </is>
      </c>
    </row>
  </sheetData>
  <autoFilter ref="A4:F40"/>
  <mergeCells count="2">
    <mergeCell ref="A2:F2"/>
    <mergeCell ref="A1:F1"/>
  </mergeCells>
  <dataValidations count="1">
    <dataValidation sqref="F5 F6 F7 F8 F9 F10 F11 F12 F13 F14 F15 F16 F17 F18 F19 F20 F21 F22 F23 F24 F25 F26 F27 F28 F29 F30 F31 F32 F33 F34 F35 F36 F37 F38 F39 F40" showDropDown="0" showInputMessage="0" showErrorMessage="0" allowBlank="1" type="list">
      <formula1>"未发送,已发送,已回复,已闭环,无法提供"</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24" customWidth="1" min="3" max="3"/>
    <col width="12" customWidth="1" min="4" max="4"/>
    <col width="16" customWidth="1" min="5" max="5"/>
    <col width="62" customWidth="1" min="6" max="6"/>
    <col width="46" customWidth="1" min="7" max="7"/>
  </cols>
  <sheetData>
    <row r="1" ht="30" customHeight="1">
      <c r="A1" s="1" t="inlineStr">
        <is>
          <t>10 证据索引</t>
        </is>
      </c>
    </row>
    <row r="2" ht="22" customHeight="1">
      <c r="A2" s="2" t="inlineStr">
        <is>
          <t>30 条；02 表中的每个编号都能在此找到来源与链接</t>
        </is>
      </c>
    </row>
    <row r="4" ht="26" customHeight="1">
      <c r="A4" s="6" t="inlineStr">
        <is>
          <t>编号</t>
        </is>
      </c>
      <c r="B4" s="6" t="inlineStr">
        <is>
          <t>文件 / 页面</t>
        </is>
      </c>
      <c r="C4" s="6" t="inlineStr">
        <is>
          <t>来源</t>
        </is>
      </c>
      <c r="D4" s="6" t="inlineStr">
        <is>
          <t>日期</t>
        </is>
      </c>
      <c r="E4" s="6" t="inlineStr">
        <is>
          <t>类型</t>
        </is>
      </c>
      <c r="F4" s="6" t="inlineStr">
        <is>
          <t>支撑了什么</t>
        </is>
      </c>
      <c r="G4" s="6" t="inlineStr">
        <is>
          <t>链接</t>
        </is>
      </c>
    </row>
    <row r="5" ht="57" customHeight="1">
      <c r="A5" s="20" t="inlineStr">
        <is>
          <t>E01</t>
        </is>
      </c>
      <c r="B5" s="8" t="inlineStr">
        <is>
          <t>山东海化股份有限公司 2025 年年度报告</t>
        </is>
      </c>
      <c r="C5" s="8" t="inlineStr">
        <is>
          <t>巨潮资讯网</t>
        </is>
      </c>
      <c r="D5" s="8" t="inlineStr">
        <is>
          <t>2026-03-21</t>
        </is>
      </c>
      <c r="E5" s="8" t="inlineStr">
        <is>
          <t>上市公司年报</t>
        </is>
      </c>
      <c r="F5" s="8" t="inlineStr">
        <is>
          <t>设计产能 280 万吨/利用率 97.29%；40 项许可清单（食品添加剂碳酸钠许可 2022.04.08–2026.06.17；纯碱厂排污许可 2023.09.20–2028.09.19）；2025 营收 47.45 亿元、归母净利 -13.88 亿元；纯碱营收 32.18 亿元占 67.82%；员工 4,451 人；分地区收入</t>
        </is>
      </c>
      <c r="G5" s="45" t="inlineStr">
        <is>
          <t>https://static.cninfo.com.cn/finalpage/2026-03-21/1225022066.PDF</t>
        </is>
      </c>
    </row>
    <row r="6" ht="29" customHeight="1">
      <c r="A6" s="22" t="inlineStr">
        <is>
          <t>E02</t>
        </is>
      </c>
      <c r="B6" s="17" t="inlineStr">
        <is>
          <t>山东海化 2025 年年报·股东与实际控制人情况</t>
        </is>
      </c>
      <c r="C6" s="17" t="inlineStr">
        <is>
          <t>巨潮资讯网</t>
        </is>
      </c>
      <c r="D6" s="17" t="inlineStr">
        <is>
          <t>2026-03-21</t>
        </is>
      </c>
      <c r="E6" s="17" t="inlineStr">
        <is>
          <t>上市公司年报</t>
        </is>
      </c>
      <c r="F6" s="17" t="inlineStr">
        <is>
          <t>山东海化集团有限公司（国有法人）持股 40.34%；前五名供应商第 1 位为控股股东海化集团及其子公司</t>
        </is>
      </c>
      <c r="G6" s="46" t="inlineStr">
        <is>
          <t>https://static.cninfo.com.cn/finalpage/2026-03-21/1225022066.PDF</t>
        </is>
      </c>
    </row>
    <row r="7" ht="29" customHeight="1">
      <c r="A7" s="20" t="inlineStr">
        <is>
          <t>E03</t>
        </is>
      </c>
      <c r="B7" s="8" t="inlineStr">
        <is>
          <t>山东海化股份有限公司 2025 年半年度报告</t>
        </is>
      </c>
      <c r="C7" s="8" t="inlineStr">
        <is>
          <t>巨潮资讯网</t>
        </is>
      </c>
      <c r="D7" s="8" t="inlineStr">
        <is>
          <t>2025-08-22</t>
        </is>
      </c>
      <c r="E7" s="8" t="inlineStr">
        <is>
          <t>上市公司半年报</t>
        </is>
      </c>
      <c r="F7" s="8" t="inlineStr">
        <is>
          <t>2025H1 经营与产量口径，用于与年报交叉核对</t>
        </is>
      </c>
      <c r="G7" s="45" t="inlineStr">
        <is>
          <t>https://static.cninfo.com.cn/finalpage/2025-08-22/1224531620.PDF</t>
        </is>
      </c>
    </row>
    <row r="8" ht="57" customHeight="1">
      <c r="A8" s="22" t="inlineStr">
        <is>
          <t>E04</t>
        </is>
      </c>
      <c r="B8" s="17" t="inlineStr">
        <is>
          <t>唐山三友化工股份有限公司 2025 年年度报告</t>
        </is>
      </c>
      <c r="C8" s="17" t="inlineStr">
        <is>
          <t>巨潮资讯网 / 上交所</t>
        </is>
      </c>
      <c r="D8" s="17" t="inlineStr">
        <is>
          <t>2026-04-25</t>
        </is>
      </c>
      <c r="E8" s="17" t="inlineStr">
        <is>
          <t>上市公司年报</t>
        </is>
      </c>
      <c r="F8" s="17" t="inlineStr">
        <is>
          <t>纯碱（本部）230 万吨/85.37%、纯碱（青海）110 万吨/111.54%；2025 产量 319.05 万吨、销量 321.83 万吨；液相水合法超低盐重质纯碱；重质化率/低盐化率/散装化率行业前列；营收 188.31 亿元、归母净利 8,952.84 万元；员工 17,293 人；“三友”牌驰名商标</t>
        </is>
      </c>
      <c r="G8" s="46" t="inlineStr">
        <is>
          <t>https://static.cninfo.com.cn/finalpage/2026-04-25/1225177612.PDF</t>
        </is>
      </c>
    </row>
    <row r="9" ht="43" customHeight="1">
      <c r="A9" s="20" t="inlineStr">
        <is>
          <t>E05</t>
        </is>
      </c>
      <c r="B9" s="8" t="inlineStr">
        <is>
          <t>唐山三友化工股份有限公司 2024 年年度报告</t>
        </is>
      </c>
      <c r="C9" s="8" t="inlineStr">
        <is>
          <t>巨潮资讯网 / 上交所</t>
        </is>
      </c>
      <c r="D9" s="8" t="inlineStr">
        <is>
          <t>2025-04-16</t>
        </is>
      </c>
      <c r="E9" s="8" t="inlineStr">
        <is>
          <t>上市公司年报</t>
        </is>
      </c>
      <c r="F9" s="8" t="inlineStr">
        <is>
          <t>2024 年本部利用率 92.10%、青海 111.07%；产量 334.01 万吨、销量 326.60 万吨；员工 17,553 人；纯碱营收占比 26.43%</t>
        </is>
      </c>
      <c r="G9" s="45" t="inlineStr">
        <is>
          <t>https://static.cninfo.com.cn/finalpage/2025-04-16/1223098359.PDF</t>
        </is>
      </c>
    </row>
    <row r="10" ht="57" customHeight="1">
      <c r="A10" s="22" t="inlineStr">
        <is>
          <t>E06</t>
        </is>
      </c>
      <c r="B10" s="17" t="inlineStr">
        <is>
          <t>唐山三友化工股份有限公司 2026 年半年度报告</t>
        </is>
      </c>
      <c r="C10" s="17" t="inlineStr">
        <is>
          <t>巨潮资讯网 / 上交所</t>
        </is>
      </c>
      <c r="D10" s="17" t="inlineStr">
        <is>
          <t>2026-08-26</t>
        </is>
      </c>
      <c r="E10" s="17" t="inlineStr">
        <is>
          <t>上市公司半年报</t>
        </is>
      </c>
      <c r="F10" s="17" t="inlineStr">
        <is>
          <t>2026H1 生产纯碱 160.19 万吨；营收 98.02 亿元、归母净利 1.68 亿元（+129.15%）；青海公司营收 6.28 亿元、净利 -6,104.9 万元；披露无重大诉讼、无处罚及整改；行业产能约 4500 万吨、开工率约 92%</t>
        </is>
      </c>
      <c r="G10" s="46" t="inlineStr">
        <is>
          <t>https://static.cninfo.com.cn/finalpage/2026-08-26/1225502300.PDF</t>
        </is>
      </c>
    </row>
    <row r="11" ht="29" customHeight="1">
      <c r="A11" s="20" t="inlineStr">
        <is>
          <t>E07</t>
        </is>
      </c>
      <c r="B11" s="8" t="inlineStr">
        <is>
          <t>唐山三友化工股份有限公司 2025 年半年度报告</t>
        </is>
      </c>
      <c r="C11" s="8" t="inlineStr">
        <is>
          <t>巨潮资讯网 / 上交所</t>
        </is>
      </c>
      <c r="D11" s="8" t="inlineStr">
        <is>
          <t>2025-08-28</t>
        </is>
      </c>
      <c r="E11" s="8" t="inlineStr">
        <is>
          <t>上市公司半年报</t>
        </is>
      </c>
      <c r="F11" s="8" t="inlineStr">
        <is>
          <t>关联交易明细（向唐山三友塑料制品采购塑编袋等）；唐国控收购相关承诺；无重大诉讼</t>
        </is>
      </c>
      <c r="G11" s="45" t="inlineStr">
        <is>
          <t>https://static.cninfo.com.cn/finalpage/2025-08-28/1224592523.PDF</t>
        </is>
      </c>
    </row>
    <row r="12" ht="43" customHeight="1">
      <c r="A12" s="22" t="inlineStr">
        <is>
          <t>E08</t>
        </is>
      </c>
      <c r="B12" s="17" t="inlineStr">
        <is>
          <t>山东海化股份有限公司 2026 年半年度报告</t>
        </is>
      </c>
      <c r="C12" s="17" t="inlineStr">
        <is>
          <t>巨潮资讯网</t>
        </is>
      </c>
      <c r="D12" s="17" t="inlineStr">
        <is>
          <t>2026-08-24</t>
        </is>
      </c>
      <c r="E12" s="17" t="inlineStr">
        <is>
          <t>上市公司半年报</t>
        </is>
      </c>
      <c r="F12" s="17" t="inlineStr">
        <is>
          <t>2026H1 营收 21.28 亿元、归母净利 -2.81 亿元（-9.14%）；无重大诉讼；不存在处罚及整改情况；无环境事故</t>
        </is>
      </c>
      <c r="G12" s="46" t="inlineStr">
        <is>
          <t>https://static.cninfo.com.cn/finalpage/2026-08-24/1225489210.PDF</t>
        </is>
      </c>
    </row>
    <row r="13" ht="43" customHeight="1">
      <c r="A13" s="20" t="inlineStr">
        <is>
          <t>E09</t>
        </is>
      </c>
      <c r="B13" s="8" t="inlineStr">
        <is>
          <t>三友化工 2024 年年报·环境处罚披露段</t>
        </is>
      </c>
      <c r="C13" s="8" t="inlineStr">
        <is>
          <t>巨潮资讯网 / 上交所</t>
        </is>
      </c>
      <c r="D13" s="8" t="inlineStr">
        <is>
          <t>2025-04-16</t>
        </is>
      </c>
      <c r="E13" s="8" t="inlineStr">
        <is>
          <t>上市公司年报</t>
        </is>
      </c>
      <c r="F13" s="8" t="inlineStr">
        <is>
          <t>青海五彩碱业都兰盐业分公司洗涤池/沉淀池建设与环评不符且未落实环保措施即通过竣工环保验收，2024-05-17 被海西州生态环境局罚款 20 万元（西生罚字【2024】28号），已缴款、重新环评并验收</t>
        </is>
      </c>
      <c r="G13" s="45" t="inlineStr">
        <is>
          <t>https://static.cninfo.com.cn/finalpage/2025-04-16/1223098359.PDF</t>
        </is>
      </c>
    </row>
    <row r="14" ht="43" customHeight="1">
      <c r="A14" s="22" t="inlineStr">
        <is>
          <t>E10</t>
        </is>
      </c>
      <c r="B14" s="17" t="inlineStr">
        <is>
          <t>河南金山化工有限责任公司（百科条目）</t>
        </is>
      </c>
      <c r="C14" s="17" t="inlineStr">
        <is>
          <t>百度百科（第三方）</t>
        </is>
      </c>
      <c r="D14" s="17" t="inlineStr">
        <is>
          <t>2026-09-14</t>
        </is>
      </c>
      <c r="E14" s="17" t="inlineStr">
        <is>
          <t>第三方百科</t>
        </is>
      </c>
      <c r="F14" s="17" t="inlineStr">
        <is>
          <t>成立于 1999-03-08，法定代表人杨玉琛，位于河南省孟州市西工区，注册资本 15,480 万元，主营纯碱、氯化铵；2005 年组建河南金山化工集团，拥有孟州、舞阳等基地。须以国家企业信用信息公示系统为准</t>
        </is>
      </c>
      <c r="G14" s="46" t="inlineStr">
        <is>
          <t>https://baike.baidu.com/item/%E6%B2%B3%E5%8D%97%E9%87%91%E5%B1%B1%E5%8C%96%E5%B7%A5%E6%9C%89%E9%99%90%E8%B4%A3%E4%BB%BB%E5%85%AC%E5%8F%B8/8087058</t>
        </is>
      </c>
    </row>
    <row r="15" ht="57" customHeight="1">
      <c r="A15" s="20" t="inlineStr">
        <is>
          <t>E11</t>
        </is>
      </c>
      <c r="B15" s="8" t="inlineStr">
        <is>
          <t>河南金山化工集团官网 · 走进金山</t>
        </is>
      </c>
      <c r="C15" s="8" t="inlineStr">
        <is>
          <t>jshgjt.com（企业自有网站）</t>
        </is>
      </c>
      <c r="D15" s="8" t="inlineStr">
        <is>
          <t>2026-10-08</t>
        </is>
      </c>
      <c r="E15" s="8" t="inlineStr">
        <is>
          <t>企业官网（自述）</t>
        </is>
      </c>
      <c r="F15" s="8" t="inlineStr">
        <is>
          <t>企业自述：集团位于漯河市舞阳县盐化工园区；年产合成氨 95 万吨、工业盐 380 万吨、纯碱 330 万吨、氯化铵 360 万吨、颗粒铵 80 万吨、尿素 20 万吨、三聚氰胺 9 万吨、小苏打 20 万吨；固定资产 101 亿元；连续 9 年获工信部联碱法纯碱“能效领跑者标杆企业”；中国化工企业 500 强第 129 位</t>
        </is>
      </c>
      <c r="G15" s="45" t="inlineStr">
        <is>
          <t>http://www.jshgjt.com/a/zoujinjinshan/</t>
        </is>
      </c>
    </row>
    <row r="16" ht="57" customHeight="1">
      <c r="A16" s="22" t="inlineStr">
        <is>
          <t>E12</t>
        </is>
      </c>
      <c r="B16" s="17" t="inlineStr">
        <is>
          <t>河南金大地化工有限责任公司（百科条目）</t>
        </is>
      </c>
      <c r="C16" s="17" t="inlineStr">
        <is>
          <t>百度百科（第三方）</t>
        </is>
      </c>
      <c r="D16" s="17" t="inlineStr">
        <is>
          <t>2026-09-14</t>
        </is>
      </c>
      <c r="E16" s="17" t="inlineStr">
        <is>
          <t>第三方百科</t>
        </is>
      </c>
      <c r="F16" s="17" t="inlineStr">
        <is>
          <t>2005 年由金山化工集团投资创建；2017 年投 73.3 亿元建三期、2019-03 投产；2022-07 启动五期；称“2024 年数据：年产 165 万吨合成氨、540 万吨工业盐、220 万吨纯碱、230 万吨氯化铵”——与官网 330 万吨口径相差约 110 万吨</t>
        </is>
      </c>
      <c r="G16" s="46" t="inlineStr">
        <is>
          <t>https://baike.baidu.com/item/%E6%B2%B3%E5%8D%97%E9%87%91%E5%A4%A7%E5%9C%B0%E5%8C%96%E5%B7%A5%E6%9C%89%E9%99%90%E8%B4%A3%E4%BB%BB%E5%85%AC%E5%8F%B8/2403006</t>
        </is>
      </c>
    </row>
    <row r="17" ht="43" customHeight="1">
      <c r="A17" s="20" t="inlineStr">
        <is>
          <t>E13</t>
        </is>
      </c>
      <c r="B17" s="8" t="inlineStr">
        <is>
          <t>河南金大地联碱绿色转型产业园项目（五期）环境影响评价公示</t>
        </is>
      </c>
      <c r="C17" s="8" t="inlineStr">
        <is>
          <t>漯河市生态环境局</t>
        </is>
      </c>
      <c r="D17" s="8" t="inlineStr">
        <is>
          <t>2022-04-18</t>
        </is>
      </c>
      <c r="E17" s="8" t="inlineStr">
        <is>
          <t>环评公示</t>
        </is>
      </c>
      <c r="F17" s="8" t="inlineStr">
        <is>
          <t>建设地点 漯河市舞阳县产业集聚区；新建 60 万吨/年合成氨、70 万吨/年纯碱、160 万吨/年小苏打、180 万吨/年氯化铵、300 万吨/年真空制盐；占地 1100 亩；“两高”项目已通过会商联审</t>
        </is>
      </c>
      <c r="G17" s="45" t="inlineStr">
        <is>
          <t>https://www.gov-hospital.com/sthjj/content/id/10565/</t>
        </is>
      </c>
    </row>
    <row r="18" ht="43" customHeight="1">
      <c r="A18" s="22" t="inlineStr">
        <is>
          <t>E14</t>
        </is>
      </c>
      <c r="B18" s="17" t="inlineStr">
        <is>
          <t>河南金大地化工诉沙河市安全实业等三家玻璃企业纯碱货款纠纷案</t>
        </is>
      </c>
      <c r="C18" s="17" t="inlineStr">
        <is>
          <t>河南省高级人民法院（官网发布典型案例）</t>
        </is>
      </c>
      <c r="D18" s="17" t="inlineStr">
        <is>
          <t>2020-09-18</t>
        </is>
      </c>
      <c r="E18" s="17" t="inlineStr">
        <is>
          <t>法院文书</t>
        </is>
      </c>
      <c r="F18" s="17" t="inlineStr">
        <is>
          <t>金大地作为原告，就 2017 年起纯碱买卖合同起诉三家玻璃企业，诉请合计约 1.6 亿元；(2019)豫11民初75-77号一审胜诉、(2020)豫民终193-195号二审维持；2020-03 先予执行扣划 1.40 亿元</t>
        </is>
      </c>
      <c r="G18" s="46" t="inlineStr">
        <is>
          <t>https://www.hncourt.gov.cn/public/detail.php?id=182472</t>
        </is>
      </c>
    </row>
    <row r="19" ht="43" customHeight="1">
      <c r="A19" s="20" t="inlineStr">
        <is>
          <t>E15</t>
        </is>
      </c>
      <c r="B19" s="8" t="inlineStr">
        <is>
          <t>河南金山化工集团简介（高校就业网转载的企业简介）</t>
        </is>
      </c>
      <c r="C19" s="8" t="inlineStr">
        <is>
          <t>河南应用技术职业学院（第三方转载）</t>
        </is>
      </c>
      <c r="D19" s="8" t="inlineStr">
        <is>
          <t>2017-10-30</t>
        </is>
      </c>
      <c r="E19" s="8" t="inlineStr">
        <is>
          <t>第三方转载</t>
        </is>
      </c>
      <c r="F19" s="8" t="inlineStr">
        <is>
          <t>2017 年口径：金大地注册资金 7 亿元、占地 1100 余亩、职工 1500 余人；当期年产 40 万吨合成氨、100 万吨纯碱、110 万吨氯化铵；三期在建含 60 万吨联碱。仅用于理解产能演进路径</t>
        </is>
      </c>
      <c r="G19" s="45" t="inlineStr">
        <is>
          <t>https://jdgc.hati.edu.cn/info/1046/1331.htm</t>
        </is>
      </c>
    </row>
    <row r="20" ht="29" customHeight="1">
      <c r="A20" s="22" t="inlineStr">
        <is>
          <t>E16</t>
        </is>
      </c>
      <c r="B20" s="17" t="inlineStr">
        <is>
          <t>河南舞阳县被曝污染 环保局长面对采访一言不发（中新网）</t>
        </is>
      </c>
      <c r="C20" s="17" t="inlineStr">
        <is>
          <t>新浪转中新网</t>
        </is>
      </c>
      <c r="D20" s="17" t="inlineStr">
        <is>
          <t>2011-09-05</t>
        </is>
      </c>
      <c r="E20" s="17" t="inlineStr">
        <is>
          <t>媒体报道</t>
        </is>
      </c>
      <c r="F20" s="17" t="inlineStr">
        <is>
          <t>2011 年当地村民反映金大地系列污染问题，记者实地采访。年代久远，仅作历史记录，不代表现状</t>
        </is>
      </c>
      <c r="G20" s="46" t="inlineStr">
        <is>
          <t>https://news.sina.cn/sa/2011-09-05/detail-ikftssap4065288.d.html</t>
        </is>
      </c>
    </row>
    <row r="21" ht="43" customHeight="1">
      <c r="A21" s="20" t="inlineStr">
        <is>
          <t>E17</t>
        </is>
      </c>
      <c r="B21" s="8" t="inlineStr">
        <is>
          <t>金大地五期合成氨装置正式满负荷运行</t>
        </is>
      </c>
      <c r="C21" s="8" t="inlineStr">
        <is>
          <t>PROCESS 流程工业（行业媒体）</t>
        </is>
      </c>
      <c r="D21" s="8" t="inlineStr">
        <is>
          <t>2023-11-21</t>
        </is>
      </c>
      <c r="E21" s="8" t="inlineStr">
        <is>
          <t>行业媒体</t>
        </is>
      </c>
      <c r="F21" s="8" t="inlineStr">
        <is>
          <t>2023-11-18 五期第二台气化炉投料成功、合成氨装置满负荷；五期含 70 万吨/年纯碱、160 万吨/年小苏打、180 万吨/年氯化铵、80 万吨/年复合肥、300 万吨/年真空制盐、60 万吨/年合成氨；中国天辰设计</t>
        </is>
      </c>
      <c r="G21" s="45" t="inlineStr">
        <is>
          <t>https://chem.jgvogel.cn/c1346705.shtml</t>
        </is>
      </c>
    </row>
    <row r="22" ht="29" customHeight="1">
      <c r="A22" s="22" t="inlineStr">
        <is>
          <t>E18</t>
        </is>
      </c>
      <c r="B22" s="17" t="inlineStr">
        <is>
          <t>投资 120 亿元 河南金大地联碱绿色转型产业园项目设计启动</t>
        </is>
      </c>
      <c r="C22" s="17" t="inlineStr">
        <is>
          <t>PROCESS 流程工业（行业媒体）</t>
        </is>
      </c>
      <c r="D22" s="17" t="inlineStr">
        <is>
          <t>2022-10-07</t>
        </is>
      </c>
      <c r="E22" s="17" t="inlineStr">
        <is>
          <t>行业媒体</t>
        </is>
      </c>
      <c r="F22" s="17" t="inlineStr">
        <is>
          <t>五期总投资约 120 亿元，位于漯河市舞阳县；以神木煤为原料，水煤浆气化制液氨供联碱，副产氯化铵</t>
        </is>
      </c>
      <c r="G22" s="46" t="inlineStr">
        <is>
          <t>https://chem.jgvogel.cn/c1197596.shtml</t>
        </is>
      </c>
    </row>
    <row r="23" ht="43" customHeight="1">
      <c r="A23" s="20" t="inlineStr">
        <is>
          <t>E19</t>
        </is>
      </c>
      <c r="B23" s="8" t="inlineStr">
        <is>
          <t>总投资 108 亿元，漯河舞阳县要打造全国最大的创新型盐化工基地</t>
        </is>
      </c>
      <c r="C23" s="8" t="inlineStr">
        <is>
          <t>大河财立方</t>
        </is>
      </c>
      <c r="D23" s="8" t="inlineStr">
        <is>
          <t>2022-09-28</t>
        </is>
      </c>
      <c r="E23" s="8" t="inlineStr">
        <is>
          <t>媒体报道</t>
        </is>
      </c>
      <c r="F23" s="8" t="inlineStr">
        <is>
          <t>关键口径：五期 70 万 t/a 纯碱是集团内 河南金天化工 40 万 t/a（新乡获嘉）与 河南金山化工 30 万 t/a（焦作孟州）的异地迁建“拆二建一”，实施后金山集团总体纯碱产能不增加</t>
        </is>
      </c>
      <c r="G23" s="45" t="inlineStr">
        <is>
          <t>https://app.dahecube.com/nweb/news/20220928/140659n4e1212fd6d3.htm</t>
        </is>
      </c>
    </row>
    <row r="24" ht="29" customHeight="1">
      <c r="A24" s="22" t="inlineStr">
        <is>
          <t>E20</t>
        </is>
      </c>
      <c r="B24" s="17" t="inlineStr">
        <is>
          <t>金山化工：探索纯碱企业期现结合新思路（期货日报专访）</t>
        </is>
      </c>
      <c r="C24" s="17" t="inlineStr">
        <is>
          <t>中国期货业协会转载</t>
        </is>
      </c>
      <c r="D24" s="17" t="inlineStr">
        <is>
          <t>2021-05-06</t>
        </is>
      </c>
      <c r="E24" s="17" t="inlineStr">
        <is>
          <t>媒体专访</t>
        </is>
      </c>
      <c r="F24" s="17" t="inlineStr">
        <is>
          <t>报道称金山化工为“目前国内最大的纯碱生产企业”；其子公司金大地成交纯碱期货产业客户第一单；“金山论碱”为其行业活动品牌</t>
        </is>
      </c>
      <c r="G24" s="46" t="inlineStr">
        <is>
          <t>http://www.cfachina.org/industrydynamics/mediaviewoffuturesmarket/202105/t20210506_18761.html</t>
        </is>
      </c>
    </row>
    <row r="25" ht="43" customHeight="1">
      <c r="A25" s="20" t="inlineStr">
        <is>
          <t>E21</t>
        </is>
      </c>
      <c r="B25" s="8" t="inlineStr">
        <is>
          <t>桐柏县：聚焦优势强链条 全力打造“现代化中国碱都”</t>
        </is>
      </c>
      <c r="C25" s="8" t="inlineStr">
        <is>
          <t>南阳市人民政府</t>
        </is>
      </c>
      <c r="D25" s="8" t="inlineStr">
        <is>
          <t>2024-09-06</t>
        </is>
      </c>
      <c r="E25" s="8" t="inlineStr">
        <is>
          <t>政府网站</t>
        </is>
      </c>
      <c r="F25" s="8" t="inlineStr">
        <is>
          <t>政府口径：桐柏（河南博源/中源体系）纯碱年产能 130 万吨、小苏打 85 万吨，全县碱化工产品产能超 200 万吨。用于区分河南第二家天然碱体系与本案例三家合成碱企业</t>
        </is>
      </c>
      <c r="G25" s="45" t="inlineStr">
        <is>
          <t>https://www.nanyang.gov.cn/2024/09-06/614325.html</t>
        </is>
      </c>
    </row>
    <row r="26" ht="43" customHeight="1">
      <c r="A26" s="22" t="inlineStr">
        <is>
          <t>E22</t>
        </is>
      </c>
      <c r="B26" s="17" t="inlineStr">
        <is>
          <t>实控人拟变更，潍坊市国资委将重掌山东海化</t>
        </is>
      </c>
      <c r="C26" s="17" t="inlineStr">
        <is>
          <t>界面新闻</t>
        </is>
      </c>
      <c r="D26" s="17" t="inlineStr">
        <is>
          <t>2020-12</t>
        </is>
      </c>
      <c r="E26" s="17" t="inlineStr">
        <is>
          <t>媒体报道</t>
        </is>
      </c>
      <c r="F26" s="17" t="inlineStr">
        <is>
          <t>中海炼化将海化集团 74.5286% 股权无偿划转：44.5286% 给潍坊市国资委、30% 给中盐集团，山东海化实控人变更为潍坊市国资委</t>
        </is>
      </c>
      <c r="G26" s="46" t="inlineStr">
        <is>
          <t>https://www.jiemian.com/article/4824553.html</t>
        </is>
      </c>
    </row>
    <row r="27" ht="43" customHeight="1">
      <c r="A27" s="20" t="inlineStr">
        <is>
          <t>E23</t>
        </is>
      </c>
      <c r="B27" s="8" t="inlineStr">
        <is>
          <t>关于海化 — 山东海化集团有限公司</t>
        </is>
      </c>
      <c r="C27" s="8" t="inlineStr">
        <is>
          <t>海化集团官网（自述）</t>
        </is>
      </c>
      <c r="D27" s="8" t="inlineStr">
        <is>
          <t>2026</t>
        </is>
      </c>
      <c r="E27" s="8" t="inlineStr">
        <is>
          <t>企业官网（自述）</t>
        </is>
      </c>
      <c r="F27" s="8" t="inlineStr">
        <is>
          <t>自述：潍坊市属国有大型企业集团，下辖 1 家上市公司及 21 家分子公司，占地 128 平方公里，注册资本 7.24 亿元，资产总额 264.12 亿元，在册员工 9,122 人（在岗 7,929 人）；1995 年由潍坊纯碱厂与羊口盐场联合组建</t>
        </is>
      </c>
      <c r="G27" s="45" t="inlineStr">
        <is>
          <t>https://www.haihua.com.cn/About.html</t>
        </is>
      </c>
    </row>
    <row r="28" ht="43" customHeight="1">
      <c r="A28" s="22" t="inlineStr">
        <is>
          <t>E24</t>
        </is>
      </c>
      <c r="B28" s="17" t="inlineStr">
        <is>
          <t>山东海化集团密集腾挪子公司（媒体报道）</t>
        </is>
      </c>
      <c r="C28" s="17" t="inlineStr">
        <is>
          <t>经济导报（山东财经）</t>
        </is>
      </c>
      <c r="D28" s="17" t="inlineStr">
        <is>
          <t>2026-09</t>
        </is>
      </c>
      <c r="E28" s="17" t="inlineStr">
        <is>
          <t>媒体报道</t>
        </is>
      </c>
      <c r="F28" s="17" t="inlineStr">
        <is>
          <t>2026 年 9 月海化集团将鲲鹏供应链、海洋工程、美天膜材料、永安汽车运输、塑编等子公司股权划转至新设“山东海化集团投资有限公司”，属集团内部重组</t>
        </is>
      </c>
      <c r="G28" s="46" t="inlineStr">
        <is>
          <t>http://www.sdenews.com/html/2026/9/387972.shtml</t>
        </is>
      </c>
    </row>
    <row r="29" ht="43" customHeight="1">
      <c r="A29" s="20" t="inlineStr">
        <is>
          <t>E25</t>
        </is>
      </c>
      <c r="B29" s="8" t="inlineStr">
        <is>
          <t>纯碱工业高质量发展综合述评（智库研报）</t>
        </is>
      </c>
      <c r="C29" s="8" t="inlineStr">
        <is>
          <t>海外网转《中国化工报》</t>
        </is>
      </c>
      <c r="D29" s="8" t="inlineStr">
        <is>
          <t>2025-01-22</t>
        </is>
      </c>
      <c r="E29" s="8" t="inlineStr">
        <is>
          <t>行业媒体</t>
        </is>
      </c>
      <c r="F29" s="8" t="inlineStr">
        <is>
          <t>2024 年在产产能约 3970 万吨，较 2023 年初增加约 790 万吨；内蒙古阿拉善天然碱一期 500 万吨纯碱已投产、二期 280 万吨在建；合成碱仍占多数</t>
        </is>
      </c>
      <c r="G29" s="45" t="inlineStr">
        <is>
          <t>https://news.haiwainet.cn/n/2025/0122/c3541089-32832061.html</t>
        </is>
      </c>
    </row>
    <row r="30" ht="43" customHeight="1">
      <c r="A30" s="22" t="inlineStr">
        <is>
          <t>E26</t>
        </is>
      </c>
      <c r="B30" s="17" t="inlineStr">
        <is>
          <t>山东海化股份有限公司 2024 年年度报告</t>
        </is>
      </c>
      <c r="C30" s="17" t="inlineStr">
        <is>
          <t>巨潮资讯网</t>
        </is>
      </c>
      <c r="D30" s="17" t="inlineStr">
        <is>
          <t>2025-03-22</t>
        </is>
      </c>
      <c r="E30" s="17" t="inlineStr">
        <is>
          <t>上市公司年报</t>
        </is>
      </c>
      <c r="F30" s="17" t="inlineStr">
        <is>
          <t>2024 年纯碱设计产能 280 万吨、利用率 110.60%、产量 309.69 万吨；38 项许可资质；行业产能 3970 万吨、天然碱占比约 17%；固定资产明细含重灰炉、重碱碳化塔</t>
        </is>
      </c>
      <c r="G30" s="46" t="inlineStr">
        <is>
          <t>https://static.cninfo.com.cn/finalpage/2025-03-22/1222867296.PDF</t>
        </is>
      </c>
    </row>
    <row r="31" ht="43" customHeight="1">
      <c r="A31" s="20" t="inlineStr">
        <is>
          <t>U</t>
        </is>
      </c>
      <c r="B31" s="8" t="inlineStr">
        <is>
          <t>【未取得】公开渠道未检索到的信息</t>
        </is>
      </c>
      <c r="C31" s="8" t="inlineStr">
        <is>
          <t>本轮检索范围</t>
        </is>
      </c>
      <c r="D31" s="8" t="inlineStr">
        <is>
          <t>2026-10-19</t>
        </is>
      </c>
      <c r="E31" s="8" t="inlineStr">
        <is>
          <t>缺口登记</t>
        </is>
      </c>
      <c r="F31" s="8" t="inlineStr">
        <is>
          <t>本报告凡标“U”处，含义为：截止 2026-10-19，在巨潮资讯网、政府公示、法院公开案例、企业官网与主流媒体中未检索到可信一手材料。不代表该事项不存在，均已转为问询清单。</t>
        </is>
      </c>
      <c r="G31" s="8" t="inlineStr">
        <is>
          <t>#</t>
        </is>
      </c>
    </row>
    <row r="32" ht="57" customHeight="1">
      <c r="A32" s="22" t="inlineStr">
        <is>
          <t>E27</t>
        </is>
      </c>
      <c r="B32" s="17" t="inlineStr">
        <is>
          <t>山东海化股份有限公司纯碱厂（集团官网·成员企业）</t>
        </is>
      </c>
      <c r="C32" s="17" t="inlineStr">
        <is>
          <t>haihua.com.cn（企业自有网站）</t>
        </is>
      </c>
      <c r="D32" s="17" t="inlineStr">
        <is>
          <t>2026-10-19</t>
        </is>
      </c>
      <c r="E32" s="17" t="inlineStr">
        <is>
          <t>企业官网（自述）</t>
        </is>
      </c>
      <c r="F32" s="17" t="inlineStr">
        <is>
          <t>自述：始建于 1983 年（前身潍坊纯碱厂，设计 60 万吨，1989 年投产），现建新老两条生产线，老线 120 万吨、新线 160 万吨，年生产能力 280 万吨，占全国总产能十分之一；在岗员工 1,886 人；隶属上市公司，为公司主体分公司之一</t>
        </is>
      </c>
      <c r="G32" s="46" t="inlineStr">
        <is>
          <t>https://www.haihua.com.cn/About_11/1664471386467147776.html</t>
        </is>
      </c>
    </row>
    <row r="33" ht="71" customHeight="1">
      <c r="A33" s="20" t="inlineStr">
        <is>
          <t>E28</t>
        </is>
      </c>
      <c r="B33" s="8" t="inlineStr">
        <is>
          <t>鲁股观察｜山东海化 48 亿绿色技改（转载公司 2026-02-25 公告）</t>
        </is>
      </c>
      <c r="C33" s="8" t="inlineStr">
        <is>
          <t>界面新闻（转载上市公司公告要点）</t>
        </is>
      </c>
      <c r="D33" s="8" t="inlineStr">
        <is>
          <t>2026-02-28</t>
        </is>
      </c>
      <c r="E33" s="8" t="inlineStr">
        <is>
          <t>媒体报道</t>
        </is>
      </c>
      <c r="F33" s="8" t="inlineStr">
        <is>
          <t>拟投 48.37 亿元实施纯碱装置提质增效节能环保改造：以 100 万吨/年联碱法产能置换 120 万吨/年氨碱法老线（减量置换 1.2:1），新建 100 万吨联碱装置将年产轻质纯碱 40 万吨、重质纯碱 60 万吨，副产氯化铵 103 万吨；建设期 24 个月；2025 年业绩预告归母净利 -12.6 亿至 -15 亿元（含计提减值 5 亿至 6.5 亿元）；另拟 16 亿元开展期货套保</t>
        </is>
      </c>
      <c r="G33" s="45" t="inlineStr">
        <is>
          <t>https://m.jiemian.com/article/14050478.html</t>
        </is>
      </c>
    </row>
    <row r="34" ht="57" customHeight="1">
      <c r="A34" s="22" t="inlineStr">
        <is>
          <t>E29</t>
        </is>
      </c>
      <c r="B34" s="17" t="inlineStr">
        <is>
          <t>投资 120 亿元 河南金大地联碱绿色转型产业园项目设计启动</t>
        </is>
      </c>
      <c r="C34" s="17" t="inlineStr">
        <is>
          <t>中国化工建设企业协会（转载《流程工业》）</t>
        </is>
      </c>
      <c r="D34" s="17" t="inlineStr">
        <is>
          <t>2022-09-07</t>
        </is>
      </c>
      <c r="E34" s="17" t="inlineStr">
        <is>
          <t>行业媒体</t>
        </is>
      </c>
      <c r="F34" s="17" t="inlineStr">
        <is>
          <t>项目总投资 120 亿元，位于漯河市舞阳县产业集聚区，占地 1200 亩；含 70 万吨纯碱、60 万吨合成氨、160 万吨小苏打、180 万吨氯化铵及复合肥、300 万吨真空制盐；建成后有望成为国内最大的食品级小苏打基地、全球最大的联碱与氯化铵生产基地</t>
        </is>
      </c>
      <c r="G34" s="46" t="inlineStr">
        <is>
          <t>https://www.cnacce.org.cn/news/684.html</t>
        </is>
      </c>
    </row>
  </sheetData>
  <autoFilter ref="A4:G34"/>
  <mergeCells count="2">
    <mergeCell ref="A2:G2"/>
    <mergeCell ref="A1:G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6"/>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44"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24" customWidth="1" min="11" max="11"/>
  </cols>
  <sheetData>
    <row r="1" ht="30" customHeight="1">
      <c r="A1" s="1" t="inlineStr">
        <is>
          <t>11 评估留白（权重与分数由采购方填写，本表不做任何结论）</t>
        </is>
      </c>
    </row>
    <row r="2" ht="22" customHeight="1">
      <c r="A2" s="2" t="inlineStr">
        <is>
          <t>本表不含预设权重与预设分数；填入权重后自动加权，用于内部评审记录，不构成“最佳供应商”判定</t>
        </is>
      </c>
    </row>
    <row r="4" ht="30" customHeight="1">
      <c r="A4" s="6" t="inlineStr">
        <is>
          <t>序号</t>
        </is>
      </c>
      <c r="B4" s="6" t="inlineStr">
        <is>
          <t>评估项</t>
        </is>
      </c>
      <c r="C4" s="6" t="inlineStr">
        <is>
          <t>评分要点（填分依据）</t>
        </is>
      </c>
      <c r="D4" s="6" t="inlineStr">
        <is>
          <t>权重 %</t>
        </is>
      </c>
      <c r="E4" s="6" t="inlineStr">
        <is>
          <t>山东海化（1–5）</t>
        </is>
      </c>
      <c r="F4" s="6" t="inlineStr">
        <is>
          <t>唐山三友（1–5）</t>
        </is>
      </c>
      <c r="G4" s="6" t="inlineStr">
        <is>
          <t>河南金山（1–5）</t>
        </is>
      </c>
      <c r="H4" s="6" t="inlineStr">
        <is>
          <t>山东海化 加权</t>
        </is>
      </c>
      <c r="I4" s="6" t="inlineStr">
        <is>
          <t>唐山三友 加权</t>
        </is>
      </c>
      <c r="J4" s="6" t="inlineStr">
        <is>
          <t>河南金山 加权</t>
        </is>
      </c>
      <c r="K4" s="6" t="inlineStr">
        <is>
          <t>备注</t>
        </is>
      </c>
    </row>
    <row r="5">
      <c r="A5" s="8" t="n">
        <v>1</v>
      </c>
      <c r="B5" s="8" t="inlineStr">
        <is>
          <t>是否真实生产厂家及核验证据</t>
        </is>
      </c>
      <c r="C5" s="8" t="inlineStr">
        <is>
          <t>看：生产主体与合同主体是否同一法人；许可持有人是谁</t>
        </is>
      </c>
      <c r="D5" s="47" t="n"/>
      <c r="E5" s="47" t="n"/>
      <c r="F5" s="47" t="n"/>
      <c r="G5" s="47" t="n"/>
      <c r="H5" s="48">
        <f>IF(OR($D5="",E5=""),"",$D5*E5/100)</f>
        <v/>
      </c>
      <c r="I5" s="49">
        <f>IF(OR($D5="",F5=""),"",$D5*F5/100)</f>
        <v/>
      </c>
      <c r="J5" s="49">
        <f>IF(OR($D5="",G5=""),"",$D5*G5/100)</f>
        <v/>
      </c>
    </row>
    <row r="6">
      <c r="A6" s="17" t="n">
        <v>2</v>
      </c>
      <c r="B6" s="17" t="inlineStr">
        <is>
          <t>生产基地所在地及与收货地距离</t>
        </is>
      </c>
      <c r="C6" s="17" t="inlineStr">
        <is>
          <t>距离只是起点，运费与损耗口径才是到厂价差异的来源</t>
        </is>
      </c>
      <c r="D6" s="47" t="n"/>
      <c r="E6" s="47" t="n"/>
      <c r="F6" s="47" t="n"/>
      <c r="G6" s="47" t="n"/>
      <c r="H6" s="48">
        <f>IF(OR($D6="",E6=""),"",$D6*E6/100)</f>
        <v/>
      </c>
      <c r="I6" s="50">
        <f>IF(OR($D6="",F6=""),"",$D6*F6/100)</f>
        <v/>
      </c>
      <c r="J6" s="49">
        <f>IF(OR($D6="",G6=""),"",$D6*G6/100)</f>
        <v/>
      </c>
    </row>
    <row r="7">
      <c r="A7" s="8" t="n">
        <v>3</v>
      </c>
      <c r="B7" s="8" t="inlineStr">
        <is>
          <t>公开产能、企业规模及生产能力</t>
        </is>
      </c>
      <c r="C7" s="8" t="inlineStr">
        <is>
          <t>设计产能 × 利用率 = 产量，三个数能否自洽是核验核心</t>
        </is>
      </c>
      <c r="D7" s="47" t="n"/>
      <c r="E7" s="47" t="n"/>
      <c r="F7" s="47" t="n"/>
      <c r="G7" s="47" t="n"/>
      <c r="H7" s="48">
        <f>IF(OR($D7="",E7=""),"",$D7*E7/100)</f>
        <v/>
      </c>
      <c r="I7" s="49">
        <f>IF(OR($D7="",F7=""),"",$D7*F7/100)</f>
        <v/>
      </c>
      <c r="J7" s="49">
        <f>IF(OR($D7="",G7=""),"",$D7*G7/100)</f>
        <v/>
      </c>
    </row>
    <row r="8">
      <c r="A8" s="17" t="n">
        <v>4</v>
      </c>
      <c r="B8" s="17" t="inlineStr">
        <is>
          <t>主营产品与目标产品匹配度</t>
        </is>
      </c>
      <c r="C8" s="17" t="inlineStr">
        <is>
          <t>主营占比越高、工艺越匹配，目标产品越不易被边缘化排产</t>
        </is>
      </c>
      <c r="D8" s="47" t="n"/>
      <c r="E8" s="47" t="n"/>
      <c r="F8" s="47" t="n"/>
      <c r="G8" s="47" t="n"/>
      <c r="H8" s="48">
        <f>IF(OR($D8="",E8=""),"",$D8*E8/100)</f>
        <v/>
      </c>
      <c r="I8" s="50">
        <f>IF(OR($D8="",F8=""),"",$D8*F8/100)</f>
        <v/>
      </c>
      <c r="J8" s="49">
        <f>IF(OR($D8="",G8=""),"",$D8*G8/100)</f>
        <v/>
      </c>
    </row>
    <row r="9">
      <c r="A9" s="8" t="n">
        <v>5</v>
      </c>
      <c r="B9" s="8" t="inlineStr">
        <is>
          <t>经营资质与许可证照</t>
        </is>
      </c>
      <c r="C9" s="8" t="inlineStr">
        <is>
          <t>工业碳酸钠不在生产许可目录内，排污许可与食品级许可是关键两张</t>
        </is>
      </c>
      <c r="D9" s="47" t="n"/>
      <c r="E9" s="47" t="n"/>
      <c r="F9" s="47" t="n"/>
      <c r="G9" s="47" t="n"/>
      <c r="H9" s="48">
        <f>IF(OR($D9="",E9=""),"",$D9*E9/100)</f>
        <v/>
      </c>
      <c r="I9" s="49">
        <f>IF(OR($D9="",F9=""),"",$D9*F9/100)</f>
        <v/>
      </c>
      <c r="J9" s="49">
        <f>IF(OR($D9="",G9=""),"",$D9*G9/100)</f>
        <v/>
      </c>
    </row>
    <row r="10">
      <c r="A10" s="17" t="n">
        <v>6</v>
      </c>
      <c r="B10" s="17" t="inlineStr">
        <is>
          <t>经营与司法风险、经营异常</t>
        </is>
      </c>
      <c r="C10" s="17" t="inlineStr">
        <is>
          <t>“无重大诉讼”是披露口径；“未查到”是检索口径；两者都不能写成“无”</t>
        </is>
      </c>
      <c r="D10" s="47" t="n"/>
      <c r="E10" s="47" t="n"/>
      <c r="F10" s="47" t="n"/>
      <c r="G10" s="47" t="n"/>
      <c r="H10" s="48">
        <f>IF(OR($D10="",E10=""),"",$D10*E10/100)</f>
        <v/>
      </c>
      <c r="I10" s="50">
        <f>IF(OR($D10="",F10=""),"",$D10*F10/100)</f>
        <v/>
      </c>
      <c r="J10" s="49">
        <f>IF(OR($D10="",G10=""),"",$D10*G10/100)</f>
        <v/>
      </c>
    </row>
    <row r="11">
      <c r="A11" s="8" t="n">
        <v>7</v>
      </c>
      <c r="B11" s="8" t="inlineStr">
        <is>
          <t>近期负面事件（近 12 个月）</t>
        </is>
      </c>
      <c r="C11" s="8" t="inlineStr">
        <is>
          <t>上市公司有披露义务，非上市企业只能靠检索与问询</t>
        </is>
      </c>
      <c r="D11" s="47" t="n"/>
      <c r="E11" s="47" t="n"/>
      <c r="F11" s="47" t="n"/>
      <c r="G11" s="47" t="n"/>
      <c r="H11" s="48">
        <f>IF(OR($D11="",E11=""),"",$D11*E11/100)</f>
        <v/>
      </c>
      <c r="I11" s="49">
        <f>IF(OR($D11="",F11=""),"",$D11*F11/100)</f>
        <v/>
      </c>
      <c r="J11" s="49">
        <f>IF(OR($D11="",G11=""),"",$D11*G11/100)</f>
        <v/>
      </c>
    </row>
    <row r="12">
      <c r="A12" s="17" t="n">
        <v>8</v>
      </c>
      <c r="B12" s="17" t="inlineStr">
        <is>
          <t>【自定义】重质纯碱专项：粒径 / 超低盐 / 散装能力</t>
        </is>
      </c>
      <c r="C12" s="17" t="inlineStr">
        <is>
          <t>重质 vs 轻质直接决定玻璃窑炉投料效率；只认检测报告与装置证据</t>
        </is>
      </c>
      <c r="D12" s="47" t="n"/>
      <c r="E12" s="47" t="n"/>
      <c r="F12" s="47" t="n"/>
      <c r="G12" s="47" t="n"/>
      <c r="H12" s="48">
        <f>IF(OR($D12="",E12=""),"",$D12*E12/100)</f>
        <v/>
      </c>
      <c r="I12" s="50">
        <f>IF(OR($D12="",F12=""),"",$D12*F12/100)</f>
        <v/>
      </c>
      <c r="J12" s="49">
        <f>IF(OR($D12="",G12=""),"",$D12*G12/100)</f>
        <v/>
      </c>
    </row>
    <row r="13">
      <c r="A13" s="8" t="n">
        <v>9</v>
      </c>
      <c r="B13" s="8" t="inlineStr">
        <is>
          <t>【自定义】供应稳定性：检修、库存、华东可分配量</t>
        </is>
      </c>
      <c r="C13" s="8" t="inlineStr">
        <is>
          <t>断供代价 &gt;&gt; 价差；检修窗口与库存波动是保供条款的依据</t>
        </is>
      </c>
      <c r="D13" s="47" t="n"/>
      <c r="E13" s="47" t="n"/>
      <c r="F13" s="47" t="n"/>
      <c r="G13" s="47" t="n"/>
      <c r="H13" s="48">
        <f>IF(OR($D13="",E13=""),"",$D13*E13/100)</f>
        <v/>
      </c>
      <c r="I13" s="49">
        <f>IF(OR($D13="",F13=""),"",$D13*F13/100)</f>
        <v/>
      </c>
      <c r="J13" s="49">
        <f>IF(OR($D13="",G13=""),"",$D13*G13/100)</f>
        <v/>
      </c>
    </row>
    <row r="14">
      <c r="A14" s="17" t="n">
        <v>10</v>
      </c>
      <c r="B14" s="17" t="inlineStr">
        <is>
          <t>商业条款（价格、含税口径、运费、包装、账期、交期、MOQ、有效期）</t>
        </is>
      </c>
      <c r="C14" s="17" t="inlineStr">
        <is>
          <t>得分依据：报价完整度与条款可比性（收到报价后填写）</t>
        </is>
      </c>
      <c r="D14" s="47" t="n"/>
      <c r="E14" s="47" t="n"/>
      <c r="F14" s="47" t="n"/>
      <c r="G14" s="47" t="n"/>
      <c r="H14" s="48">
        <f>IF(OR($D14="",E14=""),"",$D14*E14/100)</f>
        <v/>
      </c>
      <c r="I14" s="50">
        <f>IF(OR($D14="",F14=""),"",$D14*F14/100)</f>
        <v/>
      </c>
      <c r="J14" s="49">
        <f>IF(OR($D14="",G14=""),"",$D14*G14/100)</f>
        <v/>
      </c>
    </row>
    <row r="15">
      <c r="B15" s="51" t="inlineStr">
        <is>
          <t>合计 / 加权得分</t>
        </is>
      </c>
      <c r="C15" s="52" t="inlineStr">
        <is>
          <t>每行得分＝权重×分值/100；右侧为各企业加权得分合计（权重合计应为 100）</t>
        </is>
      </c>
      <c r="D15" s="53">
        <f>SUM(D5:D14)</f>
        <v/>
      </c>
      <c r="H15" s="54">
        <f>SUM(H5:H14)</f>
        <v/>
      </c>
      <c r="I15" s="54">
        <f>SUM(I5:I14)</f>
        <v/>
      </c>
      <c r="J15" s="54">
        <f>SUM(J5:J14)</f>
        <v/>
      </c>
    </row>
    <row r="16" ht="44" customHeight="1">
      <c r="A16" s="25" t="inlineStr">
        <is>
          <t>使用说明：① 只对“可核验”的评估项打 1–5 分，无法核实记 0 并写明原因；② 权重按本次采购的实际敏感度自行设定（例如质量稳定性、保供、到厂价）；③ 若某家在某项上为“无法核实”，建议先在 09 表问询闭环后再打分。</t>
        </is>
      </c>
    </row>
  </sheetData>
  <mergeCells count="3">
    <mergeCell ref="A1:I1"/>
    <mergeCell ref="A16:R16"/>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34" customWidth="1" min="1" max="1"/>
    <col width="44" customWidth="1" min="2" max="2"/>
    <col width="44" customWidth="1" min="3" max="3"/>
    <col width="10" customWidth="1" min="4" max="4"/>
    <col width="30" customWidth="1" min="5" max="5"/>
  </cols>
  <sheetData>
    <row r="1" ht="30" customHeight="1">
      <c r="A1" s="1" t="inlineStr">
        <is>
          <t>12 数据契约与字段说明</t>
        </is>
      </c>
    </row>
    <row r="2" ht="22" customHeight="1">
      <c r="A2" s="2" t="inlineStr">
        <is>
          <t>本工作簿由 data.json 生成；下表说明每个字段的取值域，便于二次复用与校验</t>
        </is>
      </c>
    </row>
    <row r="4" ht="26" customHeight="1">
      <c r="A4" s="6" t="inlineStr">
        <is>
          <t>字段路径</t>
        </is>
      </c>
      <c r="B4" s="6" t="inlineStr">
        <is>
          <t>取值域</t>
        </is>
      </c>
      <c r="C4" s="6" t="inlineStr">
        <is>
          <t>含义</t>
        </is>
      </c>
      <c r="D4" s="6" t="inlineStr">
        <is>
          <t>是否必填</t>
        </is>
      </c>
      <c r="E4" s="6" t="inlineStr">
        <is>
          <t>示例</t>
        </is>
      </c>
    </row>
    <row r="5" ht="28" customHeight="1">
      <c r="A5" s="55" t="inlineStr">
        <is>
          <t>suppliers[].id</t>
        </is>
      </c>
      <c r="B5" s="8" t="inlineStr">
        <is>
          <t>A–Z 单字母</t>
        </is>
      </c>
      <c r="C5" s="8" t="inlineStr">
        <is>
          <t>供应商代号，全表引用</t>
        </is>
      </c>
      <c r="D5" s="8" t="inlineStr">
        <is>
          <t>必填</t>
        </is>
      </c>
      <c r="E5" s="8" t="inlineStr">
        <is>
          <t>A</t>
        </is>
      </c>
    </row>
    <row r="6" ht="28" customHeight="1">
      <c r="A6" s="56" t="inlineStr">
        <is>
          <t>suppliers[].producer</t>
        </is>
      </c>
      <c r="B6" s="17" t="inlineStr">
        <is>
          <t>producer / doubt / trader / unknown</t>
        </is>
      </c>
      <c r="C6" s="17" t="inlineStr">
        <is>
          <t>厂家身份判定（doubt=主体是厂家但签约主体待定）</t>
        </is>
      </c>
      <c r="D6" s="17" t="inlineStr">
        <is>
          <t>必填</t>
        </is>
      </c>
      <c r="E6" s="17" t="inlineStr">
        <is>
          <t>doubt</t>
        </is>
      </c>
    </row>
    <row r="7" ht="28" customHeight="1">
      <c r="A7" s="55" t="inlineStr">
        <is>
          <t>suppliers[].dims.&lt;key&gt;.v</t>
        </is>
      </c>
      <c r="B7" s="8" t="inlineStr">
        <is>
          <t>文本，可用 &lt;b&gt; &lt;br&gt; 少量标签</t>
        </is>
      </c>
      <c r="C7" s="8" t="inlineStr">
        <is>
          <t>该维度的结论性描述</t>
        </is>
      </c>
      <c r="D7" s="8" t="inlineStr">
        <is>
          <t>必填</t>
        </is>
      </c>
      <c r="E7" s="8" t="inlineStr">
        <is>
          <t>纯碱设计产能 280 万吨/年</t>
        </is>
      </c>
    </row>
    <row r="8" ht="28" customHeight="1">
      <c r="A8" s="56" t="inlineStr">
        <is>
          <t>suppliers[].dims.&lt;key&gt;.ev</t>
        </is>
      </c>
      <c r="B8" s="17" t="inlineStr">
        <is>
          <t>V:E01,E02 或 M:E05</t>
        </is>
      </c>
      <c r="C8" s="17" t="inlineStr">
        <is>
          <t>证据引用：标签:编号，多标签用 , 分隔</t>
        </is>
      </c>
      <c r="D8" s="17" t="inlineStr">
        <is>
          <t>必填</t>
        </is>
      </c>
      <c r="E8" s="17" t="inlineStr">
        <is>
          <t>V:E01,E27</t>
        </is>
      </c>
    </row>
    <row r="9" ht="28" customHeight="1">
      <c r="A9" s="55" t="inlineStr">
        <is>
          <t>suppliers[].dims.&lt;key&gt;.lvl</t>
        </is>
      </c>
      <c r="B9" s="8" t="inlineStr">
        <is>
          <t>high / mid / low / none</t>
        </is>
      </c>
      <c r="C9" s="8" t="inlineStr">
        <is>
          <t>风险或事件等级（仅 risk/event 用）</t>
        </is>
      </c>
      <c r="D9" s="8" t="inlineStr">
        <is>
          <t>选填</t>
        </is>
      </c>
      <c r="E9" s="8" t="inlineStr">
        <is>
          <t>low</t>
        </is>
      </c>
    </row>
    <row r="10" ht="28" customHeight="1">
      <c r="A10" s="56" t="inlineStr">
        <is>
          <t>dimensions[].type</t>
        </is>
      </c>
      <c r="B10" s="17" t="inlineStr">
        <is>
          <t>producer/location/capacity/match/licence/risk/event/custom/terms</t>
        </is>
      </c>
      <c r="C10" s="17" t="inlineStr">
        <is>
          <t>决定渲染方式与判读要点</t>
        </is>
      </c>
      <c r="D10" s="17" t="inlineStr">
        <is>
          <t>必填</t>
        </is>
      </c>
      <c r="E10" s="17" t="inlineStr">
        <is>
          <t>custom</t>
        </is>
      </c>
    </row>
    <row r="11" ht="28" customHeight="1">
      <c r="A11" s="55" t="inlineStr">
        <is>
          <t>evidence[].id</t>
        </is>
      </c>
      <c r="B11" s="8" t="inlineStr">
        <is>
          <t>E01…Enn 或 U</t>
        </is>
      </c>
      <c r="C11" s="8" t="inlineStr">
        <is>
          <t>证据编号，U 固定为“未取得”登记</t>
        </is>
      </c>
      <c r="D11" s="8" t="inlineStr">
        <is>
          <t>必填</t>
        </is>
      </c>
      <c r="E11" s="8" t="inlineStr">
        <is>
          <t>E28</t>
        </is>
      </c>
    </row>
    <row r="12" ht="28" customHeight="1">
      <c r="A12" s="56" t="inlineStr">
        <is>
          <t>terms[].key</t>
        </is>
      </c>
      <c r="B12" s="17" t="inlineStr">
        <is>
          <t>price/tax/freight/package/payment/delivery/moq/validity</t>
        </is>
      </c>
      <c r="C12" s="17" t="inlineStr">
        <is>
          <t>商业条款八项</t>
        </is>
      </c>
      <c r="D12" s="17" t="inlineStr">
        <is>
          <t>必填</t>
        </is>
      </c>
      <c r="E12" s="17" t="inlineStr">
        <is>
          <t>payment</t>
        </is>
      </c>
    </row>
    <row r="13" ht="28" customHeight="1">
      <c r="A13" s="55" t="inlineStr">
        <is>
          <t>quotes.status</t>
        </is>
      </c>
      <c r="B13" s="8" t="inlineStr">
        <is>
          <t>none / partial / full</t>
        </is>
      </c>
      <c r="C13" s="8" t="inlineStr">
        <is>
          <t>报价回收状态</t>
        </is>
      </c>
      <c r="D13" s="8" t="inlineStr">
        <is>
          <t>必填</t>
        </is>
      </c>
      <c r="E13" s="8" t="inlineStr">
        <is>
          <t>none</t>
        </is>
      </c>
    </row>
    <row r="14" ht="28" customHeight="1">
      <c r="A14" s="56" t="inlineStr">
        <is>
          <t>questions.&lt;id&gt;[]</t>
        </is>
      </c>
      <c r="B14" s="17" t="inlineStr">
        <is>
          <t>{dim, priority, q, why}</t>
        </is>
      </c>
      <c r="C14" s="17" t="inlineStr">
        <is>
          <t>逐家问询问题</t>
        </is>
      </c>
      <c r="D14" s="17" t="inlineStr">
        <is>
          <t>必填</t>
        </is>
      </c>
      <c r="E14" s="17" t="inlineStr">
        <is>
          <t>priority=高</t>
        </is>
      </c>
    </row>
    <row r="15" ht="28" customHeight="1">
      <c r="A15" s="55" t="inlineStr">
        <is>
          <t>findings[].level</t>
        </is>
      </c>
      <c r="B15" s="8" t="inlineStr">
        <is>
          <t>high / mid / low</t>
        </is>
      </c>
      <c r="C15" s="8" t="inlineStr">
        <is>
          <t>差异条目对采购的影响程度</t>
        </is>
      </c>
      <c r="D15" s="8" t="inlineStr">
        <is>
          <t>必填</t>
        </is>
      </c>
      <c r="E15" s="8" t="inlineStr">
        <is>
          <t>high</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2026-10-19T10:24:08Z</dcterms:created>
  <dcterms:modified xmlns:dcterms="http://purl.org/dc/terms/" xmlns:xsi="http://www.w3.org/2001/XMLSchema-instance" xsi:type="dcterms:W3CDTF">2026-10-19T10:24:09Z</dcterms:modified>
</cp:coreProperties>
</file>
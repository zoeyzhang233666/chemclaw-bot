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封面" sheetId="1" state="visible" r:id="rId1"/>
    <sheet xmlns:r="http://schemas.openxmlformats.org/officeDocument/2006/relationships" name="01_风险总览" sheetId="2" state="visible" r:id="rId2"/>
    <sheet xmlns:r="http://schemas.openxmlformats.org/officeDocument/2006/relationships" name="02_事件时间线" sheetId="3" state="visible" r:id="rId3"/>
    <sheet xmlns:r="http://schemas.openxmlformats.org/officeDocument/2006/relationships" name="03_分类汇总" sheetId="4" state="visible" r:id="rId4"/>
    <sheet xmlns:r="http://schemas.openxmlformats.org/officeDocument/2006/relationships" name="04_供应商画像" sheetId="5" state="visible" r:id="rId5"/>
    <sheet xmlns:r="http://schemas.openxmlformats.org/officeDocument/2006/relationships" name="05_待核实清单" sheetId="6" state="visible" r:id="rId6"/>
    <sheet xmlns:r="http://schemas.openxmlformats.org/officeDocument/2006/relationships" name="06_来源清单" sheetId="7" state="visible" r:id="rId7"/>
    <sheet xmlns:r="http://schemas.openxmlformats.org/officeDocument/2006/relationships" name="07_方法与口径" sheetId="8" state="visible" r:id="rId8"/>
    <sheet xmlns:r="http://schemas.openxmlformats.org/officeDocument/2006/relationships" name="08_行业背景" sheetId="9" state="visible" r:id="rId9"/>
  </sheets>
  <definedNames>
    <definedName name="_xlnm._FilterDatabase" localSheetId="1" hidden="1">'01_风险总览'!$A$4:$O$11</definedName>
    <definedName name="_xlnm.Print_Area" localSheetId="1">'01_风险总览'!$A$1:$O$12</definedName>
    <definedName name="_xlnm._FilterDatabase" localSheetId="2" hidden="1">'02_事件时间线'!$A$4:$O$23</definedName>
    <definedName name="_xlnm.Print_Area" localSheetId="2">'02_事件时间线'!$A$1:$O$24</definedName>
    <definedName name="_xlnm.Print_Area" localSheetId="3">'03_分类汇总'!$A$1:$N$28</definedName>
    <definedName name="_xlnm._FilterDatabase" localSheetId="4" hidden="1">'04_供应商画像'!$A$4:$N$11</definedName>
    <definedName name="_xlnm.Print_Area" localSheetId="4">'04_供应商画像'!$A$1:$N$12</definedName>
    <definedName name="_xlnm._FilterDatabase" localSheetId="5" hidden="1">'05_待核实清单'!$A$4:$I$58</definedName>
    <definedName name="_xlnm.Print_Area" localSheetId="5">'05_待核实清单'!$A$1:$I$59</definedName>
    <definedName name="_xlnm._FilterDatabase" localSheetId="6" hidden="1">'06_来源清单'!$A$4:$H$23</definedName>
    <definedName name="_xlnm.Print_Area" localSheetId="6">'06_来源清单'!$A$1:$H$24</definedName>
    <definedName name="_xlnm.Print_Area" localSheetId="7">'07_方法与口径'!$A$1:$D$42</definedName>
    <definedName name="_xlnm.Print_Area" localSheetId="8">'08_行业背景'!$A$1:$E$15</definedName>
  </definedNames>
  <calcPr calcId="124519" fullCalcOnLoad="1"/>
</workbook>
</file>

<file path=xl/styles.xml><?xml version="1.0" encoding="utf-8"?>
<styleSheet xmlns="http://schemas.openxmlformats.org/spreadsheetml/2006/main">
  <numFmts count="1">
    <numFmt numFmtId="164" formatCode="yyyy-mm-dd"/>
  </numFmts>
  <fonts count="31">
    <font>
      <name val="Calibri"/>
      <family val="2"/>
      <color theme="1"/>
      <sz val="11"/>
      <scheme val="minor"/>
    </font>
    <font>
      <name val="微软雅黑"/>
      <b val="1"/>
      <color rgb="0017324D"/>
      <sz val="30"/>
    </font>
    <font>
      <name val="微软雅黑"/>
      <color rgb="005A6B78"/>
      <sz val="13"/>
    </font>
    <font>
      <name val="Georgia"/>
      <b val="1"/>
      <color rgb="000F766E"/>
      <sz val="9"/>
    </font>
    <font>
      <name val="微软雅黑"/>
      <b val="1"/>
      <color rgb="0017324D"/>
      <sz val="13"/>
    </font>
    <font>
      <name val="微软雅黑"/>
      <b val="1"/>
      <color rgb="0017324D"/>
      <sz val="10"/>
    </font>
    <font>
      <name val="微软雅黑"/>
      <color rgb="00132A3A"/>
      <sz val="10"/>
    </font>
    <font>
      <name val="微软雅黑"/>
      <b val="1"/>
      <color rgb="00132A3A"/>
      <sz val="10"/>
    </font>
    <font>
      <name val="微软雅黑"/>
      <b val="1"/>
      <color rgb="008B1E1E"/>
      <sz val="10"/>
    </font>
    <font>
      <name val="微软雅黑"/>
      <color rgb="005A6B78"/>
      <sz val="10"/>
    </font>
    <font>
      <name val="微软雅黑"/>
      <b val="1"/>
      <color rgb="007A4E12"/>
      <sz val="10"/>
    </font>
    <font>
      <name val="微软雅黑"/>
      <b val="1"/>
      <color rgb="0033556B"/>
      <sz val="10"/>
    </font>
    <font>
      <name val="微软雅黑"/>
      <b val="1"/>
      <color rgb="002F5A3A"/>
      <sz val="10"/>
    </font>
    <font>
      <name val="微软雅黑"/>
      <i val="1"/>
      <color rgb="007A6A55"/>
      <sz val="9"/>
    </font>
    <font>
      <name val="微软雅黑"/>
      <b val="1"/>
      <color rgb="0017324D"/>
      <sz val="18"/>
    </font>
    <font>
      <name val="微软雅黑"/>
      <color rgb="005A6B78"/>
      <sz val="9"/>
    </font>
    <font>
      <name val="微软雅黑"/>
      <b val="1"/>
      <color rgb="00FFFFFF"/>
      <sz val="10"/>
    </font>
    <font>
      <name val="微软雅黑"/>
      <b val="1"/>
      <color rgb="00132A3A"/>
      <sz val="9"/>
    </font>
    <font>
      <name val="微软雅黑"/>
      <color rgb="00132A3A"/>
      <sz val="9"/>
    </font>
    <font>
      <name val="微软雅黑"/>
      <b val="1"/>
      <color rgb="001F5C99"/>
      <sz val="10"/>
    </font>
    <font>
      <name val="微软雅黑"/>
      <b val="1"/>
      <color rgb="001F5C99"/>
      <sz val="9"/>
      <u val="single"/>
    </font>
    <font>
      <name val="微软雅黑"/>
      <color rgb="00132A3A"/>
      <sz val="9.5"/>
    </font>
    <font>
      <name val="微软雅黑"/>
      <b val="1"/>
      <color rgb="0033556B"/>
      <sz val="9"/>
    </font>
    <font>
      <name val="微软雅黑"/>
      <b val="1"/>
      <color rgb="007A4E12"/>
      <sz val="9"/>
    </font>
    <font>
      <name val="微软雅黑"/>
      <b val="1"/>
      <color rgb="008B1E1E"/>
      <sz val="9"/>
    </font>
    <font>
      <name val="微软雅黑"/>
      <color rgb="001F5C99"/>
      <sz val="10"/>
    </font>
    <font>
      <name val="Consolas"/>
      <color rgb="001F5C99"/>
      <sz val="8"/>
      <u val="single"/>
    </font>
    <font>
      <name val="微软雅黑"/>
      <b val="1"/>
      <color rgb="006B5A3E"/>
      <sz val="9"/>
    </font>
    <font>
      <name val="微软雅黑"/>
      <b val="1"/>
      <color rgb="002F5A3A"/>
      <sz val="9"/>
    </font>
    <font>
      <name val="微软雅黑"/>
      <b val="1"/>
      <color rgb="006E7F8C"/>
      <sz val="9"/>
    </font>
    <font>
      <name val="微软雅黑"/>
      <i val="1"/>
      <color rgb="007A6A55"/>
      <sz val="9.5"/>
    </font>
  </fonts>
  <fills count="14">
    <fill>
      <patternFill/>
    </fill>
    <fill>
      <patternFill patternType="gray125"/>
    </fill>
    <fill>
      <patternFill patternType="solid">
        <fgColor rgb="0017324D"/>
      </patternFill>
    </fill>
    <fill>
      <patternFill patternType="solid">
        <fgColor rgb="00EDE7DA"/>
      </patternFill>
    </fill>
    <fill>
      <patternFill patternType="solid">
        <fgColor rgb="00F3DADA"/>
      </patternFill>
    </fill>
    <fill>
      <patternFill patternType="solid">
        <fgColor rgb="00F9ECD2"/>
      </patternFill>
    </fill>
    <fill>
      <patternFill patternType="solid">
        <fgColor rgb="00E7EEF2"/>
      </patternFill>
    </fill>
    <fill>
      <patternFill patternType="solid">
        <fgColor rgb="00E2EFE3"/>
      </patternFill>
    </fill>
    <fill>
      <patternFill patternType="solid">
        <fgColor rgb="00F1EBDD"/>
      </patternFill>
    </fill>
    <fill>
      <patternFill patternType="solid">
        <fgColor rgb="00EAF0F3"/>
      </patternFill>
    </fill>
    <fill>
      <patternFill patternType="solid">
        <fgColor rgb="00FBF8F0"/>
      </patternFill>
    </fill>
    <fill>
      <patternFill patternType="solid">
        <fgColor rgb="00E3F0E2"/>
      </patternFill>
    </fill>
    <fill>
      <patternFill patternType="solid">
        <fgColor rgb="00FBEED3"/>
      </patternFill>
    </fill>
    <fill>
      <patternFill patternType="solid">
        <fgColor rgb="00E9E2D2"/>
      </patternFill>
    </fill>
  </fills>
  <borders count="5">
    <border>
      <left/>
      <right/>
      <top/>
      <bottom/>
      <diagonal/>
    </border>
    <border>
      <bottom style="medium">
        <color rgb="0017324D"/>
      </bottom>
    </border>
    <border>
      <left/>
      <right/>
      <top/>
      <bottom style="medium">
        <color rgb="0017324D"/>
      </bottom>
      <diagonal/>
    </border>
    <border>
      <left style="thin">
        <color rgb="00D9D2C3"/>
      </left>
      <right style="thin">
        <color rgb="00D9D2C3"/>
      </right>
      <top style="thin">
        <color rgb="00D9D2C3"/>
      </top>
      <bottom style="thin">
        <color rgb="00D9D2C3"/>
      </bottom>
    </border>
    <border>
      <left style="thin">
        <color rgb="002C4A63"/>
      </left>
      <right style="thin">
        <color rgb="002C4A63"/>
      </right>
      <top style="thin">
        <color rgb="002C4A63"/>
      </top>
      <bottom style="thin">
        <color rgb="002C4A63"/>
      </bottom>
    </border>
  </borders>
  <cellStyleXfs count="1">
    <xf numFmtId="0" fontId="0" fillId="0" borderId="0"/>
  </cellStyleXfs>
  <cellXfs count="57">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0" borderId="0" pivotButton="0" quotePrefix="0" xfId="0"/>
    <xf numFmtId="0" fontId="0" fillId="2" borderId="0" pivotButton="0" quotePrefix="0" xfId="0"/>
    <xf numFmtId="0" fontId="4" fillId="0" borderId="1" applyAlignment="1" pivotButton="0" quotePrefix="0" xfId="0">
      <alignment vertical="center"/>
    </xf>
    <xf numFmtId="0" fontId="0" fillId="0" borderId="2" pivotButton="0" quotePrefix="0" xfId="0"/>
    <xf numFmtId="0" fontId="5" fillId="3" borderId="0" applyAlignment="1" pivotButton="0" quotePrefix="0" xfId="0">
      <alignment horizontal="left" vertical="top" wrapText="1"/>
    </xf>
    <xf numFmtId="0" fontId="6" fillId="0" borderId="0" applyAlignment="1" pivotButton="0" quotePrefix="0" xfId="0">
      <alignment horizontal="left" vertical="top" wrapText="1"/>
    </xf>
    <xf numFmtId="0" fontId="8" fillId="4" borderId="3" applyAlignment="1" pivotButton="0" quotePrefix="0" xfId="0">
      <alignment horizontal="center" vertical="top" wrapText="1"/>
    </xf>
    <xf numFmtId="0" fontId="9" fillId="0" borderId="0" applyAlignment="1" pivotButton="0" quotePrefix="0" xfId="0">
      <alignment horizontal="left" vertical="top" wrapText="1"/>
    </xf>
    <xf numFmtId="0" fontId="10" fillId="5" borderId="3" applyAlignment="1" pivotButton="0" quotePrefix="0" xfId="0">
      <alignment horizontal="center" vertical="top" wrapText="1"/>
    </xf>
    <xf numFmtId="0" fontId="11" fillId="6" borderId="3" applyAlignment="1" pivotButton="0" quotePrefix="0" xfId="0">
      <alignment horizontal="center" vertical="top" wrapText="1"/>
    </xf>
    <xf numFmtId="0" fontId="12" fillId="7" borderId="3" applyAlignment="1" pivotButton="0" quotePrefix="0" xfId="0">
      <alignment horizontal="center" vertical="top" wrapText="1"/>
    </xf>
    <xf numFmtId="0" fontId="6" fillId="0" borderId="0" applyAlignment="1" pivotButton="0" quotePrefix="0" xfId="0">
      <alignment vertical="top" wrapText="1"/>
    </xf>
    <xf numFmtId="0" fontId="13" fillId="8" borderId="3" applyAlignment="1" pivotButton="0" quotePrefix="0" xfId="0">
      <alignment vertical="top" wrapText="1"/>
    </xf>
    <xf numFmtId="0" fontId="14" fillId="0" borderId="0" pivotButton="0" quotePrefix="0" xfId="0"/>
    <xf numFmtId="0" fontId="15" fillId="0" borderId="0" pivotButton="0" quotePrefix="0" xfId="0"/>
    <xf numFmtId="0" fontId="16" fillId="2" borderId="4" applyAlignment="1" pivotButton="0" quotePrefix="0" xfId="0">
      <alignment horizontal="center" vertical="top" wrapText="1"/>
    </xf>
    <xf numFmtId="0" fontId="6" fillId="0" borderId="3" applyAlignment="1" pivotButton="0" quotePrefix="0" xfId="0">
      <alignment horizontal="center" vertical="top" wrapText="1"/>
    </xf>
    <xf numFmtId="0" fontId="7" fillId="0" borderId="3" applyAlignment="1" pivotButton="0" quotePrefix="0" xfId="0">
      <alignment horizontal="left" vertical="top" wrapText="1"/>
    </xf>
    <xf numFmtId="0" fontId="6" fillId="0" borderId="3" applyAlignment="1" pivotButton="0" quotePrefix="0" xfId="0">
      <alignment horizontal="left" vertical="top" wrapText="1"/>
    </xf>
    <xf numFmtId="0" fontId="11" fillId="9" borderId="3" applyAlignment="1" pivotButton="0" quotePrefix="0" xfId="0">
      <alignment horizontal="center" vertical="top" wrapText="1"/>
    </xf>
    <xf numFmtId="0" fontId="6" fillId="10" borderId="3" applyAlignment="1" pivotButton="0" quotePrefix="0" xfId="0">
      <alignment horizontal="center" vertical="top" wrapText="1"/>
    </xf>
    <xf numFmtId="0" fontId="7" fillId="10" borderId="3" applyAlignment="1" pivotButton="0" quotePrefix="0" xfId="0">
      <alignment horizontal="left" vertical="top" wrapText="1"/>
    </xf>
    <xf numFmtId="0" fontId="6" fillId="10" borderId="3" applyAlignment="1" pivotButton="0" quotePrefix="0" xfId="0">
      <alignment horizontal="left" vertical="top" wrapText="1"/>
    </xf>
    <xf numFmtId="0" fontId="12" fillId="11" borderId="3" applyAlignment="1" pivotButton="0" quotePrefix="0" xfId="0">
      <alignment horizontal="center" vertical="top" wrapText="1"/>
    </xf>
    <xf numFmtId="0" fontId="10" fillId="12" borderId="3" applyAlignment="1" pivotButton="0" quotePrefix="0" xfId="0">
      <alignment horizontal="center" vertical="top" wrapText="1"/>
    </xf>
    <xf numFmtId="0" fontId="7" fillId="13" borderId="3" applyAlignment="1" pivotButton="0" quotePrefix="0" xfId="0">
      <alignment horizontal="center" vertical="top" wrapText="1"/>
    </xf>
    <xf numFmtId="0" fontId="7" fillId="13" borderId="3" applyAlignment="1" pivotButton="0" quotePrefix="0" xfId="0">
      <alignment horizontal="left" vertical="top" wrapText="1"/>
    </xf>
    <xf numFmtId="0" fontId="6" fillId="13" borderId="3" applyAlignment="1" pivotButton="0" quotePrefix="0" xfId="0">
      <alignment horizontal="left" vertical="top" wrapText="1"/>
    </xf>
    <xf numFmtId="164" fontId="6" fillId="0" borderId="3" applyAlignment="1" pivotButton="0" quotePrefix="0" xfId="0">
      <alignment horizontal="center" vertical="top" wrapText="1"/>
    </xf>
    <xf numFmtId="0" fontId="17" fillId="0" borderId="3" applyAlignment="1" pivotButton="0" quotePrefix="0" xfId="0">
      <alignment horizontal="left" vertical="top" wrapText="1"/>
    </xf>
    <xf numFmtId="0" fontId="18" fillId="0" borderId="3" applyAlignment="1" pivotButton="0" quotePrefix="0" xfId="0">
      <alignment horizontal="left" vertical="top" wrapText="1"/>
    </xf>
    <xf numFmtId="0" fontId="20" fillId="0" borderId="3" applyAlignment="1" pivotButton="0" quotePrefix="0" xfId="0">
      <alignment horizontal="center" vertical="top" wrapText="1"/>
    </xf>
    <xf numFmtId="0" fontId="7" fillId="0" borderId="3" applyAlignment="1" pivotButton="0" quotePrefix="0" xfId="0">
      <alignment horizontal="center" vertical="top" wrapText="1"/>
    </xf>
    <xf numFmtId="164" fontId="6" fillId="10" borderId="3" applyAlignment="1" pivotButton="0" quotePrefix="0" xfId="0">
      <alignment horizontal="center" vertical="top" wrapText="1"/>
    </xf>
    <xf numFmtId="0" fontId="17" fillId="10" borderId="3" applyAlignment="1" pivotButton="0" quotePrefix="0" xfId="0">
      <alignment horizontal="left" vertical="top" wrapText="1"/>
    </xf>
    <xf numFmtId="0" fontId="18" fillId="10" borderId="3" applyAlignment="1" pivotButton="0" quotePrefix="0" xfId="0">
      <alignment horizontal="left" vertical="top" wrapText="1"/>
    </xf>
    <xf numFmtId="0" fontId="20" fillId="10" borderId="3" applyAlignment="1" pivotButton="0" quotePrefix="0" xfId="0">
      <alignment horizontal="center" vertical="top" wrapText="1"/>
    </xf>
    <xf numFmtId="0" fontId="7" fillId="10" borderId="3" applyAlignment="1" pivotButton="0" quotePrefix="0" xfId="0">
      <alignment horizontal="center" vertical="top" wrapText="1"/>
    </xf>
    <xf numFmtId="0" fontId="16" fillId="2" borderId="4" applyAlignment="1" pivotButton="0" quotePrefix="0" xfId="0">
      <alignment horizontal="center" vertical="center" wrapText="1"/>
    </xf>
    <xf numFmtId="0" fontId="16" fillId="2" borderId="3" applyAlignment="1" pivotButton="0" quotePrefix="0" xfId="0">
      <alignment horizontal="center" vertical="top" wrapText="1"/>
    </xf>
    <xf numFmtId="0" fontId="21" fillId="0" borderId="0" applyAlignment="1" pivotButton="0" quotePrefix="0" xfId="0">
      <alignment vertical="top" wrapText="1"/>
    </xf>
    <xf numFmtId="0" fontId="22" fillId="6" borderId="3" applyAlignment="1" pivotButton="0" quotePrefix="0" xfId="0">
      <alignment horizontal="center" vertical="top" wrapText="1"/>
    </xf>
    <xf numFmtId="0" fontId="23" fillId="5" borderId="3" applyAlignment="1" pivotButton="0" quotePrefix="0" xfId="0">
      <alignment horizontal="center" vertical="top" wrapText="1"/>
    </xf>
    <xf numFmtId="0" fontId="24" fillId="4" borderId="3" applyAlignment="1" pivotButton="0" quotePrefix="0" xfId="0">
      <alignment horizontal="center" vertical="top" wrapText="1"/>
    </xf>
    <xf numFmtId="0" fontId="26" fillId="0" borderId="3" applyAlignment="1" pivotButton="0" quotePrefix="0" xfId="0">
      <alignment horizontal="left" vertical="top" wrapText="1"/>
    </xf>
    <xf numFmtId="0" fontId="6" fillId="0" borderId="0" applyAlignment="1" pivotButton="0" quotePrefix="0" xfId="0">
      <alignment horizontal="center" vertical="top" wrapText="1"/>
    </xf>
    <xf numFmtId="0" fontId="5" fillId="0" borderId="3" applyAlignment="1" pivotButton="0" quotePrefix="0" xfId="0">
      <alignment horizontal="left" vertical="top" wrapText="1"/>
    </xf>
    <xf numFmtId="0" fontId="9" fillId="0" borderId="3" applyAlignment="1" pivotButton="0" quotePrefix="0" xfId="0">
      <alignment horizontal="left" vertical="top" wrapText="1"/>
    </xf>
    <xf numFmtId="0" fontId="27" fillId="0" borderId="3" applyAlignment="1" pivotButton="0" quotePrefix="0" xfId="0">
      <alignment horizontal="center" vertical="top" wrapText="1"/>
    </xf>
    <xf numFmtId="0" fontId="28" fillId="0" borderId="3" applyAlignment="1" pivotButton="0" quotePrefix="0" xfId="0">
      <alignment horizontal="center" vertical="top" wrapText="1"/>
    </xf>
    <xf numFmtId="0" fontId="23" fillId="0" borderId="3" applyAlignment="1" pivotButton="0" quotePrefix="0" xfId="0">
      <alignment horizontal="center" vertical="top" wrapText="1"/>
    </xf>
    <xf numFmtId="0" fontId="24" fillId="0" borderId="3" applyAlignment="1" pivotButton="0" quotePrefix="0" xfId="0">
      <alignment horizontal="center" vertical="top" wrapText="1"/>
    </xf>
    <xf numFmtId="0" fontId="29" fillId="0" borderId="3" applyAlignment="1" pivotButton="0" quotePrefix="0" xfId="0">
      <alignment horizontal="center" vertical="top" wrapText="1"/>
    </xf>
    <xf numFmtId="0" fontId="30" fillId="8" borderId="3"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事件分类分布</a:t>
            </a:r>
          </a:p>
        </rich>
      </tx>
    </title>
    <plotArea>
      <barChart>
        <barDir val="bar"/>
        <grouping val="clustered"/>
        <ser>
          <idx val="0"/>
          <order val="0"/>
          <tx>
            <strRef>
              <f>'03_分类汇总'!J6</f>
            </strRef>
          </tx>
          <spPr>
            <a:ln xmlns:a="http://schemas.openxmlformats.org/drawingml/2006/main">
              <a:prstDash val="solid"/>
            </a:ln>
          </spPr>
          <cat>
            <numRef>
              <f>'03_分类汇总'!$I$7:$I$11</f>
            </numRef>
          </cat>
          <val>
            <numRef>
              <f>'03_分类汇总'!$J$7:$J$11</f>
            </numRef>
          </val>
        </ser>
        <gapWidth val="55"/>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事件数</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12</row>
      <rowOff>0</rowOff>
    </from>
    <ext cx="4500000" cy="2592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feng.ifeng.com/c/8xGEF2EUyKu" TargetMode="External" Id="rId1"/><Relationship Type="http://schemas.openxmlformats.org/officeDocument/2006/relationships/hyperlink" Target="http://futures.cnfol.com/qishidongtai/20261013/32394908.shtml" TargetMode="External" Id="rId2"/><Relationship Type="http://schemas.openxmlformats.org/officeDocument/2006/relationships/hyperlink" Target="http://chengdu.customs.gov.cn/chengdu_customs/2026-10/08/article_2026100816361924539.html" TargetMode="External" Id="rId3"/><Relationship Type="http://schemas.openxmlformats.org/officeDocument/2006/relationships/hyperlink" Target="https://www.oilchem.net/26-1008-15-b899a598549cbc97.html" TargetMode="External" Id="rId4"/><Relationship Type="http://schemas.openxmlformats.org/officeDocument/2006/relationships/hyperlink" Target="https://www.oilchem.net/26-0929-16-d4008ab2460fb79e.html" TargetMode="External" Id="rId5"/><Relationship Type="http://schemas.openxmlformats.org/officeDocument/2006/relationships/hyperlink" Target="https://yuanchuang.10jqka.com.cn/20260918/c680065861.shtml" TargetMode="External" Id="rId6"/><Relationship Type="http://schemas.openxmlformats.org/officeDocument/2006/relationships/hyperlink" Target="https://www.nbd.com.cn/articles/2026-09-04/4573041.html" TargetMode="External" Id="rId7"/><Relationship Type="http://schemas.openxmlformats.org/officeDocument/2006/relationships/hyperlink" Target="https://www.jiemian.com/article/10041241.html" TargetMode="External" Id="rId8"/><Relationship Type="http://schemas.openxmlformats.org/officeDocument/2006/relationships/hyperlink" Target="https://money.finance.sina.com.cn/corp/view/vCB_AllBulletinDetail.php?id=12533808&amp;stockid=600409" TargetMode="External" Id="rId9"/><Relationship Type="http://schemas.openxmlformats.org/officeDocument/2006/relationships/hyperlink" Target="https://news.qq.com/rain/a/20260824A05EIL00" TargetMode="External" Id="rId10"/><Relationship Type="http://schemas.openxmlformats.org/officeDocument/2006/relationships/hyperlink" Target="http://www.eeo.com.cn/2026/0913/1034907.shtml" TargetMode="External" Id="rId11"/><Relationship Type="http://schemas.openxmlformats.org/officeDocument/2006/relationships/hyperlink" Target="https://www.nbd.com.cn/articles/2026-08-17/4544365.html" TargetMode="External" Id="rId12"/><Relationship Type="http://schemas.openxmlformats.org/officeDocument/2006/relationships/hyperlink" Target="https://www.cls.cn/detail/2441623" TargetMode="External" Id="rId13"/><Relationship Type="http://schemas.openxmlformats.org/officeDocument/2006/relationships/hyperlink" Target="https://news.chemnet.com/toutiao/detail-70994.html" TargetMode="External" Id="rId14"/><Relationship Type="http://schemas.openxmlformats.org/officeDocument/2006/relationships/hyperlink" Target="https://www.oilchem.net/26-0526-17-f508268c19d43d44.html" TargetMode="External" Id="rId15"/><Relationship Type="http://schemas.openxmlformats.org/officeDocument/2006/relationships/hyperlink" Target="http://static.cninfo.com.cn/finalpage/2026-05-20/1225316281.PDF" TargetMode="External" Id="rId16"/><Relationship Type="http://schemas.openxmlformats.org/officeDocument/2006/relationships/hyperlink" Target="http://static.cninfo.com.cn/finalpage/2026-04-01/1225065549.PDF" TargetMode="External" Id="rId17"/><Relationship Type="http://schemas.openxmlformats.org/officeDocument/2006/relationships/hyperlink" Target="https://pdf.dfcfw.com/pdf/H2_AN202602251820032549_1.pdf" TargetMode="External" Id="rId18"/><Relationship Type="http://schemas.openxmlformats.org/officeDocument/2006/relationships/hyperlink" Target="https://news.qq.com/rain/a/20260203A06WVT00" TargetMode="External" Id="rId19"/></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hyperlink" Target="https://feng.ifeng.com/c/8xGEF2EUyKu" TargetMode="External" Id="rId1"/><Relationship Type="http://schemas.openxmlformats.org/officeDocument/2006/relationships/hyperlink" Target="http://futures.cnfol.com/qishidongtai/20261013/32394908.shtml" TargetMode="External" Id="rId2"/><Relationship Type="http://schemas.openxmlformats.org/officeDocument/2006/relationships/hyperlink" Target="http://chengdu.customs.gov.cn/chengdu_customs/2026-10/08/article_2026100816361924539.html" TargetMode="External" Id="rId3"/><Relationship Type="http://schemas.openxmlformats.org/officeDocument/2006/relationships/hyperlink" Target="https://www.oilchem.net/26-1008-15-b899a598549cbc97.html" TargetMode="External" Id="rId4"/><Relationship Type="http://schemas.openxmlformats.org/officeDocument/2006/relationships/hyperlink" Target="https://www.oilchem.net/26-0929-16-d4008ab2460fb79e.html" TargetMode="External" Id="rId5"/><Relationship Type="http://schemas.openxmlformats.org/officeDocument/2006/relationships/hyperlink" Target="https://yuanchuang.10jqka.com.cn/20260918/c680065861.shtml" TargetMode="External" Id="rId6"/><Relationship Type="http://schemas.openxmlformats.org/officeDocument/2006/relationships/hyperlink" Target="https://www.nbd.com.cn/articles/2026-09-04/4573041.html" TargetMode="External" Id="rId7"/><Relationship Type="http://schemas.openxmlformats.org/officeDocument/2006/relationships/hyperlink" Target="https://www.jiemian.com/article/10041241.html" TargetMode="External" Id="rId8"/><Relationship Type="http://schemas.openxmlformats.org/officeDocument/2006/relationships/hyperlink" Target="https://money.finance.sina.com.cn/corp/view/vCB_AllBulletinDetail.php?id=12533808&amp;stockid=600409" TargetMode="External" Id="rId9"/><Relationship Type="http://schemas.openxmlformats.org/officeDocument/2006/relationships/hyperlink" Target="https://news.qq.com/rain/a/20260824A05EIL00" TargetMode="External" Id="rId10"/><Relationship Type="http://schemas.openxmlformats.org/officeDocument/2006/relationships/hyperlink" Target="http://www.eeo.com.cn/2026/0913/1034907.shtml" TargetMode="External" Id="rId11"/><Relationship Type="http://schemas.openxmlformats.org/officeDocument/2006/relationships/hyperlink" Target="https://www.nbd.com.cn/articles/2026-08-17/4544365.html" TargetMode="External" Id="rId12"/><Relationship Type="http://schemas.openxmlformats.org/officeDocument/2006/relationships/hyperlink" Target="https://www.cls.cn/detail/2441623" TargetMode="External" Id="rId13"/><Relationship Type="http://schemas.openxmlformats.org/officeDocument/2006/relationships/hyperlink" Target="https://news.chemnet.com/toutiao/detail-70994.html" TargetMode="External" Id="rId14"/><Relationship Type="http://schemas.openxmlformats.org/officeDocument/2006/relationships/hyperlink" Target="https://www.oilchem.net/26-0526-17-f508268c19d43d44.html" TargetMode="External" Id="rId15"/><Relationship Type="http://schemas.openxmlformats.org/officeDocument/2006/relationships/hyperlink" Target="http://static.cninfo.com.cn/finalpage/2026-05-20/1225316281.PDF" TargetMode="External" Id="rId16"/><Relationship Type="http://schemas.openxmlformats.org/officeDocument/2006/relationships/hyperlink" Target="http://static.cninfo.com.cn/finalpage/2026-04-01/1225065549.PDF" TargetMode="External" Id="rId17"/><Relationship Type="http://schemas.openxmlformats.org/officeDocument/2006/relationships/hyperlink" Target="https://pdf.dfcfw.com/pdf/H2_AN202602251820032549_1.pdf" TargetMode="External" Id="rId18"/><Relationship Type="http://schemas.openxmlformats.org/officeDocument/2006/relationships/hyperlink" Target="https://news.qq.com/rain/a/20260203A06WVT00" TargetMode="External" Id="rId19"/></Relationships>
</file>

<file path=xl/worksheets/sheet1.xml><?xml version="1.0" encoding="utf-8"?>
<worksheet xmlns="http://schemas.openxmlformats.org/spreadsheetml/2006/main">
  <sheetPr>
    <tabColor rgb="0017324D"/>
    <outlinePr summaryBelow="1" summaryRight="1"/>
    <pageSetUpPr fitToPage="1"/>
  </sheetPr>
  <dimension ref="B2:E35"/>
  <sheetViews>
    <sheetView showGridLines="0" workbookViewId="0">
      <selection activeCell="A1" sqref="A1"/>
    </sheetView>
  </sheetViews>
  <sheetFormatPr baseColWidth="8" defaultRowHeight="15"/>
  <cols>
    <col width="2.5" customWidth="1" min="1" max="1"/>
    <col width="26" customWidth="1" min="2" max="2"/>
    <col width="40" customWidth="1" min="3" max="3"/>
    <col width="40" customWidth="1" min="4" max="4"/>
    <col width="2.5" customWidth="1" min="5" max="5"/>
  </cols>
  <sheetData>
    <row r="2" ht="44" customHeight="1">
      <c r="B2" s="1" t="inlineStr">
        <is>
          <t>纯碱供应商近期风险雷达</t>
        </is>
      </c>
    </row>
    <row r="3" ht="24" customHeight="1">
      <c r="B3" s="2" t="inlineStr">
        <is>
          <t>内贸采购 · 供应商准入与续约前的公开风险扫描</t>
        </is>
      </c>
    </row>
    <row r="4" ht="20" customHeight="1">
      <c r="B4" s="3" t="inlineStr">
        <is>
          <t>SUPPLIER RISK SCAN  /  SODA ASH  /  CHINA DOMESTIC PROCUREMENT</t>
        </is>
      </c>
    </row>
    <row r="5" ht="3" customHeight="1">
      <c r="B5" s="4" t="n"/>
      <c r="C5" s="4" t="n"/>
      <c r="D5" s="4" t="n"/>
      <c r="E5" s="4" t="n"/>
    </row>
    <row r="7" ht="26" customHeight="1">
      <c r="B7" s="5" t="inlineStr">
        <is>
          <t>报告信息</t>
        </is>
      </c>
      <c r="C7" s="6" t="n"/>
      <c r="D7" s="6" t="n"/>
      <c r="E7" s="6" t="n"/>
    </row>
    <row r="8" ht="30" customHeight="1">
      <c r="B8" s="7" t="inlineStr">
        <is>
          <t>查询产品</t>
        </is>
      </c>
      <c r="C8" s="8" t="inlineStr">
        <is>
          <t>纯碱（轻质 / 重质），内贸采购</t>
        </is>
      </c>
    </row>
    <row r="9" ht="30" customHeight="1">
      <c r="B9" s="7" t="inlineStr">
        <is>
          <t>查询日期</t>
        </is>
      </c>
      <c r="C9" s="8" t="inlineStr">
        <is>
          <t>2026-10-19 13:20（北京时间）</t>
        </is>
      </c>
    </row>
    <row r="10" ht="30" customHeight="1">
      <c r="B10" s="7" t="inlineStr">
        <is>
          <t>默认窗口</t>
        </is>
      </c>
      <c r="C10" s="8" t="inlineStr">
        <is>
          <t>近6个月：2026-04-19 至 2026-10-19（可切换 近3个月 / 近1年）</t>
        </is>
      </c>
    </row>
    <row r="11" ht="30" customHeight="1">
      <c r="B11" s="7" t="inlineStr">
        <is>
          <t>供应商范围</t>
        </is>
      </c>
      <c r="C11" s="8" t="inlineStr">
        <is>
          <t>7 家：博源化工、中盐化工、三友化工、山东海化、双环科技、和邦生物、金山化工</t>
        </is>
      </c>
    </row>
    <row r="12" ht="30" customHeight="1">
      <c r="B12" s="7" t="inlineStr">
        <is>
          <t>事件总量</t>
        </is>
      </c>
      <c r="C12" s="8" t="inlineStr">
        <is>
          <t>19 条（近6个月窗口内 16 条；窗口外背景 3 条）</t>
        </is>
      </c>
    </row>
    <row r="13" ht="30" customHeight="1">
      <c r="B13" s="7" t="inlineStr">
        <is>
          <t>覆盖工艺</t>
        </is>
      </c>
      <c r="C13" s="8" t="inlineStr">
        <is>
          <t>天然碱法、氨碱法、联碱法</t>
        </is>
      </c>
    </row>
    <row r="14" ht="30" customHeight="1">
      <c r="B14" s="7" t="inlineStr">
        <is>
          <t>信息渠道</t>
        </is>
      </c>
      <c r="C14" s="8" t="inlineStr">
        <is>
          <t>公司公告 / 交易所 / 证监局 / 海关 / 主流财经媒体 / 行业资讯</t>
        </is>
      </c>
    </row>
    <row r="15" ht="30" customHeight="1">
      <c r="B15" s="7" t="inlineStr">
        <is>
          <t>报告性质</t>
        </is>
      </c>
      <c r="C15" s="8" t="inlineStr">
        <is>
          <t>公开信息桌面检索，辅助采购决策，不替代完整尽调</t>
        </is>
      </c>
    </row>
    <row r="18" ht="26" customHeight="1">
      <c r="B18" s="5" t="inlineStr">
        <is>
          <t>图例：严重度与方向</t>
        </is>
      </c>
      <c r="C18" s="6" t="n"/>
      <c r="D18" s="6" t="n"/>
      <c r="E18" s="6" t="n"/>
    </row>
    <row r="19" ht="22" customHeight="1">
      <c r="B19" s="9" t="inlineStr">
        <is>
          <t>高</t>
        </is>
      </c>
      <c r="C19" s="10" t="inlineStr">
        <is>
          <t>可能影响交付/合规，需在 1—2 周内核实</t>
        </is>
      </c>
    </row>
    <row r="20" ht="22" customHeight="1">
      <c r="B20" s="11" t="inlineStr">
        <is>
          <t>中</t>
        </is>
      </c>
      <c r="C20" s="10" t="inlineStr">
        <is>
          <t>值得关注，需纳入询价/合同条款</t>
        </is>
      </c>
    </row>
    <row r="21" ht="22" customHeight="1">
      <c r="B21" s="12" t="inlineStr">
        <is>
          <t>低</t>
        </is>
      </c>
      <c r="C21" s="10" t="inlineStr">
        <is>
          <t>影响有限或常规事项，留痕即可</t>
        </is>
      </c>
    </row>
    <row r="22" ht="22" customHeight="1">
      <c r="B22" s="13" t="inlineStr">
        <is>
          <t>正向</t>
        </is>
      </c>
      <c r="C22" s="10" t="inlineStr">
        <is>
          <t>公开变化对供应能力偏正面</t>
        </is>
      </c>
    </row>
    <row r="25" ht="26" customHeight="1">
      <c r="B25" s="5" t="inlineStr">
        <is>
          <t>阅读提示</t>
        </is>
      </c>
      <c r="C25" s="6" t="n"/>
      <c r="D25" s="6" t="n"/>
      <c r="E25" s="6" t="n"/>
    </row>
    <row r="26" ht="34" customHeight="1">
      <c r="B26" s="14" t="inlineStr">
        <is>
          <t>1. 先看“01_风险总览”的风险等级与一句话结论，再进入“02_事件时间线”核对事实与来源。</t>
        </is>
      </c>
    </row>
    <row r="27" ht="34" customHeight="1">
      <c r="B27" s="14" t="inlineStr">
        <is>
          <t>2. “未检索到公开风险事件”只代表本次公开渠道检索结果，不等于供应商没有风险；窗口外事项请切换到近 1 年。</t>
        </is>
      </c>
    </row>
    <row r="28" ht="34" customHeight="1">
      <c r="B28" s="14" t="inlineStr">
        <is>
          <t>3. 每条事件都给出“采购关注点”和“待确认问题”，可直接用于询价、准入访谈或合同条款设计。</t>
        </is>
      </c>
    </row>
    <row r="29" ht="34" customHeight="1">
      <c r="B29" s="14" t="inlineStr">
        <is>
          <t>4. 公开新闻不等于未来断供。本报告不做断供预测，只提示需要进一步确认的业务问题。</t>
        </is>
      </c>
    </row>
    <row r="32">
      <c r="B32" s="15" t="inlineStr">
        <is>
          <t>免责声明：本报告基于截至 2026-10-19 的公开信息整理，仅供采购决策参考，不构成法律、财务或投资意见。公开信息可能存在滞后、遗漏或口径差异；“未检索到”不等于“无风险”。建议在准入或续约前补充现场审核、财务尽调、征信报告与合同条款设计。</t>
        </is>
      </c>
    </row>
    <row r="33"/>
    <row r="34"/>
    <row r="35"/>
  </sheetData>
  <mergeCells count="23">
    <mergeCell ref="B32:E35"/>
    <mergeCell ref="C22:E22"/>
    <mergeCell ref="B28:E28"/>
    <mergeCell ref="C9:E9"/>
    <mergeCell ref="C21:E21"/>
    <mergeCell ref="C12:E12"/>
    <mergeCell ref="B26:E26"/>
    <mergeCell ref="C11:E11"/>
    <mergeCell ref="B4:E4"/>
    <mergeCell ref="C8:E8"/>
    <mergeCell ref="B7:E7"/>
    <mergeCell ref="B25:E25"/>
    <mergeCell ref="B3:E3"/>
    <mergeCell ref="B18:E18"/>
    <mergeCell ref="B27:E27"/>
    <mergeCell ref="C13:E13"/>
    <mergeCell ref="C19:E19"/>
    <mergeCell ref="B2:E2"/>
    <mergeCell ref="C15:E15"/>
    <mergeCell ref="C14:E14"/>
    <mergeCell ref="B29:E29"/>
    <mergeCell ref="C20:E20"/>
    <mergeCell ref="C10:E10"/>
  </mergeCells>
  <pageMargins left="0.35" right="0.35" top="0.45" bottom="0.45" header="0.5" footer="0.5"/>
  <pageSetup orientation="portrait" paperSize="9" fitToHeight="0" fitToWidth="1"/>
</worksheet>
</file>

<file path=xl/worksheets/sheet2.xml><?xml version="1.0" encoding="utf-8"?>
<worksheet xmlns="http://schemas.openxmlformats.org/spreadsheetml/2006/main">
  <sheetPr>
    <tabColor rgb="00A63A3A"/>
    <outlinePr summaryBelow="1" summaryRight="1"/>
    <pageSetUpPr fitToPage="1"/>
  </sheetPr>
  <dimension ref="A1:O1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0" customWidth="1" min="3" max="3"/>
    <col width="12" customWidth="1" min="4" max="4"/>
    <col width="22" customWidth="1" min="5" max="5"/>
    <col width="18" customWidth="1" min="6" max="6"/>
    <col width="10" customWidth="1" min="7" max="7"/>
    <col width="5" customWidth="1" min="8" max="8"/>
    <col width="5" customWidth="1" min="9" max="9"/>
    <col width="5" customWidth="1" min="10" max="10"/>
    <col width="8" customWidth="1" min="11" max="11"/>
    <col width="16" customWidth="1" min="12" max="12"/>
    <col width="12" customWidth="1" min="13" max="13"/>
    <col width="26" customWidth="1" min="14" max="14"/>
    <col width="53" customWidth="1" min="15" max="15"/>
  </cols>
  <sheetData>
    <row r="1" ht="32" customHeight="1">
      <c r="A1" s="16" t="inlineStr">
        <is>
          <t>供应商风险总览</t>
        </is>
      </c>
    </row>
    <row r="2" ht="20" customHeight="1">
      <c r="A2" s="17" t="inlineStr">
        <is>
          <t>默认窗口：2026-04-19 至 2026-10-19 ｜ 事件计数按“02_事件时间线”中落在窗口内的记录 ｜ 风险等级为采购视角的综合标签，不是信用评级</t>
        </is>
      </c>
    </row>
    <row r="4" ht="32" customHeight="1">
      <c r="A4" s="18" t="inlineStr">
        <is>
          <t>序号</t>
        </is>
      </c>
      <c r="B4" s="18" t="inlineStr">
        <is>
          <t>供应商</t>
        </is>
      </c>
      <c r="C4" s="18" t="inlineStr">
        <is>
          <t>证券代码</t>
        </is>
      </c>
      <c r="D4" s="18" t="inlineStr">
        <is>
          <t>工艺路线</t>
        </is>
      </c>
      <c r="E4" s="18" t="inlineStr">
        <is>
          <t>纯碱产能</t>
        </is>
      </c>
      <c r="F4" s="18" t="inlineStr">
        <is>
          <t>主要基地</t>
        </is>
      </c>
      <c r="G4" s="18" t="inlineStr">
        <is>
          <t>窗口内事件</t>
        </is>
      </c>
      <c r="H4" s="18" t="inlineStr">
        <is>
          <t>高</t>
        </is>
      </c>
      <c r="I4" s="18" t="inlineStr">
        <is>
          <t>中</t>
        </is>
      </c>
      <c r="J4" s="18" t="inlineStr">
        <is>
          <t>低</t>
        </is>
      </c>
      <c r="K4" s="18" t="inlineStr">
        <is>
          <t>风险等级</t>
        </is>
      </c>
      <c r="L4" s="18" t="inlineStr">
        <is>
          <t>风险标签</t>
        </is>
      </c>
      <c r="M4" s="18" t="inlineStr">
        <is>
          <t>最近事件日期</t>
        </is>
      </c>
      <c r="N4" s="18" t="inlineStr">
        <is>
          <t>最近事件</t>
        </is>
      </c>
      <c r="O4" s="18" t="inlineStr">
        <is>
          <t>一句话结论</t>
        </is>
      </c>
    </row>
    <row r="5" ht="58" customHeight="1">
      <c r="A5" s="19" t="n">
        <v>1</v>
      </c>
      <c r="B5" s="20" t="inlineStr">
        <is>
          <t>博源化工</t>
        </is>
      </c>
      <c r="C5" s="19" t="inlineStr">
        <is>
          <t>000683.SZ</t>
        </is>
      </c>
      <c r="D5" s="21" t="inlineStr">
        <is>
          <t>天然碱法</t>
        </is>
      </c>
      <c r="E5" s="21" t="inlineStr">
        <is>
          <t>780 万吨（规划）</t>
        </is>
      </c>
      <c r="F5" s="21" t="inlineStr">
        <is>
          <t>内蒙古鄂尔多斯 / 阿拉善</t>
        </is>
      </c>
      <c r="G5" s="19" t="n">
        <v>3</v>
      </c>
      <c r="H5" s="19" t="n">
        <v>0</v>
      </c>
      <c r="I5" s="19" t="n">
        <v>1</v>
      </c>
      <c r="J5" s="19" t="n">
        <v>2</v>
      </c>
      <c r="K5" s="22" t="inlineStr">
        <is>
          <t>中低</t>
        </is>
      </c>
      <c r="L5" s="21" t="inlineStr">
        <is>
          <t>关注 · 供应节奏</t>
        </is>
      </c>
      <c r="M5" s="19" t="inlineStr">
        <is>
          <t>2026-10-08</t>
        </is>
      </c>
      <c r="N5" s="21" t="inlineStr">
        <is>
          <t>博源银根化工一期装置检修，预计持续至 10 月底</t>
        </is>
      </c>
      <c r="O5" s="21" t="inlineStr">
        <is>
          <t>盈利与现金流稳健，探矿权仲裁已和解；银根一期检修至 10 月底，11 月排产与发运节奏需要确认。</t>
        </is>
      </c>
    </row>
    <row r="6" ht="58" customHeight="1">
      <c r="A6" s="23" t="n">
        <v>2</v>
      </c>
      <c r="B6" s="24" t="inlineStr">
        <is>
          <t>中盐化工</t>
        </is>
      </c>
      <c r="C6" s="23" t="inlineStr">
        <is>
          <t>600328.SH</t>
        </is>
      </c>
      <c r="D6" s="25" t="inlineStr">
        <is>
          <t>氨碱法 + 联碱法</t>
        </is>
      </c>
      <c r="E6" s="25" t="inlineStr">
        <is>
          <t>390 万吨</t>
        </is>
      </c>
      <c r="F6" s="25" t="inlineStr">
        <is>
          <t>内蒙古阿拉善 / 江苏昆山</t>
        </is>
      </c>
      <c r="G6" s="23" t="n">
        <v>3</v>
      </c>
      <c r="H6" s="23" t="n">
        <v>1</v>
      </c>
      <c r="I6" s="23" t="n">
        <v>1</v>
      </c>
      <c r="J6" s="23" t="n">
        <v>1</v>
      </c>
      <c r="K6" s="9" t="inlineStr">
        <is>
          <t>高</t>
        </is>
      </c>
      <c r="L6" s="25" t="inlineStr">
        <is>
          <t>重点跟踪</t>
        </is>
      </c>
      <c r="M6" s="23" t="inlineStr">
        <is>
          <t>2026-09-18</t>
        </is>
      </c>
      <c r="N6" s="25" t="inlineStr">
        <is>
          <t>中盐化工 500 万吨/年天然碱项目按计划推进</t>
        </is>
      </c>
      <c r="O6" s="25" t="inlineStr">
        <is>
          <t>昆山 60 万吨纯碱装置因安全生产许可证到期自 3 月 27 日停产、至 6 月 24 日仍未复产；叠加 4.41 亿元关联交易未及时披露被监管、上半年亏损，交付与治理需同时观察。</t>
        </is>
      </c>
    </row>
    <row r="7" ht="58" customHeight="1">
      <c r="A7" s="19" t="n">
        <v>3</v>
      </c>
      <c r="B7" s="20" t="inlineStr">
        <is>
          <t>三友化工</t>
        </is>
      </c>
      <c r="C7" s="19" t="inlineStr">
        <is>
          <t>600409.SH</t>
        </is>
      </c>
      <c r="D7" s="21" t="inlineStr">
        <is>
          <t>氨碱法</t>
        </is>
      </c>
      <c r="E7" s="21" t="inlineStr">
        <is>
          <t>340 万吨</t>
        </is>
      </c>
      <c r="F7" s="21" t="inlineStr">
        <is>
          <t>河北唐山 / 青海</t>
        </is>
      </c>
      <c r="G7" s="19" t="n">
        <v>2</v>
      </c>
      <c r="H7" s="19" t="n">
        <v>0</v>
      </c>
      <c r="I7" s="19" t="n">
        <v>0</v>
      </c>
      <c r="J7" s="19" t="n">
        <v>2</v>
      </c>
      <c r="K7" s="26" t="inlineStr">
        <is>
          <t>低</t>
        </is>
      </c>
      <c r="L7" s="21" t="inlineStr">
        <is>
          <t>基本稳定</t>
        </is>
      </c>
      <c r="M7" s="19" t="inlineStr">
        <is>
          <t>2026-09-04</t>
        </is>
      </c>
      <c r="N7" s="21" t="inlineStr">
        <is>
          <t>三友化工：青海五彩碱业检修 3—5 天，预计影响纯碱产量 2—3 万吨</t>
        </is>
      </c>
      <c r="O7" s="21" t="inlineStr">
        <is>
          <t>上半年净利同比 +129%，6 个月内未检索到行政处罚、诉讼、事故、停产等实质性风险事件；仅有计划内检修，预计影响纯碱产量 2—3 万吨。</t>
        </is>
      </c>
    </row>
    <row r="8" ht="58" customHeight="1">
      <c r="A8" s="23" t="n">
        <v>4</v>
      </c>
      <c r="B8" s="24" t="inlineStr">
        <is>
          <t>山东海化</t>
        </is>
      </c>
      <c r="C8" s="23" t="inlineStr">
        <is>
          <t>000822.SZ</t>
        </is>
      </c>
      <c r="D8" s="25" t="inlineStr">
        <is>
          <t>氨碱法</t>
        </is>
      </c>
      <c r="E8" s="25" t="inlineStr">
        <is>
          <t>280 万吨</t>
        </is>
      </c>
      <c r="F8" s="25" t="inlineStr">
        <is>
          <t>山东潍坊</t>
        </is>
      </c>
      <c r="G8" s="23" t="n">
        <v>1</v>
      </c>
      <c r="H8" s="23" t="n">
        <v>0</v>
      </c>
      <c r="I8" s="23" t="n">
        <v>1</v>
      </c>
      <c r="J8" s="23" t="n">
        <v>0</v>
      </c>
      <c r="K8" s="27" t="inlineStr">
        <is>
          <t>中</t>
        </is>
      </c>
      <c r="L8" s="25" t="inlineStr">
        <is>
          <t>关注 · 财务</t>
        </is>
      </c>
      <c r="M8" s="23" t="inlineStr">
        <is>
          <t>2026-08-24</t>
        </is>
      </c>
      <c r="N8" s="25" t="inlineStr">
        <is>
          <t>山东海化上半年净亏 2.81 亿元，经营现金流 -10.07 亿元</t>
        </is>
      </c>
      <c r="O8" s="25" t="inlineStr">
        <is>
          <t>上半年亏损 2.81 亿元、经营现金流 -10.07 亿元；48.37 亿元纯碱装置提质增效改造推进中。未检索到安全环保事故或行政处罚，重点在账期、预付款与技改期间的排产。</t>
        </is>
      </c>
    </row>
    <row r="9" ht="58" customHeight="1">
      <c r="A9" s="19" t="n">
        <v>5</v>
      </c>
      <c r="B9" s="20" t="inlineStr">
        <is>
          <t>双环科技</t>
        </is>
      </c>
      <c r="C9" s="19" t="inlineStr">
        <is>
          <t>000707.SZ</t>
        </is>
      </c>
      <c r="D9" s="21" t="inlineStr">
        <is>
          <t>联碱法</t>
        </is>
      </c>
      <c r="E9" s="21" t="inlineStr">
        <is>
          <t>110 万吨</t>
        </is>
      </c>
      <c r="F9" s="21" t="inlineStr">
        <is>
          <t>湖北应城</t>
        </is>
      </c>
      <c r="G9" s="19" t="n">
        <v>2</v>
      </c>
      <c r="H9" s="19" t="n">
        <v>0</v>
      </c>
      <c r="I9" s="19" t="n">
        <v>1</v>
      </c>
      <c r="J9" s="19" t="n">
        <v>1</v>
      </c>
      <c r="K9" s="27" t="inlineStr">
        <is>
          <t>中</t>
        </is>
      </c>
      <c r="L9" s="21" t="inlineStr">
        <is>
          <t>关注 · 财务</t>
        </is>
      </c>
      <c r="M9" s="19" t="inlineStr">
        <is>
          <t>2026-10-15</t>
        </is>
      </c>
      <c r="N9" s="21" t="inlineStr">
        <is>
          <t>双环科技补选董事并聘任总工程师</t>
        </is>
      </c>
      <c r="O9" s="21" t="inlineStr">
        <is>
          <t>上半年由盈转亏、毛利率降至 4.93%，单一联碱业务在价格战中承压；未检索到处罚、事故、停产记录，关注其减产与现金流安排。</t>
        </is>
      </c>
    </row>
    <row r="10" ht="58" customHeight="1">
      <c r="A10" s="23" t="n">
        <v>6</v>
      </c>
      <c r="B10" s="24" t="inlineStr">
        <is>
          <t>和邦生物</t>
        </is>
      </c>
      <c r="C10" s="23" t="inlineStr">
        <is>
          <t>603077.SH</t>
        </is>
      </c>
      <c r="D10" s="25" t="inlineStr">
        <is>
          <t>联碱法</t>
        </is>
      </c>
      <c r="E10" s="25" t="inlineStr">
        <is>
          <t>110 万吨</t>
        </is>
      </c>
      <c r="F10" s="25" t="inlineStr">
        <is>
          <t>四川乐山</t>
        </is>
      </c>
      <c r="G10" s="23" t="n">
        <v>2</v>
      </c>
      <c r="H10" s="23" t="n">
        <v>0</v>
      </c>
      <c r="I10" s="23" t="n">
        <v>0</v>
      </c>
      <c r="J10" s="23" t="n">
        <v>2</v>
      </c>
      <c r="K10" s="22" t="inlineStr">
        <is>
          <t>中低</t>
        </is>
      </c>
      <c r="L10" s="25" t="inlineStr">
        <is>
          <t>关注 · 合规</t>
        </is>
      </c>
      <c r="M10" s="23" t="inlineStr">
        <is>
          <t>2026-10-08</t>
        </is>
      </c>
      <c r="N10" s="25" t="inlineStr">
        <is>
          <t>乐山海关对和邦生物作出 9 万元行政处罚</t>
        </is>
      </c>
      <c r="O10" s="25" t="inlineStr">
        <is>
          <t>上半年净利 3.8 亿元、同比 +634%，但利润主要来自双甘膦/草甘膦/蛋氨酸；10 月收到乐山海关 9 万元罚单（申报不实），属合规瑕疵，需在准入材料中留痕。</t>
        </is>
      </c>
    </row>
    <row r="11" ht="58" customHeight="1">
      <c r="A11" s="19" t="n">
        <v>7</v>
      </c>
      <c r="B11" s="20" t="inlineStr">
        <is>
          <t>金山化工</t>
        </is>
      </c>
      <c r="C11" s="19" t="inlineStr">
        <is>
          <t>非上市</t>
        </is>
      </c>
      <c r="D11" s="21" t="inlineStr">
        <is>
          <t>联碱法</t>
        </is>
      </c>
      <c r="E11" s="21" t="inlineStr">
        <is>
          <t>330 万吨</t>
        </is>
      </c>
      <c r="F11" s="21" t="inlineStr">
        <is>
          <t>河南漯河舞阳</t>
        </is>
      </c>
      <c r="G11" s="19" t="n">
        <v>3</v>
      </c>
      <c r="H11" s="19" t="n">
        <v>0</v>
      </c>
      <c r="I11" s="19" t="n">
        <v>1</v>
      </c>
      <c r="J11" s="19" t="n">
        <v>2</v>
      </c>
      <c r="K11" s="22" t="inlineStr">
        <is>
          <t>中低</t>
        </is>
      </c>
      <c r="L11" s="21" t="inlineStr">
        <is>
          <t>关注 · 信息透明度</t>
        </is>
      </c>
      <c r="M11" s="19" t="inlineStr">
        <is>
          <t>2026-10-13</t>
        </is>
      </c>
      <c r="N11" s="21" t="inlineStr">
        <is>
          <t>河南金山纯碱装置减量运行</t>
        </is>
      </c>
      <c r="O11" s="21" t="inlineStr">
        <is>
          <t>非上市，公开财务与处罚信息稀疏；5—10 月多次检修/减量（5/26 二厂检修、9/29 预期检修、10/13 减量），供应节奏需以厂家函件和现场确认为准。</t>
        </is>
      </c>
    </row>
    <row r="12" ht="24" customHeight="1">
      <c r="A12" s="28" t="inlineStr">
        <is>
          <t>合计</t>
        </is>
      </c>
      <c r="B12" s="29" t="inlineStr">
        <is>
          <t>7 家</t>
        </is>
      </c>
      <c r="C12" s="30" t="inlineStr"/>
      <c r="D12" s="30" t="inlineStr"/>
      <c r="E12" s="30" t="inlineStr"/>
      <c r="F12" s="30" t="inlineStr"/>
      <c r="G12" s="28" t="n">
        <v>16</v>
      </c>
      <c r="H12" s="28" t="n">
        <v>1</v>
      </c>
      <c r="I12" s="28" t="n">
        <v>5</v>
      </c>
      <c r="J12" s="28" t="n">
        <v>10</v>
      </c>
      <c r="K12" s="30" t="inlineStr"/>
      <c r="L12" s="30" t="inlineStr"/>
      <c r="M12" s="30" t="inlineStr"/>
      <c r="N12" s="30" t="inlineStr"/>
      <c r="O12" s="30" t="inlineStr"/>
    </row>
  </sheetData>
  <autoFilter ref="A4:O11"/>
  <mergeCells count="2">
    <mergeCell ref="A2:N2"/>
    <mergeCell ref="A1:N1"/>
  </mergeCells>
  <pageMargins left="0.35" right="0.35" top="0.45" bottom="0.45" header="0.5" footer="0.5"/>
  <pageSetup orientation="landscape" paperSize="9" fitToHeight="0" fitToWidth="1"/>
</worksheet>
</file>

<file path=xl/worksheets/sheet3.xml><?xml version="1.0" encoding="utf-8"?>
<worksheet xmlns="http://schemas.openxmlformats.org/spreadsheetml/2006/main">
  <sheetPr>
    <tabColor rgb="00A9761F"/>
    <outlinePr summaryBelow="1" summaryRight="1"/>
    <pageSetUpPr fitToPage="1"/>
  </sheetPr>
  <dimension ref="A1:O23"/>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0" customWidth="1" min="3" max="3"/>
    <col width="8" customWidth="1" min="4" max="4"/>
    <col width="6" customWidth="1" min="5" max="5"/>
    <col width="6" customWidth="1" min="6" max="6"/>
    <col width="32" customWidth="1" min="7" max="7"/>
    <col width="54" customWidth="1" min="8" max="8"/>
    <col width="37" customWidth="1" min="9" max="9"/>
    <col width="40" customWidth="1" min="10" max="10"/>
    <col width="24" customWidth="1" min="11" max="11"/>
    <col width="12" customWidth="1" min="12" max="12"/>
    <col width="11" customWidth="1" min="13" max="13"/>
    <col width="12" customWidth="1" min="14" max="14"/>
    <col width="5" customWidth="1" min="15" max="15"/>
  </cols>
  <sheetData>
    <row r="1" ht="32" customHeight="1">
      <c r="A1" s="16" t="inlineStr">
        <is>
          <t>风险事件时间线（按日期倒序）</t>
        </is>
      </c>
    </row>
    <row r="2" ht="22" customHeight="1">
      <c r="A2" s="17" t="inlineStr">
        <is>
          <t>共 19 条：近6个月窗口内 16 条，窗口外背景 3 条（2026-02-03 / 2026-02-25 / 2026-03-27）。点击“原文链接”可直接打开来源；证据等级 A/B/C 见“07_方法与口径”。</t>
        </is>
      </c>
    </row>
    <row r="4" ht="32" customHeight="1">
      <c r="A4" s="18" t="inlineStr">
        <is>
          <t>编号</t>
        </is>
      </c>
      <c r="B4" s="18" t="inlineStr">
        <is>
          <t>发生日期</t>
        </is>
      </c>
      <c r="C4" s="18" t="inlineStr">
        <is>
          <t>供应商</t>
        </is>
      </c>
      <c r="D4" s="18" t="inlineStr">
        <is>
          <t>分类</t>
        </is>
      </c>
      <c r="E4" s="18" t="inlineStr">
        <is>
          <t>严重度</t>
        </is>
      </c>
      <c r="F4" s="18" t="inlineStr">
        <is>
          <t>方向</t>
        </is>
      </c>
      <c r="G4" s="18" t="inlineStr">
        <is>
          <t>事件标题</t>
        </is>
      </c>
      <c r="H4" s="18" t="inlineStr">
        <is>
          <t>事实摘要</t>
        </is>
      </c>
      <c r="I4" s="18" t="inlineStr">
        <is>
          <t>采购关注点</t>
        </is>
      </c>
      <c r="J4" s="18" t="inlineStr">
        <is>
          <t>待确认问题</t>
        </is>
      </c>
      <c r="K4" s="18" t="inlineStr">
        <is>
          <t>来源</t>
        </is>
      </c>
      <c r="L4" s="18" t="inlineStr">
        <is>
          <t>来源类型</t>
        </is>
      </c>
      <c r="M4" s="18" t="inlineStr">
        <is>
          <t>来源日期</t>
        </is>
      </c>
      <c r="N4" s="18" t="inlineStr">
        <is>
          <t>原文链接</t>
        </is>
      </c>
      <c r="O4" s="18" t="inlineStr">
        <is>
          <t>证据</t>
        </is>
      </c>
    </row>
    <row r="5" ht="165" customHeight="1">
      <c r="A5" s="19" t="inlineStr">
        <is>
          <t>EV-2026-001</t>
        </is>
      </c>
      <c r="B5" s="31" t="n">
        <v>46310</v>
      </c>
      <c r="C5" s="20" t="inlineStr">
        <is>
          <t>双环科技</t>
        </is>
      </c>
      <c r="D5" s="19" t="inlineStr">
        <is>
          <t>工商</t>
        </is>
      </c>
      <c r="E5" s="12" t="inlineStr">
        <is>
          <t>低</t>
        </is>
      </c>
      <c r="F5" s="19" t="inlineStr">
        <is>
          <t>中性</t>
        </is>
      </c>
      <c r="G5" s="32" t="inlineStr">
        <is>
          <t>双环科技补选董事并聘任总工程师</t>
        </is>
      </c>
      <c r="H5" s="33" t="inlineStr">
        <is>
          <t>2026 年 10 月 15 日，双环科技召开 2026 年第四次临时股东会，补选王华军为独立董事、彭威为非独立董事；同日董事会聘任陈刚应为总工程师，原独立董事马传刚辞职生效。公司称本次调整后独立董事比例不低于三分之一。</t>
        </is>
      </c>
      <c r="I5" s="33" t="inlineStr">
        <is>
          <t>属于常规治理与高管调整，不涉及控制权或股权结构变化；新任总工程师来自生产与宏宜化工体系，可能影响后续技改与检修安排，但公开信息不足以判断方向。</t>
        </is>
      </c>
      <c r="J5" s="33" t="inlineStr">
        <is>
          <t>1. 本次董事/高管调整是否伴随战略或资本运作安排？
2. 新任总工程师是否负责纯碱装置技改或检修计划？</t>
        </is>
      </c>
      <c r="K5" s="21" t="inlineStr">
        <is>
          <t>双环科技 2026 年第四次临时股东会决议公告（公告编号 2026-039）</t>
        </is>
      </c>
      <c r="L5" s="19" t="inlineStr">
        <is>
          <t>公司公告</t>
        </is>
      </c>
      <c r="M5" s="19" t="inlineStr">
        <is>
          <t>2026-10-16</t>
        </is>
      </c>
      <c r="N5" s="34" t="inlineStr">
        <is>
          <t>打开原文</t>
        </is>
      </c>
      <c r="O5" s="35" t="inlineStr">
        <is>
          <t>A</t>
        </is>
      </c>
    </row>
    <row r="6" ht="165" customHeight="1">
      <c r="A6" s="23" t="inlineStr">
        <is>
          <t>EV-2026-002</t>
        </is>
      </c>
      <c r="B6" s="36" t="n">
        <v>46308</v>
      </c>
      <c r="C6" s="24" t="inlineStr">
        <is>
          <t>金山化工</t>
        </is>
      </c>
      <c r="D6" s="23" t="inlineStr">
        <is>
          <t>经营动态</t>
        </is>
      </c>
      <c r="E6" s="11" t="inlineStr">
        <is>
          <t>中</t>
        </is>
      </c>
      <c r="F6" s="23" t="inlineStr">
        <is>
          <t>风险</t>
        </is>
      </c>
      <c r="G6" s="37" t="inlineStr">
        <is>
          <t>河南金山纯碱装置减量运行</t>
        </is>
      </c>
      <c r="H6" s="38" t="inlineStr">
        <is>
          <t>卓创资讯 2026 年 10 月 13 日指出，内蒙古博源银根化工、河南骏化装置检修，河南金山纯碱装置减量运行，叠加华东、华北部分装置持续减量或检修，纯碱厂家整体开工负荷维持偏低水平。报道未披露金山具体减量比例。</t>
        </is>
      </c>
      <c r="I6" s="38" t="inlineStr">
        <is>
          <t>金山为国内联碱大厂，减量与检修叠加会阶段性收紧区域现货；但减量原因、幅度和持续时间未公开，不能直接外推为长期供应缺口。</t>
        </is>
      </c>
      <c r="J6" s="38" t="inlineStr">
        <is>
          <t>1. 减量比例、起止时间与恢复条件？
2. 舞阳基地纯碱库存与汽运/铁运发运是否正常？
3. 是否影响已签合同的月度提货量？</t>
        </is>
      </c>
      <c r="K6" s="25" t="inlineStr">
        <is>
          <t>卓创资讯（中金在线转载）</t>
        </is>
      </c>
      <c r="L6" s="23" t="inlineStr">
        <is>
          <t>行业资讯</t>
        </is>
      </c>
      <c r="M6" s="23" t="inlineStr">
        <is>
          <t>2026-10-13</t>
        </is>
      </c>
      <c r="N6" s="39" t="inlineStr">
        <is>
          <t>打开原文</t>
        </is>
      </c>
      <c r="O6" s="40" t="inlineStr">
        <is>
          <t>C</t>
        </is>
      </c>
    </row>
    <row r="7" ht="165" customHeight="1">
      <c r="A7" s="19" t="inlineStr">
        <is>
          <t>EV-2026-003</t>
        </is>
      </c>
      <c r="B7" s="31" t="n">
        <v>46303</v>
      </c>
      <c r="C7" s="20" t="inlineStr">
        <is>
          <t>和邦生物</t>
        </is>
      </c>
      <c r="D7" s="19" t="inlineStr">
        <is>
          <t>处罚</t>
        </is>
      </c>
      <c r="E7" s="12" t="inlineStr">
        <is>
          <t>低</t>
        </is>
      </c>
      <c r="F7" s="19" t="inlineStr">
        <is>
          <t>风险</t>
        </is>
      </c>
      <c r="G7" s="32" t="inlineStr">
        <is>
          <t>乐山海关对和邦生物作出 9 万元行政处罚</t>
        </is>
      </c>
      <c r="H7" s="33" t="inlineStr">
        <is>
          <t>乐山海关行政处罚决定书（乐关缉违字〔2026〕2 号）认定：和邦生物特许权使用费和工程设计包费申报不实，影响国家税款征收，违反《海关法》第二十四条第一款，依据《海关行政处罚实施条例》第十二条构成违规，科处罚款 9 万元。成都海关网站于 2026 年 10 月 8 日公示。</t>
        </is>
      </c>
      <c r="I7" s="33" t="inlineStr">
        <is>
          <t>罚款金额不大，但属于海关申报合规事项；若公司存在进口设备、技术许可或工程包结算，可能反映内控与申报口径问题。对纯碱内贸交付的直接影响有限。</t>
        </is>
      </c>
      <c r="J7" s="33" t="inlineStr">
        <is>
          <t>1. 罚款是否已缴纳、是否完成整改？
2. 是否影响公司海关信用等级或进口设备/备件通关？
3. 是否存在同类申报问题的后续处罚？</t>
        </is>
      </c>
      <c r="K7" s="21" t="inlineStr">
        <is>
          <t>中华人民共和国乐山海关行政处罚决定书</t>
        </is>
      </c>
      <c r="L7" s="19" t="inlineStr">
        <is>
          <t>政府公示</t>
        </is>
      </c>
      <c r="M7" s="19" t="inlineStr">
        <is>
          <t>2026-10-08</t>
        </is>
      </c>
      <c r="N7" s="34" t="inlineStr">
        <is>
          <t>打开原文</t>
        </is>
      </c>
      <c r="O7" s="35" t="inlineStr">
        <is>
          <t>A</t>
        </is>
      </c>
    </row>
    <row r="8" ht="165" customHeight="1">
      <c r="A8" s="23" t="inlineStr">
        <is>
          <t>EV-2026-004</t>
        </is>
      </c>
      <c r="B8" s="36" t="n">
        <v>46303</v>
      </c>
      <c r="C8" s="24" t="inlineStr">
        <is>
          <t>博源化工</t>
        </is>
      </c>
      <c r="D8" s="23" t="inlineStr">
        <is>
          <t>经营动态</t>
        </is>
      </c>
      <c r="E8" s="11" t="inlineStr">
        <is>
          <t>中</t>
        </is>
      </c>
      <c r="F8" s="23" t="inlineStr">
        <is>
          <t>风险</t>
        </is>
      </c>
      <c r="G8" s="37" t="inlineStr">
        <is>
          <t>博源银根化工一期装置检修，预计持续至 10 月底</t>
        </is>
      </c>
      <c r="H8" s="38" t="inlineStr">
        <is>
          <t>隆众资讯 2026 年 10 月 8 日发布“内蒙古博源银根化工一期检修”；首创期货 10 月 19 日周报进一步称，银根一期设备检修预计持续到 10 月底，同期河南金山清洗设备、江苏连云港德邦负荷提升。9 月行业检修损失量较大，10 月检修装置逐步复产。</t>
        </is>
      </c>
      <c r="I8" s="38" t="inlineStr">
        <is>
          <t>银根是博源天然碱主力生产基地，一期检修会阶段性影响产量与发运节奏；公司未公告具体损失量，检修是否按期结束仍需核实。</t>
        </is>
      </c>
      <c r="J8" s="38" t="inlineStr">
        <is>
          <t>1. 检修是否按计划在 10 月底结束？复产负荷爬坡需要多久？
2. 10—11 月对华北/华东的合同发运是否延迟？
3. 是否有库存可覆盖检修期的已签订单？</t>
        </is>
      </c>
      <c r="K8" s="25" t="inlineStr">
        <is>
          <t>隆众资讯 + 首创期货周报</t>
        </is>
      </c>
      <c r="L8" s="23" t="inlineStr">
        <is>
          <t>行业资讯 / 期货研究</t>
        </is>
      </c>
      <c r="M8" s="23" t="inlineStr">
        <is>
          <t>2026-10-19</t>
        </is>
      </c>
      <c r="N8" s="39" t="inlineStr">
        <is>
          <t>打开原文</t>
        </is>
      </c>
      <c r="O8" s="40" t="inlineStr">
        <is>
          <t>C</t>
        </is>
      </c>
    </row>
    <row r="9" ht="165" customHeight="1">
      <c r="A9" s="19" t="inlineStr">
        <is>
          <t>EV-2026-005</t>
        </is>
      </c>
      <c r="B9" s="31" t="n">
        <v>46294</v>
      </c>
      <c r="C9" s="20" t="inlineStr">
        <is>
          <t>金山化工</t>
        </is>
      </c>
      <c r="D9" s="19" t="inlineStr">
        <is>
          <t>经营动态</t>
        </is>
      </c>
      <c r="E9" s="12" t="inlineStr">
        <is>
          <t>低</t>
        </is>
      </c>
      <c r="F9" s="19" t="inlineStr">
        <is>
          <t>风险</t>
        </is>
      </c>
      <c r="G9" s="32" t="inlineStr">
        <is>
          <t>隆众资讯：河南金山预期检修</t>
        </is>
      </c>
      <c r="H9" s="33" t="inlineStr">
        <is>
          <t>隆众资讯 2026 年 9 月 29 日发布“河南金山预期检修”，提示企业后续存在检修计划；报道未披露具体装置、产能与时间窗口。10 月 13 日卓创资讯进一步显示金山纯碱装置处于减量运行。</t>
        </is>
      </c>
      <c r="I9" s="33" t="inlineStr">
        <is>
          <t>预期检修与减量相互印证，说明 10 月金山供应处于收缩状态；但缺乏企业正式函件，检修范围与持续时间不确定。</t>
        </is>
      </c>
      <c r="J9" s="33" t="inlineStr">
        <is>
          <t>1. 检修涉及哪套装置、是否包含纯碱主线？
2. 计划检修天数与复产时间？
3. 是否与二厂 5 月检修属于同一轮计划？</t>
        </is>
      </c>
      <c r="K9" s="21" t="inlineStr">
        <is>
          <t>隆众资讯</t>
        </is>
      </c>
      <c r="L9" s="19" t="inlineStr">
        <is>
          <t>行业资讯</t>
        </is>
      </c>
      <c r="M9" s="19" t="inlineStr">
        <is>
          <t>2026-09-29</t>
        </is>
      </c>
      <c r="N9" s="34" t="inlineStr">
        <is>
          <t>打开原文</t>
        </is>
      </c>
      <c r="O9" s="35" t="inlineStr">
        <is>
          <t>C</t>
        </is>
      </c>
    </row>
    <row r="10" ht="165" customHeight="1">
      <c r="A10" s="23" t="inlineStr">
        <is>
          <t>EV-2026-006</t>
        </is>
      </c>
      <c r="B10" s="36" t="n">
        <v>46283</v>
      </c>
      <c r="C10" s="24" t="inlineStr">
        <is>
          <t>中盐化工</t>
        </is>
      </c>
      <c r="D10" s="23" t="inlineStr">
        <is>
          <t>经营动态</t>
        </is>
      </c>
      <c r="E10" s="12" t="inlineStr">
        <is>
          <t>低</t>
        </is>
      </c>
      <c r="F10" s="23" t="inlineStr">
        <is>
          <t>正向</t>
        </is>
      </c>
      <c r="G10" s="37" t="inlineStr">
        <is>
          <t>中盐化工 500 万吨/年天然碱项目按计划推进</t>
        </is>
      </c>
      <c r="H10" s="38" t="inlineStr">
        <is>
          <t>中盐化工 2026 年 9 月 18 日在投资者互动平台表示，公司 500 万吨/年天然碱矿产资源综合开发项目正按计划有序推进；9 月 30 日中盐集团电子采购平台发布该项目溶采试验探采井钻井施工招标公告，9 月 7 日发布采矿区及加工区临时用电工程设计招标。</t>
        </is>
      </c>
      <c r="I10" s="38" t="inlineStr">
        <is>
          <t>项目属长期产能扩张，若按期投产将改变公司成本曲线与行业供给格局；短期不改变现有装置交付能力，但可作为供应商中长期竞争力的正面信号。</t>
        </is>
      </c>
      <c r="J10" s="38" t="inlineStr">
        <is>
          <t>1. 项目投产时间表与资本开支节奏？
2. 是否会影响现有氨碱装置的维护与排产？
3. 产品定位（重碱/轻碱/光伏玻璃）与目标市场？</t>
        </is>
      </c>
      <c r="K10" s="25" t="inlineStr">
        <is>
          <t>同花顺财经 / 中盐集团电子采购平台</t>
        </is>
      </c>
      <c r="L10" s="23" t="inlineStr">
        <is>
          <t>互动平台 / 招标公告</t>
        </is>
      </c>
      <c r="M10" s="23" t="inlineStr">
        <is>
          <t>2026-09-18</t>
        </is>
      </c>
      <c r="N10" s="39" t="inlineStr">
        <is>
          <t>打开原文</t>
        </is>
      </c>
      <c r="O10" s="40" t="inlineStr">
        <is>
          <t>B</t>
        </is>
      </c>
    </row>
    <row r="11" ht="165" customHeight="1">
      <c r="A11" s="19" t="inlineStr">
        <is>
          <t>EV-2026-007</t>
        </is>
      </c>
      <c r="B11" s="31" t="n">
        <v>46269</v>
      </c>
      <c r="C11" s="20" t="inlineStr">
        <is>
          <t>中盐化工</t>
        </is>
      </c>
      <c r="D11" s="19" t="inlineStr">
        <is>
          <t>司法</t>
        </is>
      </c>
      <c r="E11" s="11" t="inlineStr">
        <is>
          <t>中</t>
        </is>
      </c>
      <c r="F11" s="19" t="inlineStr">
        <is>
          <t>风险</t>
        </is>
      </c>
      <c r="G11" s="32" t="inlineStr">
        <is>
          <t>中盐化工因 4.41 亿元关联交易未及时披露被监管谈话</t>
        </is>
      </c>
      <c r="H11" s="33" t="inlineStr">
        <is>
          <t>内蒙古证监局认定：2026 年 1 月 1 日至 4 月 27 日，中盐化工与中国盐业集团物资分公司、昆山宝盐气体、昆山市热能等关联人发生关联交易合计约 4.41 亿元，未及时履行审议程序与信息披露义务，迟至 7 月 23 日董事会才审议通过。9 月 3 日决定对公司及董事长周杰、总经理王广斌、董秘兼总会计师陈云泉采取监管谈话措施，并记入证券期货市场诚信档案；公司 9 月 4 日公告。上交所另出具监管警示（上证公监函〔2026〕0151 号）。</t>
        </is>
      </c>
      <c r="I11" s="33" t="inlineStr">
        <is>
          <t>属于公司治理与信息披露瑕疵，不直接等同于交付风险；但关联交易规模较大、整改发生在半年报披露前，结合上半年亏损，需关注其内控、关联方依赖与融资环境。</t>
        </is>
      </c>
      <c r="J11" s="33" t="inlineStr">
        <is>
          <t>1. 关联交易整改措施与后续披露安排？
2. 关联采购占原材料/能源采购的比重是多少？
3. 监管措施是否影响银行授信、债券发行或客户准入？</t>
        </is>
      </c>
      <c r="K11" s="21" t="inlineStr">
        <is>
          <t>每日经济新闻 / 内蒙古证监局 / 上交所</t>
        </is>
      </c>
      <c r="L11" s="19" t="inlineStr">
        <is>
          <t>监管公开 + 主流财经媒体</t>
        </is>
      </c>
      <c r="M11" s="19" t="inlineStr">
        <is>
          <t>2026-09-04</t>
        </is>
      </c>
      <c r="N11" s="34" t="inlineStr">
        <is>
          <t>打开原文</t>
        </is>
      </c>
      <c r="O11" s="35" t="inlineStr">
        <is>
          <t>A</t>
        </is>
      </c>
    </row>
    <row r="12" ht="165" customHeight="1">
      <c r="A12" s="23" t="inlineStr">
        <is>
          <t>EV-2026-008</t>
        </is>
      </c>
      <c r="B12" s="36" t="n">
        <v>46269</v>
      </c>
      <c r="C12" s="24" t="inlineStr">
        <is>
          <t>三友化工</t>
        </is>
      </c>
      <c r="D12" s="23" t="inlineStr">
        <is>
          <t>经营动态</t>
        </is>
      </c>
      <c r="E12" s="12" t="inlineStr">
        <is>
          <t>低</t>
        </is>
      </c>
      <c r="F12" s="23" t="inlineStr">
        <is>
          <t>中性</t>
        </is>
      </c>
      <c r="G12" s="37" t="inlineStr">
        <is>
          <t>三友化工：青海五彩碱业检修 3—5 天，预计影响纯碱产量 2—3 万吨</t>
        </is>
      </c>
      <c r="H12" s="38" t="inlineStr">
        <is>
          <t>三友化工 2026 年 9 月 4 日在互动平台表示：控股子公司青海五彩碱业正在检修，检修时间 3—5 天；氯碱公司计划 10 月检修；本部纯碱分公司暂无检修计划。以上检修预计影响公司纯碱产量 2—3 万吨。</t>
        </is>
      </c>
      <c r="I12" s="38" t="inlineStr">
        <is>
          <t>属计划内检修，量级约占公司纯碱年产能的 0.6%—0.9%，对整体交付影响有限；可作为 10 月排产与发运的沟通节点。</t>
        </is>
      </c>
      <c r="J12" s="38" t="inlineStr">
        <is>
          <t>1. 青海五彩检修是否已完成、当前负荷如何？
2. 10 月氯碱检修是否影响蒸汽/电力联产进而波及纯碱？
3. 2—3 万吨损失是否已通过库存或超产弥补？</t>
        </is>
      </c>
      <c r="K12" s="25" t="inlineStr">
        <is>
          <t>界面新闻</t>
        </is>
      </c>
      <c r="L12" s="23" t="inlineStr">
        <is>
          <t>主流财经媒体</t>
        </is>
      </c>
      <c r="M12" s="23" t="inlineStr">
        <is>
          <t>2026-09-04</t>
        </is>
      </c>
      <c r="N12" s="39" t="inlineStr">
        <is>
          <t>打开原文</t>
        </is>
      </c>
      <c r="O12" s="40" t="inlineStr">
        <is>
          <t>B</t>
        </is>
      </c>
    </row>
    <row r="13" ht="165" customHeight="1">
      <c r="A13" s="19" t="inlineStr">
        <is>
          <t>EV-2026-009</t>
        </is>
      </c>
      <c r="B13" s="31" t="n">
        <v>46260</v>
      </c>
      <c r="C13" s="20" t="inlineStr">
        <is>
          <t>三友化工</t>
        </is>
      </c>
      <c r="D13" s="19" t="inlineStr">
        <is>
          <t>经营动态</t>
        </is>
      </c>
      <c r="E13" s="12" t="inlineStr">
        <is>
          <t>低</t>
        </is>
      </c>
      <c r="F13" s="19" t="inlineStr">
        <is>
          <t>正向</t>
        </is>
      </c>
      <c r="G13" s="32" t="inlineStr">
        <is>
          <t>三友化工上半年净利 1.68 亿元，同比 +129.15%</t>
        </is>
      </c>
      <c r="H13" s="33" t="inlineStr">
        <is>
          <t>三友化工 2026 年半年度报告显示：上半年营业收入 98.02 亿元，同比 +2.51%；归属于上市公司股东的净利润 1.68 亿元，同比 +129.15%。公司纯碱产能 340 万吨/年，是国内最大氨碱企业。</t>
        </is>
      </c>
      <c r="I13" s="33" t="inlineStr">
        <is>
          <t>盈利同比修复，履约与持续经营能力稳定；但纯碱价格仍处低位，利润改善幅度需结合粘胶、氯碱等板块拆分理解。</t>
        </is>
      </c>
      <c r="J13" s="33" t="inlineStr">
        <is>
          <t>1. 纯碱板块单独毛利率与现金流？
2. 下半年检修与资本开支计划？</t>
        </is>
      </c>
      <c r="K13" s="21" t="inlineStr">
        <is>
          <t>三友化工 2026 年半年度报告</t>
        </is>
      </c>
      <c r="L13" s="19" t="inlineStr">
        <is>
          <t>公司公告</t>
        </is>
      </c>
      <c r="M13" s="19" t="inlineStr">
        <is>
          <t>2026-08-26</t>
        </is>
      </c>
      <c r="N13" s="34" t="inlineStr">
        <is>
          <t>打开原文</t>
        </is>
      </c>
      <c r="O13" s="35" t="inlineStr">
        <is>
          <t>A</t>
        </is>
      </c>
    </row>
    <row r="14" ht="165" customHeight="1">
      <c r="A14" s="23" t="inlineStr">
        <is>
          <t>EV-2026-010</t>
        </is>
      </c>
      <c r="B14" s="36" t="n">
        <v>46258</v>
      </c>
      <c r="C14" s="24" t="inlineStr">
        <is>
          <t>山东海化</t>
        </is>
      </c>
      <c r="D14" s="23" t="inlineStr">
        <is>
          <t>经营动态</t>
        </is>
      </c>
      <c r="E14" s="11" t="inlineStr">
        <is>
          <t>中</t>
        </is>
      </c>
      <c r="F14" s="23" t="inlineStr">
        <is>
          <t>风险</t>
        </is>
      </c>
      <c r="G14" s="37" t="inlineStr">
        <is>
          <t>山东海化上半年净亏 2.81 亿元，经营现金流 -10.07 亿元</t>
        </is>
      </c>
      <c r="H14" s="38" t="inlineStr">
        <is>
          <t>山东海化 2026 年半年报显示：营业收入 21.28 亿元，同比 -0.44%；归母净利润 -2.81 亿元，上年同期 -2.58 亿元，亏损扩大；经营活动现金流净额 -10.07 亿元，同比 -390.8%，主要系银行承兑汇票到期托收减少及办理全额保证金银行承兑汇票。纯碱收入 13.93 亿元，同比 +2.17%，占营收 65.44%。</t>
        </is>
      </c>
      <c r="I14" s="38" t="inlineStr">
        <is>
          <t>连续亏损叠加经营现金流大幅流出，可能影响技改投入、检修节奏、账期与预付款政策；不等于断供，但需要把付款条件与履约保障前置确认。</t>
        </is>
      </c>
      <c r="J14" s="38" t="inlineStr">
        <is>
          <t>1. 现金流为负的具体构成与改善计划？
2. 是否调整对下游客户的账期或要求预付款？
3. 48.37 亿元技改期间，老装置产量与检修如何安排？</t>
        </is>
      </c>
      <c r="K14" s="25" t="inlineStr">
        <is>
          <t>山东海化 2026 年半年度报告 / 腾讯新闻</t>
        </is>
      </c>
      <c r="L14" s="23" t="inlineStr">
        <is>
          <t>公司公告 + 媒体</t>
        </is>
      </c>
      <c r="M14" s="23" t="inlineStr">
        <is>
          <t>2026-08-24</t>
        </is>
      </c>
      <c r="N14" s="39" t="inlineStr">
        <is>
          <t>打开原文</t>
        </is>
      </c>
      <c r="O14" s="40" t="inlineStr">
        <is>
          <t>B</t>
        </is>
      </c>
    </row>
    <row r="15" ht="165" customHeight="1">
      <c r="A15" s="19" t="inlineStr">
        <is>
          <t>EV-2026-011</t>
        </is>
      </c>
      <c r="B15" s="31" t="n">
        <v>46258</v>
      </c>
      <c r="C15" s="20" t="inlineStr">
        <is>
          <t>双环科技</t>
        </is>
      </c>
      <c r="D15" s="19" t="inlineStr">
        <is>
          <t>经营动态</t>
        </is>
      </c>
      <c r="E15" s="11" t="inlineStr">
        <is>
          <t>中</t>
        </is>
      </c>
      <c r="F15" s="19" t="inlineStr">
        <is>
          <t>风险</t>
        </is>
      </c>
      <c r="G15" s="32" t="inlineStr">
        <is>
          <t>双环科技上半年由盈转亏，净亏 7464 万元，毛利率降至 4.93%</t>
        </is>
      </c>
      <c r="H15" s="33" t="inlineStr">
        <is>
          <t>双环科技 2026 年半年报显示：营业收入 9.87 亿元，同比 -9.9%；归母净利润 -7464 万元，同比由盈转亏；综合毛利率 4.93%，同比下降 14.61 个百分点。公司称上半年国内纯碱新增产能 370 万吨，轻碱/重碱均价同比跌幅均超 13%，联碱产品毛利率大幅下滑。</t>
        </is>
      </c>
      <c r="I15" s="33" t="inlineStr">
        <is>
          <t>单一联碱业务、盈利极薄，在行业低谷中抗风险能力偏弱；需关注其是否减产保价、现金流是否紧张，以及对客户账期与发货节奏的调整。</t>
        </is>
      </c>
      <c r="J15" s="33" t="inlineStr">
        <is>
          <t>1. 是否制定减产或检修计划以应对亏损？
2. 氯化铵价格与出口能否对冲纯碱亏损？
3. 现金流与授信额度是否足以覆盖下半年资本开支？</t>
        </is>
      </c>
      <c r="K15" s="21" t="inlineStr">
        <is>
          <t>双环科技 2026 年半年度报告 / 经济观察网</t>
        </is>
      </c>
      <c r="L15" s="19" t="inlineStr">
        <is>
          <t>公司公告 + 媒体</t>
        </is>
      </c>
      <c r="M15" s="19" t="inlineStr">
        <is>
          <t>2026-08-24</t>
        </is>
      </c>
      <c r="N15" s="34" t="inlineStr">
        <is>
          <t>打开原文</t>
        </is>
      </c>
      <c r="O15" s="35" t="inlineStr">
        <is>
          <t>B</t>
        </is>
      </c>
    </row>
    <row r="16" ht="165" customHeight="1">
      <c r="A16" s="23" t="inlineStr">
        <is>
          <t>EV-2026-012</t>
        </is>
      </c>
      <c r="B16" s="36" t="n">
        <v>46251</v>
      </c>
      <c r="C16" s="24" t="inlineStr">
        <is>
          <t>和邦生物</t>
        </is>
      </c>
      <c r="D16" s="23" t="inlineStr">
        <is>
          <t>经营动态</t>
        </is>
      </c>
      <c r="E16" s="12" t="inlineStr">
        <is>
          <t>低</t>
        </is>
      </c>
      <c r="F16" s="23" t="inlineStr">
        <is>
          <t>正向</t>
        </is>
      </c>
      <c r="G16" s="37" t="inlineStr">
        <is>
          <t>和邦生物上半年净利 3.8 亿元，同比 +634.3%</t>
        </is>
      </c>
      <c r="H16" s="38" t="inlineStr">
        <is>
          <t>和邦生物 2026 年半年报显示：营业收入 28.88 亿元，同比 -26.34%；归母净利润 3.8 亿元，同比 +634.3%。公司称业绩增长主要系双甘膦、草甘膦、蛋氨酸市场价格上涨；纯碱/氯化铵板块未单独披露利润。</t>
        </is>
      </c>
      <c r="I16" s="38" t="inlineStr">
        <is>
          <t>整体盈利与现金流改善，有利于履约；但利润来源并非纯碱，纯碱板块仍处行业低谷，不能把公司整体盈利直接等同于纯碱供应稳定性。</t>
        </is>
      </c>
      <c r="J16" s="38" t="inlineStr">
        <is>
          <t>1. 纯碱/氯化铵板块的收入、毛利与现金流？
2. 蛋氨酸/草甘膦景气回落时，纯碱业务是否会被削减资本开支？</t>
        </is>
      </c>
      <c r="K16" s="25" t="inlineStr">
        <is>
          <t>每日经济新闻</t>
        </is>
      </c>
      <c r="L16" s="23" t="inlineStr">
        <is>
          <t>主流财经媒体</t>
        </is>
      </c>
      <c r="M16" s="23" t="inlineStr">
        <is>
          <t>2026-08-17</t>
        </is>
      </c>
      <c r="N16" s="39" t="inlineStr">
        <is>
          <t>打开原文</t>
        </is>
      </c>
      <c r="O16" s="40" t="inlineStr">
        <is>
          <t>B</t>
        </is>
      </c>
    </row>
    <row r="17" ht="165" customHeight="1">
      <c r="A17" s="19" t="inlineStr">
        <is>
          <t>EV-2026-013</t>
        </is>
      </c>
      <c r="B17" s="31" t="n">
        <v>46233</v>
      </c>
      <c r="C17" s="20" t="inlineStr">
        <is>
          <t>博源化工</t>
        </is>
      </c>
      <c r="D17" s="19" t="inlineStr">
        <is>
          <t>经营动态</t>
        </is>
      </c>
      <c r="E17" s="12" t="inlineStr">
        <is>
          <t>低</t>
        </is>
      </c>
      <c r="F17" s="19" t="inlineStr">
        <is>
          <t>正向</t>
        </is>
      </c>
      <c r="G17" s="32" t="inlineStr">
        <is>
          <t>博源化工上半年净利 8.34 亿元，同比 +12.27%</t>
        </is>
      </c>
      <c r="H17" s="33" t="inlineStr">
        <is>
          <t>博源化工 2026 年半年度报告显示：营业收入 60.31 亿元，同比 +1.94%；归母净利润 8.34 亿元，同比 +12.27%。公司纯碱业务“以量补价”，上半年纯碱产量增加、销量与出口创历史同期新高，但纯碱价格同比下降。</t>
        </is>
      </c>
      <c r="I17" s="33" t="inlineStr">
        <is>
          <t>在行业普遍亏损的背景下保持盈利与正增长，履约能力较强；但利润增长依赖销量扩张，价格下行时需关注其边际成本与检修决策。</t>
        </is>
      </c>
      <c r="J17" s="33" t="inlineStr">
        <is>
          <t>1. 纯碱单位成本与现金成本曲线？
2. 二期 280 万吨装置的负荷与达产进度？
3. 价格继续下行时是否有减产/检修预案？</t>
        </is>
      </c>
      <c r="K17" s="21" t="inlineStr">
        <is>
          <t>财联社</t>
        </is>
      </c>
      <c r="L17" s="19" t="inlineStr">
        <is>
          <t>主流财经媒体</t>
        </is>
      </c>
      <c r="M17" s="19" t="inlineStr">
        <is>
          <t>2026-07-30</t>
        </is>
      </c>
      <c r="N17" s="34" t="inlineStr">
        <is>
          <t>打开原文</t>
        </is>
      </c>
      <c r="O17" s="35" t="inlineStr">
        <is>
          <t>B</t>
        </is>
      </c>
    </row>
    <row r="18" ht="165" customHeight="1">
      <c r="A18" s="23" t="inlineStr">
        <is>
          <t>EV-2026-014</t>
        </is>
      </c>
      <c r="B18" s="36" t="n">
        <v>46197</v>
      </c>
      <c r="C18" s="24" t="inlineStr">
        <is>
          <t>中盐化工</t>
        </is>
      </c>
      <c r="D18" s="23" t="inlineStr">
        <is>
          <t>安全环保</t>
        </is>
      </c>
      <c r="E18" s="9" t="inlineStr">
        <is>
          <t>高</t>
        </is>
      </c>
      <c r="F18" s="23" t="inlineStr">
        <is>
          <t>风险</t>
        </is>
      </c>
      <c r="G18" s="37" t="inlineStr">
        <is>
          <t>中盐昆山 60 万吨/年纯碱装置仍处停产状态</t>
        </is>
      </c>
      <c r="H18" s="38" t="inlineStr">
        <is>
          <t>中盐化工 2026 年 6 月 24 日在投资者互动平台披露：公司纯碱总产能 390 万吨/年，其中中盐昆山 60 万吨/年联碱装置目前处于停产状态，其余纯碱装置满负荷运行。此前公告（2026-011）显示，中盐昆山因《安全生产许可证》到期，收到昆山市应急管理局《现场处理措施决定书》（苏苏昆）应急现决〔2026〕22-（1）号，自 2026 年 3 月 27 日起暂时停产。半年报称中盐昆山因停产增亏。</t>
        </is>
      </c>
      <c r="I18" s="38" t="inlineStr">
        <is>
          <t>许可证到期属合规性停产，已持续约 3 个月，涉及 60 万吨/年纯碱产能；若采购依赖昆山基地或华东区域，需确认替代基地、库存与复产时间。该事件是“安全环保”类中唯一高优先级事项，但性质是证照合规而非事故。</t>
        </is>
      </c>
      <c r="J18" s="38" t="inlineStr">
        <is>
          <t>1. 安全生产许可证换证进度与预计复产时间？
2. 停产期间是否可由内蒙古/青海基地转供？
3. 已签合同的交货基地、运费与交期如何调整？
4. 停产是否触发合同中的不可抗力/免责条款？</t>
        </is>
      </c>
      <c r="K18" s="25" t="inlineStr">
        <is>
          <t>ChemNet 化工头条 / 中盐化工公告 2026-011</t>
        </is>
      </c>
      <c r="L18" s="23" t="inlineStr">
        <is>
          <t>行业媒体 + 公司公告</t>
        </is>
      </c>
      <c r="M18" s="23" t="inlineStr">
        <is>
          <t>2026-06-24</t>
        </is>
      </c>
      <c r="N18" s="39" t="inlineStr">
        <is>
          <t>打开原文</t>
        </is>
      </c>
      <c r="O18" s="40" t="inlineStr">
        <is>
          <t>A</t>
        </is>
      </c>
    </row>
    <row r="19" ht="165" customHeight="1">
      <c r="A19" s="19" t="inlineStr">
        <is>
          <t>EV-2026-015</t>
        </is>
      </c>
      <c r="B19" s="31" t="n">
        <v>46168</v>
      </c>
      <c r="C19" s="20" t="inlineStr">
        <is>
          <t>金山化工</t>
        </is>
      </c>
      <c r="D19" s="19" t="inlineStr">
        <is>
          <t>经营动态</t>
        </is>
      </c>
      <c r="E19" s="12" t="inlineStr">
        <is>
          <t>低</t>
        </is>
      </c>
      <c r="F19" s="19" t="inlineStr">
        <is>
          <t>风险</t>
        </is>
      </c>
      <c r="G19" s="32" t="inlineStr">
        <is>
          <t>隆众资讯：河南金山二厂计划检修</t>
        </is>
      </c>
      <c r="H19" s="33" t="inlineStr">
        <is>
          <t>隆众资讯 2026 年 5 月 26 日发布“河南金山二厂计划检修”，提示金山二厂后续检修安排；报道未披露具体产能与检修天数。该事项与 9 月“预期检修”、10 月“减量运行”共同构成金山 5—10 月的供应收缩序列。</t>
        </is>
      </c>
      <c r="I19" s="33" t="inlineStr">
        <is>
          <t>单次计划检修影响有限，但多次检修/减量叠加，说明装置运行稳定性或成本压力值得关注；非上市企业缺乏公告，需以厂家书面计划为准。</t>
        </is>
      </c>
      <c r="J19" s="33" t="inlineStr">
        <is>
          <t>1. 二厂检修是否已完成？涉及纯碱还是其他产品？
2. 5—10 月累计检修损失量是多少？
3. 是否存在装置老化或成本倒挂导致的长期降负荷？</t>
        </is>
      </c>
      <c r="K19" s="21" t="inlineStr">
        <is>
          <t>隆众资讯</t>
        </is>
      </c>
      <c r="L19" s="19" t="inlineStr">
        <is>
          <t>行业资讯</t>
        </is>
      </c>
      <c r="M19" s="19" t="inlineStr">
        <is>
          <t>2026-05-26</t>
        </is>
      </c>
      <c r="N19" s="34" t="inlineStr">
        <is>
          <t>打开原文</t>
        </is>
      </c>
      <c r="O19" s="35" t="inlineStr">
        <is>
          <t>C</t>
        </is>
      </c>
    </row>
    <row r="20" ht="165" customHeight="1">
      <c r="A20" s="23" t="inlineStr">
        <is>
          <t>EV-2026-016</t>
        </is>
      </c>
      <c r="B20" s="36" t="n">
        <v>46161</v>
      </c>
      <c r="C20" s="24" t="inlineStr">
        <is>
          <t>博源化工</t>
        </is>
      </c>
      <c r="D20" s="23" t="inlineStr">
        <is>
          <t>经营动态</t>
        </is>
      </c>
      <c r="E20" s="12" t="inlineStr">
        <is>
          <t>低</t>
        </is>
      </c>
      <c r="F20" s="23" t="inlineStr">
        <is>
          <t>正向</t>
        </is>
      </c>
      <c r="G20" s="37" t="inlineStr">
        <is>
          <t>博源化工 120 万吨/年小苏打项目投料试车</t>
        </is>
      </c>
      <c r="H20" s="38" t="inlineStr">
        <is>
          <t>博源化工 2026 年 5 月 19 日公告：控股子公司银根矿业之全资子公司银根化工，依托塔木素天然碱项目生产过程中产生的二氧化碳气体及含碱母液，结合风电、光伏等绿电，规划建设的碳回收综合利用 120 万吨/年小苏打项目已投料试车并产出产品。塔木素项目规划纯碱 780 万吨/年、小苏打 80 万吨/年。</t>
        </is>
      </c>
      <c r="I20" s="38" t="inlineStr">
        <is>
          <t>项目投产提升资源综合利用率与小苏打供给，属于正向经营变化；对纯碱主品的直接影响有限，但反映银根基地的持续扩张与运营能力。</t>
        </is>
      </c>
      <c r="J20" s="38" t="inlineStr">
        <is>
          <t>1. 小苏打项目达产时间与负荷？
2. 是否与纯碱装置争用母液/二氧化碳，影响纯碱产量？</t>
        </is>
      </c>
      <c r="K20" s="25" t="inlineStr">
        <is>
          <t>博源化工公告（2026-037）</t>
        </is>
      </c>
      <c r="L20" s="23" t="inlineStr">
        <is>
          <t>公司公告</t>
        </is>
      </c>
      <c r="M20" s="23" t="inlineStr">
        <is>
          <t>2026-05-19</t>
        </is>
      </c>
      <c r="N20" s="39" t="inlineStr">
        <is>
          <t>打开原文</t>
        </is>
      </c>
      <c r="O20" s="40" t="inlineStr">
        <is>
          <t>A</t>
        </is>
      </c>
    </row>
    <row r="21" ht="165" customHeight="1">
      <c r="A21" s="19" t="inlineStr">
        <is>
          <t>EV-2026-017</t>
        </is>
      </c>
      <c r="B21" s="31" t="n">
        <v>46108</v>
      </c>
      <c r="C21" s="20" t="inlineStr">
        <is>
          <t>中盐化工</t>
        </is>
      </c>
      <c r="D21" s="19" t="inlineStr">
        <is>
          <t>安全环保</t>
        </is>
      </c>
      <c r="E21" s="9" t="inlineStr">
        <is>
          <t>高</t>
        </is>
      </c>
      <c r="F21" s="19" t="inlineStr">
        <is>
          <t>风险</t>
        </is>
      </c>
      <c r="G21" s="32" t="inlineStr">
        <is>
          <t>中盐昆山因安全生产许可证到期自 3 月 27 日起停产</t>
        </is>
      </c>
      <c r="H21" s="33" t="inlineStr">
        <is>
          <t>中盐化工 2026 年 3 月 31 日公告：全资子公司中盐昆山按年度计划自 3 月 22 日起停产检修；3 月 27 日因《安全生产许可证》到期，收到昆山市应急管理局《现场处理措施决定书》，通知自 3 月 27 日起暂时停产。中盐昆山主要产品为纯碱、氯化铵，当时处于亏损状态。</t>
        </is>
      </c>
      <c r="I21" s="33" t="inlineStr">
        <is>
          <t>这是 6 个月窗口起点之前约 3 周发生的合规停产，但影响延续至窗口内（6 月 24 日仍停产），因此在 1 年视图中作为背景事项呈现；采购应把它与窗口内的“仍停产”信息连起来看。</t>
        </is>
      </c>
      <c r="J21" s="33" t="inlineStr">
        <is>
          <t>1. 许可证到期前是否有预警与换证排期？
2. 停产是否影响昆山基地的氯化铵、复合肥客户？
3. 复产是否需要重新进行安全现状评价？</t>
        </is>
      </c>
      <c r="K21" s="21" t="inlineStr">
        <is>
          <t>中盐化工公告（2026-011）</t>
        </is>
      </c>
      <c r="L21" s="19" t="inlineStr">
        <is>
          <t>公司公告</t>
        </is>
      </c>
      <c r="M21" s="19" t="inlineStr">
        <is>
          <t>2026-04-01</t>
        </is>
      </c>
      <c r="N21" s="34" t="inlineStr">
        <is>
          <t>打开原文</t>
        </is>
      </c>
      <c r="O21" s="35" t="inlineStr">
        <is>
          <t>A</t>
        </is>
      </c>
    </row>
    <row r="22" ht="165" customHeight="1">
      <c r="A22" s="23" t="inlineStr">
        <is>
          <t>EV-2026-018</t>
        </is>
      </c>
      <c r="B22" s="36" t="n">
        <v>46078</v>
      </c>
      <c r="C22" s="24" t="inlineStr">
        <is>
          <t>山东海化</t>
        </is>
      </c>
      <c r="D22" s="23" t="inlineStr">
        <is>
          <t>经营动态</t>
        </is>
      </c>
      <c r="E22" s="12" t="inlineStr">
        <is>
          <t>低</t>
        </is>
      </c>
      <c r="F22" s="23" t="inlineStr">
        <is>
          <t>正向</t>
        </is>
      </c>
      <c r="G22" s="37" t="inlineStr">
        <is>
          <t>山东海化 48.37 亿元纯碱装置提质增效改造工程</t>
        </is>
      </c>
      <c r="H22" s="38" t="inlineStr">
        <is>
          <t>山东海化 2026 年 2 月 25 日公告，拟投资实施基于资源和能源综合利用的纯碱装置提质增效节能环保改造工程，投资额 48.37 亿元；建成后将形成 300 万吨高端纯碱产能，能耗指标下降约 15%、污染物排放下降约 20%。项目采用分步实施方式。</t>
        </is>
      </c>
      <c r="I22" s="38" t="inlineStr">
        <is>
          <t>长期提升装置竞争力与排放水平，属正向项目变化；但技改期间可能涉及产线停检与产量损失，需与 2026—2027 年供货计划衔接。</t>
        </is>
      </c>
      <c r="J22" s="38" t="inlineStr">
        <is>
          <t>1. 技改分几步、每步涉及哪些装置与停检时间？
2. 技改期间纯碱产量损失与替代安排？
3. 300 万吨高端纯碱的目标市场与客户结构？</t>
        </is>
      </c>
      <c r="K22" s="25" t="inlineStr">
        <is>
          <t>山东海化公告 / 东方财富 PDF</t>
        </is>
      </c>
      <c r="L22" s="23" t="inlineStr">
        <is>
          <t>公司公告</t>
        </is>
      </c>
      <c r="M22" s="23" t="inlineStr">
        <is>
          <t>2026-02-26</t>
        </is>
      </c>
      <c r="N22" s="39" t="inlineStr">
        <is>
          <t>打开原文</t>
        </is>
      </c>
      <c r="O22" s="40" t="inlineStr">
        <is>
          <t>A</t>
        </is>
      </c>
    </row>
    <row r="23" ht="165" customHeight="1">
      <c r="A23" s="19" t="inlineStr">
        <is>
          <t>EV-2026-019</t>
        </is>
      </c>
      <c r="B23" s="31" t="n">
        <v>46056</v>
      </c>
      <c r="C23" s="20" t="inlineStr">
        <is>
          <t>博源化工</t>
        </is>
      </c>
      <c r="D23" s="19" t="inlineStr">
        <is>
          <t>司法</t>
        </is>
      </c>
      <c r="E23" s="11" t="inlineStr">
        <is>
          <t>中</t>
        </is>
      </c>
      <c r="F23" s="19" t="inlineStr">
        <is>
          <t>风险</t>
        </is>
      </c>
      <c r="G23" s="32" t="inlineStr">
        <is>
          <t>博源化工与中煤能源探矿权仲裁达成和解，以 34% 股权未分配利润抵顶 18.89 亿元</t>
        </is>
      </c>
      <c r="H23" s="33" t="inlineStr">
        <is>
          <t>博源化工 2026 年 2 月 3 日公告：就蒙大矿业增资扩股协议纠纷，与中国中煤能源、乌审旗蒙大矿业达成和解并签订和解协议。此前贸仲裁决公司及上海证大向蒙大矿业支付探矿权价款差额 18.89 亿元及相关费用；公司以其持有的蒙大矿业 34% 股权对应的未分配利润抵顶，并在和解协议生效后 10 日内一次性支付中煤能源 1247.1 万元。</t>
        </is>
      </c>
      <c r="I23" s="33" t="inlineStr">
        <is>
          <t>重大仲裁落地、消除不确定性，属正向进展；但 18.89 亿元权益抵顶与现金支付安排可能影响公司资金调度。该事项发生在 6 个月窗口之前，列入 1 年视图作为背景。</t>
        </is>
      </c>
      <c r="J23" s="33" t="inlineStr">
        <is>
          <t>1. 和解协议执行进度与剩余付款义务？
2. 是否影响蒙大矿业分红/现金流？
3. 是否还有同类诉讼或仲裁？</t>
        </is>
      </c>
      <c r="K23" s="21" t="inlineStr">
        <is>
          <t>腾讯新闻 / 博源化工公告</t>
        </is>
      </c>
      <c r="L23" s="19" t="inlineStr">
        <is>
          <t>主流财经媒体 + 公告</t>
        </is>
      </c>
      <c r="M23" s="19" t="inlineStr">
        <is>
          <t>2026-02-03</t>
        </is>
      </c>
      <c r="N23" s="34" t="inlineStr">
        <is>
          <t>打开原文</t>
        </is>
      </c>
      <c r="O23" s="35" t="inlineStr">
        <is>
          <t>B</t>
        </is>
      </c>
    </row>
  </sheetData>
  <autoFilter ref="A4:O23"/>
  <mergeCells count="2">
    <mergeCell ref="A1:O1"/>
    <mergeCell ref="A2:O2"/>
  </mergeCells>
  <hyperlinks>
    <hyperlink xmlns:r="http://schemas.openxmlformats.org/officeDocument/2006/relationships" ref="N5" r:id="rId1"/>
    <hyperlink xmlns:r="http://schemas.openxmlformats.org/officeDocument/2006/relationships" ref="N6" r:id="rId2"/>
    <hyperlink xmlns:r="http://schemas.openxmlformats.org/officeDocument/2006/relationships" ref="N7" r:id="rId3"/>
    <hyperlink xmlns:r="http://schemas.openxmlformats.org/officeDocument/2006/relationships" ref="N8" r:id="rId4"/>
    <hyperlink xmlns:r="http://schemas.openxmlformats.org/officeDocument/2006/relationships" ref="N9" r:id="rId5"/>
    <hyperlink xmlns:r="http://schemas.openxmlformats.org/officeDocument/2006/relationships" ref="N10" r:id="rId6"/>
    <hyperlink xmlns:r="http://schemas.openxmlformats.org/officeDocument/2006/relationships" ref="N11" r:id="rId7"/>
    <hyperlink xmlns:r="http://schemas.openxmlformats.org/officeDocument/2006/relationships" ref="N12" r:id="rId8"/>
    <hyperlink xmlns:r="http://schemas.openxmlformats.org/officeDocument/2006/relationships" ref="N13" r:id="rId9"/>
    <hyperlink xmlns:r="http://schemas.openxmlformats.org/officeDocument/2006/relationships" ref="N14" r:id="rId10"/>
    <hyperlink xmlns:r="http://schemas.openxmlformats.org/officeDocument/2006/relationships" ref="N15" r:id="rId11"/>
    <hyperlink xmlns:r="http://schemas.openxmlformats.org/officeDocument/2006/relationships" ref="N16" r:id="rId12"/>
    <hyperlink xmlns:r="http://schemas.openxmlformats.org/officeDocument/2006/relationships" ref="N17" r:id="rId13"/>
    <hyperlink xmlns:r="http://schemas.openxmlformats.org/officeDocument/2006/relationships" ref="N18" r:id="rId14"/>
    <hyperlink xmlns:r="http://schemas.openxmlformats.org/officeDocument/2006/relationships" ref="N19" r:id="rId15"/>
    <hyperlink xmlns:r="http://schemas.openxmlformats.org/officeDocument/2006/relationships" ref="N20" r:id="rId16"/>
    <hyperlink xmlns:r="http://schemas.openxmlformats.org/officeDocument/2006/relationships" ref="N21" r:id="rId17"/>
    <hyperlink xmlns:r="http://schemas.openxmlformats.org/officeDocument/2006/relationships" ref="N22" r:id="rId18"/>
    <hyperlink xmlns:r="http://schemas.openxmlformats.org/officeDocument/2006/relationships" ref="N23" r:id="rId19"/>
  </hyperlinks>
  <pageMargins left="0.35" right="0.35" top="0.45" bottom="0.45" header="0.5" footer="0.5"/>
  <pageSetup orientation="landscape" paperSize="9" fitToHeight="0" fitToWidth="1"/>
</worksheet>
</file>

<file path=xl/worksheets/sheet4.xml><?xml version="1.0" encoding="utf-8"?>
<worksheet xmlns="http://schemas.openxmlformats.org/spreadsheetml/2006/main">
  <sheetPr>
    <tabColor rgb="000F766E"/>
    <outlinePr summaryBelow="1" summaryRight="1"/>
    <pageSetUpPr fitToPage="1"/>
  </sheetPr>
  <dimension ref="B2:J28"/>
  <sheetViews>
    <sheetView showGridLines="0" workbookViewId="0">
      <selection activeCell="A1" sqref="A1"/>
    </sheetView>
  </sheetViews>
  <sheetFormatPr baseColWidth="8" defaultRowHeight="15"/>
  <cols>
    <col width="2" customWidth="1" min="1" max="1"/>
    <col width="14" customWidth="1" min="2" max="2"/>
    <col width="10" customWidth="1" min="3" max="3"/>
    <col width="10" customWidth="1" min="4" max="4"/>
    <col width="10" customWidth="1" min="5" max="5"/>
    <col width="10" customWidth="1" min="6" max="6"/>
    <col width="3" customWidth="1" min="7" max="7"/>
    <col width="12" customWidth="1" min="8" max="8"/>
    <col width="8" customWidth="1" min="9" max="9"/>
    <col width="8" customWidth="1" min="10" max="10"/>
    <col width="8" customWidth="1" min="11" max="11"/>
    <col width="8" customWidth="1" min="12" max="12"/>
    <col width="8" customWidth="1" min="13" max="13"/>
    <col width="8" customWidth="1" min="14" max="14"/>
  </cols>
  <sheetData>
    <row r="2" ht="30" customHeight="1">
      <c r="B2" s="16" t="inlineStr">
        <is>
          <t>分类汇总</t>
        </is>
      </c>
    </row>
    <row r="3">
      <c r="B3" s="17" t="inlineStr">
        <is>
          <t>统计口径：仅计 2026-04-19 至 2026-10-19 的 16 条事件；正向事件计入“低”</t>
        </is>
      </c>
    </row>
    <row r="5" ht="26" customHeight="1">
      <c r="B5" s="5" t="inlineStr">
        <is>
          <t>按风险分类 × 严重度</t>
        </is>
      </c>
      <c r="C5" s="6" t="n"/>
      <c r="D5" s="6" t="n"/>
      <c r="E5" s="6" t="n"/>
      <c r="F5" s="6" t="n"/>
      <c r="G5" s="6" t="n"/>
    </row>
    <row r="6" ht="26" customHeight="1">
      <c r="B6" s="41" t="inlineStr">
        <is>
          <t>分类</t>
        </is>
      </c>
      <c r="C6" s="41" t="inlineStr">
        <is>
          <t>高</t>
        </is>
      </c>
      <c r="D6" s="41" t="inlineStr">
        <is>
          <t>中</t>
        </is>
      </c>
      <c r="E6" s="41" t="inlineStr">
        <is>
          <t>低</t>
        </is>
      </c>
      <c r="F6" s="41" t="inlineStr">
        <is>
          <t>合计</t>
        </is>
      </c>
      <c r="G6" s="41" t="inlineStr">
        <is>
          <t>占比</t>
        </is>
      </c>
      <c r="I6" s="42" t="inlineStr">
        <is>
          <t>分类</t>
        </is>
      </c>
      <c r="J6" s="42" t="inlineStr">
        <is>
          <t>事件数</t>
        </is>
      </c>
    </row>
    <row r="7" ht="22" customHeight="1">
      <c r="B7" s="20" t="inlineStr">
        <is>
          <t>工商</t>
        </is>
      </c>
      <c r="C7" s="19" t="n">
        <v>0</v>
      </c>
      <c r="D7" s="19" t="n">
        <v>0</v>
      </c>
      <c r="E7" s="19" t="n">
        <v>1</v>
      </c>
      <c r="F7" s="35" t="n">
        <v>1</v>
      </c>
      <c r="G7" s="19" t="inlineStr">
        <is>
          <t>6%</t>
        </is>
      </c>
      <c r="I7" s="21" t="inlineStr">
        <is>
          <t>工商</t>
        </is>
      </c>
      <c r="J7" s="19" t="n">
        <v>1</v>
      </c>
    </row>
    <row r="8" ht="22" customHeight="1">
      <c r="B8" s="20" t="inlineStr">
        <is>
          <t>司法</t>
        </is>
      </c>
      <c r="C8" s="19" t="n">
        <v>0</v>
      </c>
      <c r="D8" s="19" t="n">
        <v>1</v>
      </c>
      <c r="E8" s="19" t="n">
        <v>0</v>
      </c>
      <c r="F8" s="35" t="n">
        <v>1</v>
      </c>
      <c r="G8" s="19" t="inlineStr">
        <is>
          <t>6%</t>
        </is>
      </c>
      <c r="I8" s="21" t="inlineStr">
        <is>
          <t>司法</t>
        </is>
      </c>
      <c r="J8" s="19" t="n">
        <v>1</v>
      </c>
    </row>
    <row r="9" ht="22" customHeight="1">
      <c r="B9" s="20" t="inlineStr">
        <is>
          <t>处罚</t>
        </is>
      </c>
      <c r="C9" s="19" t="n">
        <v>0</v>
      </c>
      <c r="D9" s="19" t="n">
        <v>0</v>
      </c>
      <c r="E9" s="19" t="n">
        <v>1</v>
      </c>
      <c r="F9" s="35" t="n">
        <v>1</v>
      </c>
      <c r="G9" s="19" t="inlineStr">
        <is>
          <t>6%</t>
        </is>
      </c>
      <c r="I9" s="21" t="inlineStr">
        <is>
          <t>处罚</t>
        </is>
      </c>
      <c r="J9" s="19" t="n">
        <v>1</v>
      </c>
    </row>
    <row r="10" ht="22" customHeight="1">
      <c r="B10" s="20" t="inlineStr">
        <is>
          <t>安全环保</t>
        </is>
      </c>
      <c r="C10" s="19" t="n">
        <v>1</v>
      </c>
      <c r="D10" s="19" t="n">
        <v>0</v>
      </c>
      <c r="E10" s="19" t="n">
        <v>0</v>
      </c>
      <c r="F10" s="35" t="n">
        <v>1</v>
      </c>
      <c r="G10" s="19" t="inlineStr">
        <is>
          <t>6%</t>
        </is>
      </c>
      <c r="I10" s="21" t="inlineStr">
        <is>
          <t>安全环保</t>
        </is>
      </c>
      <c r="J10" s="19" t="n">
        <v>1</v>
      </c>
    </row>
    <row r="11" ht="22" customHeight="1">
      <c r="B11" s="20" t="inlineStr">
        <is>
          <t>经营动态</t>
        </is>
      </c>
      <c r="C11" s="19" t="n">
        <v>0</v>
      </c>
      <c r="D11" s="19" t="n">
        <v>4</v>
      </c>
      <c r="E11" s="19" t="n">
        <v>8</v>
      </c>
      <c r="F11" s="35" t="n">
        <v>12</v>
      </c>
      <c r="G11" s="19" t="inlineStr">
        <is>
          <t>75%</t>
        </is>
      </c>
      <c r="I11" s="21" t="inlineStr">
        <is>
          <t>经营动态</t>
        </is>
      </c>
      <c r="J11" s="19" t="n">
        <v>12</v>
      </c>
    </row>
    <row r="12" ht="24" customHeight="1">
      <c r="B12" s="29" t="inlineStr">
        <is>
          <t>合计</t>
        </is>
      </c>
      <c r="C12" s="28" t="n">
        <v>1</v>
      </c>
      <c r="D12" s="28" t="n">
        <v>5</v>
      </c>
      <c r="E12" s="28" t="n">
        <v>10</v>
      </c>
      <c r="F12" s="28" t="n">
        <v>16</v>
      </c>
      <c r="G12" s="28" t="inlineStr">
        <is>
          <t>100%</t>
        </is>
      </c>
    </row>
    <row r="14" ht="26" customHeight="1">
      <c r="B14" s="5" t="inlineStr">
        <is>
          <t>按供应商 × 分类</t>
        </is>
      </c>
      <c r="C14" s="6" t="n"/>
      <c r="D14" s="6" t="n"/>
      <c r="E14" s="6" t="n"/>
      <c r="F14" s="6" t="n"/>
      <c r="G14" s="6" t="n"/>
      <c r="H14" s="6" t="n"/>
    </row>
    <row r="15" ht="26" customHeight="1">
      <c r="B15" s="41" t="inlineStr">
        <is>
          <t>供应商</t>
        </is>
      </c>
      <c r="C15" s="41" t="inlineStr">
        <is>
          <t>工商</t>
        </is>
      </c>
      <c r="D15" s="41" t="inlineStr">
        <is>
          <t>司法</t>
        </is>
      </c>
      <c r="E15" s="41" t="inlineStr">
        <is>
          <t>处罚</t>
        </is>
      </c>
      <c r="F15" s="41" t="inlineStr">
        <is>
          <t>安全环保</t>
        </is>
      </c>
      <c r="G15" s="41" t="inlineStr">
        <is>
          <t>经营动态</t>
        </is>
      </c>
      <c r="H15" s="41" t="inlineStr">
        <is>
          <t>合计</t>
        </is>
      </c>
    </row>
    <row r="16" ht="22" customHeight="1">
      <c r="B16" s="20" t="inlineStr">
        <is>
          <t>博源化工</t>
        </is>
      </c>
      <c r="C16" s="19" t="inlineStr">
        <is>
          <t>—</t>
        </is>
      </c>
      <c r="D16" s="19" t="inlineStr">
        <is>
          <t>—</t>
        </is>
      </c>
      <c r="E16" s="19" t="inlineStr">
        <is>
          <t>—</t>
        </is>
      </c>
      <c r="F16" s="19" t="inlineStr">
        <is>
          <t>—</t>
        </is>
      </c>
      <c r="G16" s="35" t="n">
        <v>3</v>
      </c>
    </row>
    <row r="17" ht="22" customHeight="1">
      <c r="B17" s="20" t="inlineStr">
        <is>
          <t>中盐化工</t>
        </is>
      </c>
      <c r="C17" s="19" t="inlineStr">
        <is>
          <t>—</t>
        </is>
      </c>
      <c r="D17" s="19" t="n">
        <v>1</v>
      </c>
      <c r="E17" s="19" t="inlineStr">
        <is>
          <t>—</t>
        </is>
      </c>
      <c r="F17" s="19" t="n">
        <v>1</v>
      </c>
      <c r="G17" s="35" t="n">
        <v>3</v>
      </c>
    </row>
    <row r="18" ht="22" customHeight="1">
      <c r="B18" s="20" t="inlineStr">
        <is>
          <t>三友化工</t>
        </is>
      </c>
      <c r="C18" s="19" t="inlineStr">
        <is>
          <t>—</t>
        </is>
      </c>
      <c r="D18" s="19" t="inlineStr">
        <is>
          <t>—</t>
        </is>
      </c>
      <c r="E18" s="19" t="inlineStr">
        <is>
          <t>—</t>
        </is>
      </c>
      <c r="F18" s="19" t="inlineStr">
        <is>
          <t>—</t>
        </is>
      </c>
      <c r="G18" s="35" t="n">
        <v>2</v>
      </c>
    </row>
    <row r="19" ht="22" customHeight="1">
      <c r="B19" s="20" t="inlineStr">
        <is>
          <t>山东海化</t>
        </is>
      </c>
      <c r="C19" s="19" t="inlineStr">
        <is>
          <t>—</t>
        </is>
      </c>
      <c r="D19" s="19" t="inlineStr">
        <is>
          <t>—</t>
        </is>
      </c>
      <c r="E19" s="19" t="inlineStr">
        <is>
          <t>—</t>
        </is>
      </c>
      <c r="F19" s="19" t="inlineStr">
        <is>
          <t>—</t>
        </is>
      </c>
      <c r="G19" s="35" t="n">
        <v>1</v>
      </c>
    </row>
    <row r="20" ht="22" customHeight="1">
      <c r="B20" s="20" t="inlineStr">
        <is>
          <t>双环科技</t>
        </is>
      </c>
      <c r="C20" s="19" t="n">
        <v>1</v>
      </c>
      <c r="D20" s="19" t="inlineStr">
        <is>
          <t>—</t>
        </is>
      </c>
      <c r="E20" s="19" t="inlineStr">
        <is>
          <t>—</t>
        </is>
      </c>
      <c r="F20" s="19" t="inlineStr">
        <is>
          <t>—</t>
        </is>
      </c>
      <c r="G20" s="35" t="n">
        <v>2</v>
      </c>
    </row>
    <row r="21" ht="22" customHeight="1">
      <c r="B21" s="20" t="inlineStr">
        <is>
          <t>和邦生物</t>
        </is>
      </c>
      <c r="C21" s="19" t="inlineStr">
        <is>
          <t>—</t>
        </is>
      </c>
      <c r="D21" s="19" t="inlineStr">
        <is>
          <t>—</t>
        </is>
      </c>
      <c r="E21" s="19" t="n">
        <v>1</v>
      </c>
      <c r="F21" s="19" t="inlineStr">
        <is>
          <t>—</t>
        </is>
      </c>
      <c r="G21" s="35" t="n">
        <v>2</v>
      </c>
    </row>
    <row r="22" ht="22" customHeight="1">
      <c r="B22" s="20" t="inlineStr">
        <is>
          <t>金山化工</t>
        </is>
      </c>
      <c r="C22" s="19" t="inlineStr">
        <is>
          <t>—</t>
        </is>
      </c>
      <c r="D22" s="19" t="inlineStr">
        <is>
          <t>—</t>
        </is>
      </c>
      <c r="E22" s="19" t="inlineStr">
        <is>
          <t>—</t>
        </is>
      </c>
      <c r="F22" s="19" t="inlineStr">
        <is>
          <t>—</t>
        </is>
      </c>
      <c r="G22" s="35" t="n">
        <v>3</v>
      </c>
    </row>
    <row r="23">
      <c r="B23" s="29" t="inlineStr">
        <is>
          <t>合计</t>
        </is>
      </c>
      <c r="C23" s="28" t="n">
        <v>1</v>
      </c>
      <c r="D23" s="28" t="n">
        <v>1</v>
      </c>
      <c r="E23" s="28" t="n">
        <v>1</v>
      </c>
      <c r="F23" s="28" t="n">
        <v>1</v>
      </c>
      <c r="G23" s="28" t="n">
        <v>16</v>
      </c>
    </row>
    <row r="24" ht="26" customHeight="1">
      <c r="B24" s="5" t="inlineStr">
        <is>
          <t>读法</t>
        </is>
      </c>
      <c r="C24" s="6" t="n"/>
      <c r="D24" s="6" t="n"/>
      <c r="E24" s="6" t="n"/>
      <c r="F24" s="6" t="n"/>
      <c r="G24" s="6" t="n"/>
      <c r="H24" s="6" t="n"/>
    </row>
    <row r="25" ht="30" customHeight="1">
      <c r="B25" s="43" t="inlineStr">
        <is>
          <t>• 窗口内共 16 条：经营动态 12 条（75%）、工商 1 条、司法 1 条、处罚 1 条、安全环保 1 条。</t>
        </is>
      </c>
    </row>
    <row r="26" ht="30" customHeight="1">
      <c r="B26" s="43" t="inlineStr">
        <is>
          <t>• 高优先级 1 条；代表性事件：中盐化工 — 中盐昆山 60 万吨/年纯碱装置仍处停产状态。</t>
        </is>
      </c>
    </row>
    <row r="27" ht="30" customHeight="1">
      <c r="B27" s="43" t="inlineStr">
        <is>
          <t>• “未检索到”不等于“没有”：信用中国、裁判文书网、执行信息公开网与地方应急/生态环境部门需按供应商注册地补查。</t>
        </is>
      </c>
    </row>
    <row r="28" ht="30" customHeight="1">
      <c r="B28" s="43" t="inlineStr">
        <is>
          <t>• 经营动态类多为检修/减量、业绩与项目进展，对交付节奏最敏感，也最容易在公开渠道滞后；以厂家书面排产为准。</t>
        </is>
      </c>
    </row>
  </sheetData>
  <mergeCells count="9">
    <mergeCell ref="B14:H14"/>
    <mergeCell ref="B28:G28"/>
    <mergeCell ref="B2:F2"/>
    <mergeCell ref="B5:G5"/>
    <mergeCell ref="B3:F3"/>
    <mergeCell ref="B27:G27"/>
    <mergeCell ref="B24:H24"/>
    <mergeCell ref="B26:G26"/>
    <mergeCell ref="B25:G25"/>
  </mergeCells>
  <pageMargins left="0.35" right="0.35" top="0.45" bottom="0.45" header="0.5" footer="0.5"/>
  <pageSetup orientation="landscape" paperSize="9" fitToHeight="0" fitToWidth="1"/>
  <drawing xmlns:r="http://schemas.openxmlformats.org/officeDocument/2006/relationships" r:id="rId1"/>
</worksheet>
</file>

<file path=xl/worksheets/sheet5.xml><?xml version="1.0" encoding="utf-8"?>
<worksheet xmlns="http://schemas.openxmlformats.org/spreadsheetml/2006/main">
  <sheetPr>
    <tabColor rgb="004F559C"/>
    <outlinePr summaryBelow="1" summaryRight="1"/>
    <pageSetUpPr fitToPage="1"/>
  </sheetPr>
  <dimension ref="A1:N1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30" customWidth="1" min="3" max="3"/>
    <col width="10" customWidth="1" min="4" max="4"/>
    <col width="10" customWidth="1" min="5" max="5"/>
    <col width="20" customWidth="1" min="6" max="6"/>
    <col width="13" customWidth="1" min="7" max="7"/>
    <col width="30" customWidth="1" min="8" max="8"/>
    <col width="11" customWidth="1" min="9" max="9"/>
    <col width="11" customWidth="1" min="10" max="10"/>
    <col width="10" customWidth="1" min="11" max="11"/>
    <col width="8" customWidth="1" min="12" max="12"/>
    <col width="16" customWidth="1" min="13" max="13"/>
    <col width="60" customWidth="1" min="14" max="14"/>
  </cols>
  <sheetData>
    <row r="1" ht="32" customHeight="1">
      <c r="A1" s="16" t="inlineStr">
        <is>
          <t>供应商画像</t>
        </is>
      </c>
    </row>
    <row r="2">
      <c r="A2" s="17" t="inlineStr">
        <is>
          <t>产能与财务数据来自公司公告/官网；2026H1 数据按披露口径；“未披露”表示未公开</t>
        </is>
      </c>
    </row>
    <row r="4" ht="34" customHeight="1">
      <c r="A4" s="18" t="inlineStr">
        <is>
          <t>序号</t>
        </is>
      </c>
      <c r="B4" s="18" t="inlineStr">
        <is>
          <t>供应商</t>
        </is>
      </c>
      <c r="C4" s="18" t="inlineStr">
        <is>
          <t>公司全称</t>
        </is>
      </c>
      <c r="D4" s="18" t="inlineStr">
        <is>
          <t>证券代码</t>
        </is>
      </c>
      <c r="E4" s="18" t="inlineStr">
        <is>
          <t>市场</t>
        </is>
      </c>
      <c r="F4" s="18" t="inlineStr">
        <is>
          <t>主要基地</t>
        </is>
      </c>
      <c r="G4" s="18" t="inlineStr">
        <is>
          <t>工艺路线</t>
        </is>
      </c>
      <c r="H4" s="18" t="inlineStr">
        <is>
          <t>纯碱产能</t>
        </is>
      </c>
      <c r="I4" s="18" t="inlineStr">
        <is>
          <t>2026H1 营收</t>
        </is>
      </c>
      <c r="J4" s="18" t="inlineStr">
        <is>
          <t>2026H1 净利</t>
        </is>
      </c>
      <c r="K4" s="18" t="inlineStr">
        <is>
          <t>净利同比</t>
        </is>
      </c>
      <c r="L4" s="18" t="inlineStr">
        <is>
          <t>风险等级</t>
        </is>
      </c>
      <c r="M4" s="18" t="inlineStr">
        <is>
          <t>风险标签</t>
        </is>
      </c>
      <c r="N4" s="18" t="inlineStr">
        <is>
          <t>结论 / 覆盖说明</t>
        </is>
      </c>
    </row>
    <row r="5" ht="78" customHeight="1">
      <c r="A5" s="19" t="n">
        <v>1</v>
      </c>
      <c r="B5" s="20" t="inlineStr">
        <is>
          <t>博源化工</t>
        </is>
      </c>
      <c r="C5" s="21" t="inlineStr">
        <is>
          <t>内蒙古博源化工股份有限公司</t>
        </is>
      </c>
      <c r="D5" s="19" t="inlineStr">
        <is>
          <t>000683.SZ</t>
        </is>
      </c>
      <c r="E5" s="21" t="inlineStr">
        <is>
          <t>深交所主板</t>
        </is>
      </c>
      <c r="F5" s="21" t="inlineStr">
        <is>
          <t>内蒙古鄂尔多斯 / 阿拉善</t>
        </is>
      </c>
      <c r="G5" s="21" t="inlineStr">
        <is>
          <t>天然碱法</t>
        </is>
      </c>
      <c r="H5" s="21" t="inlineStr">
        <is>
          <t>纯碱 780 万吨/年（塔木素项目规划，一期 500 万吨、二期 280 万吨）</t>
        </is>
      </c>
      <c r="I5" s="19" t="inlineStr">
        <is>
          <t>60.31 亿元</t>
        </is>
      </c>
      <c r="J5" s="19" t="inlineStr">
        <is>
          <t>8.34 亿元</t>
        </is>
      </c>
      <c r="K5" s="19" t="inlineStr">
        <is>
          <t>+12.27%</t>
        </is>
      </c>
      <c r="L5" s="22" t="inlineStr">
        <is>
          <t>中低</t>
        </is>
      </c>
      <c r="M5" s="21" t="inlineStr">
        <is>
          <t>关注 · 供应节奏</t>
        </is>
      </c>
      <c r="N5" s="21" t="inlineStr">
        <is>
          <t>盈利与现金流稳健，探矿权仲裁已和解；银根一期检修至 10 月底，11 月排产与发运节奏需要确认。
覆盖：公告、交易所、行业资讯覆盖充分</t>
        </is>
      </c>
    </row>
    <row r="6" ht="78" customHeight="1">
      <c r="A6" s="23" t="n">
        <v>2</v>
      </c>
      <c r="B6" s="24" t="inlineStr">
        <is>
          <t>中盐化工</t>
        </is>
      </c>
      <c r="C6" s="25" t="inlineStr">
        <is>
          <t>中盐内蒙古化工股份有限公司</t>
        </is>
      </c>
      <c r="D6" s="23" t="inlineStr">
        <is>
          <t>600328.SH</t>
        </is>
      </c>
      <c r="E6" s="25" t="inlineStr">
        <is>
          <t>上交所主板</t>
        </is>
      </c>
      <c r="F6" s="25" t="inlineStr">
        <is>
          <t>内蒙古阿拉善 / 江苏昆山</t>
        </is>
      </c>
      <c r="G6" s="25" t="inlineStr">
        <is>
          <t>氨碱法 + 联碱法</t>
        </is>
      </c>
      <c r="H6" s="25" t="inlineStr">
        <is>
          <t>纯碱 390 万吨/年（含中盐昆山 60 万吨/年联碱装置）</t>
        </is>
      </c>
      <c r="I6" s="23" t="inlineStr">
        <is>
          <t>48.87 亿元</t>
        </is>
      </c>
      <c r="J6" s="23" t="inlineStr">
        <is>
          <t>-2.72 亿元</t>
        </is>
      </c>
      <c r="K6" s="23" t="inlineStr">
        <is>
          <t>由盈转亏</t>
        </is>
      </c>
      <c r="L6" s="9" t="inlineStr">
        <is>
          <t>高</t>
        </is>
      </c>
      <c r="M6" s="25" t="inlineStr">
        <is>
          <t>重点跟踪</t>
        </is>
      </c>
      <c r="N6" s="25" t="inlineStr">
        <is>
          <t>昆山 60 万吨纯碱装置因安全生产许可证到期自 3 月 27 日停产、至 6 月 24 日仍未复产；叠加 4.41 亿元关联交易未及时披露被监管、上半年亏损，交付与治理需同时观察。
覆盖：公告、交易所、证监局、媒体覆盖充分</t>
        </is>
      </c>
    </row>
    <row r="7" ht="78" customHeight="1">
      <c r="A7" s="19" t="n">
        <v>3</v>
      </c>
      <c r="B7" s="20" t="inlineStr">
        <is>
          <t>三友化工</t>
        </is>
      </c>
      <c r="C7" s="21" t="inlineStr">
        <is>
          <t>唐山三友化工股份有限公司</t>
        </is>
      </c>
      <c r="D7" s="19" t="inlineStr">
        <is>
          <t>600409.SH</t>
        </is>
      </c>
      <c r="E7" s="21" t="inlineStr">
        <is>
          <t>上交所主板</t>
        </is>
      </c>
      <c r="F7" s="21" t="inlineStr">
        <is>
          <t>河北唐山 / 青海</t>
        </is>
      </c>
      <c r="G7" s="21" t="inlineStr">
        <is>
          <t>氨碱法</t>
        </is>
      </c>
      <c r="H7" s="21" t="inlineStr">
        <is>
          <t>纯碱 340 万吨/年（唐山本部 230 万吨 + 青海五彩碱业 110 万吨）</t>
        </is>
      </c>
      <c r="I7" s="19" t="inlineStr">
        <is>
          <t>98.02 亿元</t>
        </is>
      </c>
      <c r="J7" s="19" t="inlineStr">
        <is>
          <t>1.68 亿元</t>
        </is>
      </c>
      <c r="K7" s="19" t="inlineStr">
        <is>
          <t>+129.15%</t>
        </is>
      </c>
      <c r="L7" s="26" t="inlineStr">
        <is>
          <t>低</t>
        </is>
      </c>
      <c r="M7" s="21" t="inlineStr">
        <is>
          <t>基本稳定</t>
        </is>
      </c>
      <c r="N7" s="21" t="inlineStr">
        <is>
          <t>上半年净利同比 +129%，6 个月内未检索到行政处罚、诉讼、事故、停产等实质性风险事件；仅有计划内检修，预计影响纯碱产量 2—3 万吨。
覆盖：公告与媒体覆盖充分</t>
        </is>
      </c>
    </row>
    <row r="8" ht="78" customHeight="1">
      <c r="A8" s="23" t="n">
        <v>4</v>
      </c>
      <c r="B8" s="24" t="inlineStr">
        <is>
          <t>山东海化</t>
        </is>
      </c>
      <c r="C8" s="25" t="inlineStr">
        <is>
          <t>山东海化股份有限公司</t>
        </is>
      </c>
      <c r="D8" s="23" t="inlineStr">
        <is>
          <t>000822.SZ</t>
        </is>
      </c>
      <c r="E8" s="25" t="inlineStr">
        <is>
          <t>深交所主板</t>
        </is>
      </c>
      <c r="F8" s="25" t="inlineStr">
        <is>
          <t>山东潍坊</t>
        </is>
      </c>
      <c r="G8" s="25" t="inlineStr">
        <is>
          <t>氨碱法</t>
        </is>
      </c>
      <c r="H8" s="25" t="inlineStr">
        <is>
          <t>纯碱 280 万吨/年</t>
        </is>
      </c>
      <c r="I8" s="23" t="inlineStr">
        <is>
          <t>21.28 亿元</t>
        </is>
      </c>
      <c r="J8" s="23" t="inlineStr">
        <is>
          <t>-2.81 亿元</t>
        </is>
      </c>
      <c r="K8" s="23" t="inlineStr">
        <is>
          <t>亏损扩大</t>
        </is>
      </c>
      <c r="L8" s="27" t="inlineStr">
        <is>
          <t>中</t>
        </is>
      </c>
      <c r="M8" s="25" t="inlineStr">
        <is>
          <t>关注 · 财务</t>
        </is>
      </c>
      <c r="N8" s="25" t="inlineStr">
        <is>
          <t>上半年亏损 2.81 亿元、经营现金流 -10.07 亿元；48.37 亿元纯碱装置提质增效改造推进中。未检索到安全环保事故或行政处罚，重点在账期、预付款与技改期间的排产。
覆盖：公告与媒体覆盖充分</t>
        </is>
      </c>
    </row>
    <row r="9" ht="78" customHeight="1">
      <c r="A9" s="19" t="n">
        <v>5</v>
      </c>
      <c r="B9" s="20" t="inlineStr">
        <is>
          <t>双环科技</t>
        </is>
      </c>
      <c r="C9" s="21" t="inlineStr">
        <is>
          <t>湖北双环科技股份有限公司</t>
        </is>
      </c>
      <c r="D9" s="19" t="inlineStr">
        <is>
          <t>000707.SZ</t>
        </is>
      </c>
      <c r="E9" s="21" t="inlineStr">
        <is>
          <t>深交所主板</t>
        </is>
      </c>
      <c r="F9" s="21" t="inlineStr">
        <is>
          <t>湖北应城</t>
        </is>
      </c>
      <c r="G9" s="21" t="inlineStr">
        <is>
          <t>联碱法</t>
        </is>
      </c>
      <c r="H9" s="21" t="inlineStr">
        <is>
          <t>纯碱 110 万吨/年 + 氯化铵 110 万吨/年</t>
        </is>
      </c>
      <c r="I9" s="19" t="inlineStr">
        <is>
          <t>9.87 亿元</t>
        </is>
      </c>
      <c r="J9" s="19" t="inlineStr">
        <is>
          <t>-0.75 亿元</t>
        </is>
      </c>
      <c r="K9" s="19" t="inlineStr">
        <is>
          <t>由盈转亏</t>
        </is>
      </c>
      <c r="L9" s="27" t="inlineStr">
        <is>
          <t>中</t>
        </is>
      </c>
      <c r="M9" s="21" t="inlineStr">
        <is>
          <t>关注 · 财务</t>
        </is>
      </c>
      <c r="N9" s="21" t="inlineStr">
        <is>
          <t>上半年由盈转亏、毛利率降至 4.93%，单一联碱业务在价格战中承压；未检索到处罚、事故、停产记录，关注其减产与现金流安排。
覆盖：公告与媒体覆盖充分</t>
        </is>
      </c>
    </row>
    <row r="10" ht="78" customHeight="1">
      <c r="A10" s="23" t="n">
        <v>6</v>
      </c>
      <c r="B10" s="24" t="inlineStr">
        <is>
          <t>和邦生物</t>
        </is>
      </c>
      <c r="C10" s="25" t="inlineStr">
        <is>
          <t>四川和邦生物科技股份有限公司</t>
        </is>
      </c>
      <c r="D10" s="23" t="inlineStr">
        <is>
          <t>603077.SH</t>
        </is>
      </c>
      <c r="E10" s="25" t="inlineStr">
        <is>
          <t>上交所主板</t>
        </is>
      </c>
      <c r="F10" s="25" t="inlineStr">
        <is>
          <t>四川乐山</t>
        </is>
      </c>
      <c r="G10" s="25" t="inlineStr">
        <is>
          <t>联碱法</t>
        </is>
      </c>
      <c r="H10" s="25" t="inlineStr">
        <is>
          <t>纯碱 110 万吨/年 + 氯化铵 110 万吨/年</t>
        </is>
      </c>
      <c r="I10" s="23" t="inlineStr">
        <is>
          <t>28.88 亿元</t>
        </is>
      </c>
      <c r="J10" s="23" t="inlineStr">
        <is>
          <t>3.80 亿元</t>
        </is>
      </c>
      <c r="K10" s="23" t="inlineStr">
        <is>
          <t>+634.3%</t>
        </is>
      </c>
      <c r="L10" s="22" t="inlineStr">
        <is>
          <t>中低</t>
        </is>
      </c>
      <c r="M10" s="25" t="inlineStr">
        <is>
          <t>关注 · 合规</t>
        </is>
      </c>
      <c r="N10" s="25" t="inlineStr">
        <is>
          <t>上半年净利 3.8 亿元、同比 +634%，但利润主要来自双甘膦/草甘膦/蛋氨酸；10 月收到乐山海关 9 万元罚单（申报不实），属合规瑕疵，需在准入材料中留痕。
覆盖：公告、海关、媒体覆盖充分</t>
        </is>
      </c>
    </row>
    <row r="11" ht="78" customHeight="1">
      <c r="A11" s="19" t="n">
        <v>7</v>
      </c>
      <c r="B11" s="20" t="inlineStr">
        <is>
          <t>金山化工</t>
        </is>
      </c>
      <c r="C11" s="21" t="inlineStr">
        <is>
          <t>河南金山化工集团</t>
        </is>
      </c>
      <c r="D11" s="19" t="inlineStr">
        <is>
          <t>非上市</t>
        </is>
      </c>
      <c r="E11" s="21" t="inlineStr">
        <is>
          <t>民营企业</t>
        </is>
      </c>
      <c r="F11" s="21" t="inlineStr">
        <is>
          <t>河南漯河舞阳</t>
        </is>
      </c>
      <c r="G11" s="21" t="inlineStr">
        <is>
          <t>联碱法</t>
        </is>
      </c>
      <c r="H11" s="21" t="inlineStr">
        <is>
          <t>纯碱 330 万吨/年 + 氯化铵 360 万吨/年</t>
        </is>
      </c>
      <c r="I11" s="19" t="inlineStr">
        <is>
          <t>未披露</t>
        </is>
      </c>
      <c r="J11" s="19" t="inlineStr">
        <is>
          <t>未披露</t>
        </is>
      </c>
      <c r="K11" s="19" t="inlineStr">
        <is>
          <t>未披露</t>
        </is>
      </c>
      <c r="L11" s="22" t="inlineStr">
        <is>
          <t>中低</t>
        </is>
      </c>
      <c r="M11" s="21" t="inlineStr">
        <is>
          <t>关注 · 信息透明度</t>
        </is>
      </c>
      <c r="N11" s="21" t="inlineStr">
        <is>
          <t>非上市，公开财务与处罚信息稀疏；5—10 月多次检修/减量（5/26 二厂检修、9/29 预期检修、10/13 减量），供应节奏需以厂家函件和现场确认为准。
覆盖：仅行业资讯与官网，建议补充征信与现场核查</t>
        </is>
      </c>
    </row>
  </sheetData>
  <autoFilter ref="A4:N11"/>
  <mergeCells count="2">
    <mergeCell ref="A2:N2"/>
    <mergeCell ref="A1:N1"/>
  </mergeCells>
  <pageMargins left="0.35" right="0.35" top="0.45" bottom="0.45" header="0.5" footer="0.5"/>
  <pageSetup orientation="landscape" paperSize="9" fitToHeight="0" fitToWidth="1"/>
</worksheet>
</file>

<file path=xl/worksheets/sheet6.xml><?xml version="1.0" encoding="utf-8"?>
<worksheet xmlns="http://schemas.openxmlformats.org/spreadsheetml/2006/main">
  <sheetPr>
    <tabColor rgb="008B5E3C"/>
    <outlinePr summaryBelow="1" summaryRight="1"/>
    <pageSetUpPr fitToPage="1"/>
  </sheetPr>
  <dimension ref="A1:I58"/>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1" customWidth="1" min="3" max="3"/>
    <col width="7" customWidth="1" min="4" max="4"/>
    <col width="52" customWidth="1" min="5" max="5"/>
    <col width="46" customWidth="1" min="6" max="6"/>
    <col width="32" customWidth="1" min="7" max="7"/>
    <col width="14" customWidth="1" min="8" max="8"/>
    <col width="11" customWidth="1" min="9" max="9"/>
  </cols>
  <sheetData>
    <row r="1" ht="32" customHeight="1">
      <c r="A1" s="16" t="inlineStr">
        <is>
          <t>待核实问题清单</t>
        </is>
      </c>
    </row>
    <row r="2">
      <c r="A2" s="17" t="inlineStr">
        <is>
          <t>可直接复制到询价函、准入访谈提纲或合同附件；优先级 P1 建议 5 个工作日内确认</t>
        </is>
      </c>
    </row>
    <row r="4" ht="30" customHeight="1">
      <c r="A4" s="18" t="inlineStr">
        <is>
          <t>序号</t>
        </is>
      </c>
      <c r="B4" s="18" t="inlineStr">
        <is>
          <t>供应商</t>
        </is>
      </c>
      <c r="C4" s="18" t="inlineStr">
        <is>
          <t>关联事件</t>
        </is>
      </c>
      <c r="D4" s="18" t="inlineStr">
        <is>
          <t>优先级</t>
        </is>
      </c>
      <c r="E4" s="18" t="inlineStr">
        <is>
          <t>待确认问题</t>
        </is>
      </c>
      <c r="F4" s="18" t="inlineStr">
        <is>
          <t>为什么值得问</t>
        </is>
      </c>
      <c r="G4" s="18" t="inlineStr">
        <is>
          <t>建议动作</t>
        </is>
      </c>
      <c r="H4" s="18" t="inlineStr">
        <is>
          <t>建议责任部门</t>
        </is>
      </c>
      <c r="I4" s="18" t="inlineStr">
        <is>
          <t>建议完成</t>
        </is>
      </c>
    </row>
    <row r="5" ht="64" customHeight="1">
      <c r="A5" s="19" t="n">
        <v>1</v>
      </c>
      <c r="B5" s="20" t="inlineStr">
        <is>
          <t>双环科技</t>
        </is>
      </c>
      <c r="C5" s="19" t="inlineStr">
        <is>
          <t>EV-2026-001</t>
        </is>
      </c>
      <c r="D5" s="44" t="inlineStr">
        <is>
          <t>P3</t>
        </is>
      </c>
      <c r="E5" s="21" t="inlineStr">
        <is>
          <t>本次董事/高管调整是否伴随战略或资本运作安排？</t>
        </is>
      </c>
      <c r="F5" s="21" t="inlineStr">
        <is>
          <t>属于常规治理与高管调整，不涉及控制权或股权结构变化；新任总工程师来自生产与宏宜化工体系，可能影响后续技改与检修安排，但公开信息不足以判断方向。</t>
        </is>
      </c>
      <c r="G5" s="21" t="inlineStr">
        <is>
          <t>准入材料更新董监高名单；无需额外风控动作。</t>
        </is>
      </c>
      <c r="H5" s="19" t="inlineStr">
        <is>
          <t>采购</t>
        </is>
      </c>
      <c r="I5" s="19" t="inlineStr">
        <is>
          <t>2026-11-14</t>
        </is>
      </c>
    </row>
    <row r="6" ht="64" customHeight="1">
      <c r="A6" s="19" t="n">
        <v>2</v>
      </c>
      <c r="B6" s="20" t="inlineStr">
        <is>
          <t>双环科技</t>
        </is>
      </c>
      <c r="C6" s="19" t="inlineStr">
        <is>
          <t>EV-2026-001</t>
        </is>
      </c>
      <c r="D6" s="44" t="inlineStr">
        <is>
          <t>P3</t>
        </is>
      </c>
      <c r="E6" s="21" t="inlineStr">
        <is>
          <t>新任总工程师是否负责纯碱装置技改或检修计划？</t>
        </is>
      </c>
      <c r="F6" s="21" t="inlineStr">
        <is>
          <t>属于常规治理与高管调整，不涉及控制权或股权结构变化；新任总工程师来自生产与宏宜化工体系，可能影响后续技改与检修安排，但公开信息不足以判断方向。</t>
        </is>
      </c>
      <c r="G6" s="21" t="inlineStr">
        <is>
          <t>准入材料更新董监高名单；无需额外风控动作。</t>
        </is>
      </c>
      <c r="H6" s="19" t="inlineStr">
        <is>
          <t>采购</t>
        </is>
      </c>
      <c r="I6" s="19" t="inlineStr">
        <is>
          <t>2026-11-14</t>
        </is>
      </c>
    </row>
    <row r="7" ht="64" customHeight="1">
      <c r="A7" s="19" t="n">
        <v>3</v>
      </c>
      <c r="B7" s="20" t="inlineStr">
        <is>
          <t>金山化工</t>
        </is>
      </c>
      <c r="C7" s="19" t="inlineStr">
        <is>
          <t>EV-2026-002</t>
        </is>
      </c>
      <c r="D7" s="45" t="inlineStr">
        <is>
          <t>P2</t>
        </is>
      </c>
      <c r="E7" s="21" t="inlineStr">
        <is>
          <t>减量比例、起止时间与恢复条件？</t>
        </is>
      </c>
      <c r="F7" s="21" t="inlineStr">
        <is>
          <t>金山为国内联碱大厂，减量与检修叠加会阶段性收紧区域现货；但减量原因、幅度和持续时间未公开，不能直接外推为长期供应缺口。</t>
        </is>
      </c>
      <c r="G7" s="21" t="inlineStr">
        <is>
          <t>向厂家索取书面排产与发运计划；必要时增加替代货源。</t>
        </is>
      </c>
      <c r="H7" s="19" t="inlineStr">
        <is>
          <t>采购 + 财务</t>
        </is>
      </c>
      <c r="I7" s="19" t="inlineStr">
        <is>
          <t>2026-11-03</t>
        </is>
      </c>
    </row>
    <row r="8" ht="64" customHeight="1">
      <c r="A8" s="19" t="n">
        <v>4</v>
      </c>
      <c r="B8" s="20" t="inlineStr">
        <is>
          <t>金山化工</t>
        </is>
      </c>
      <c r="C8" s="19" t="inlineStr">
        <is>
          <t>EV-2026-002</t>
        </is>
      </c>
      <c r="D8" s="45" t="inlineStr">
        <is>
          <t>P2</t>
        </is>
      </c>
      <c r="E8" s="21" t="inlineStr">
        <is>
          <t>舞阳基地纯碱库存与汽运/铁运发运是否正常？</t>
        </is>
      </c>
      <c r="F8" s="21" t="inlineStr">
        <is>
          <t>金山为国内联碱大厂，减量与检修叠加会阶段性收紧区域现货；但减量原因、幅度和持续时间未公开，不能直接外推为长期供应缺口。</t>
        </is>
      </c>
      <c r="G8" s="21" t="inlineStr">
        <is>
          <t>向厂家索取书面排产与发运计划；必要时增加替代货源。</t>
        </is>
      </c>
      <c r="H8" s="19" t="inlineStr">
        <is>
          <t>采购 + 财务</t>
        </is>
      </c>
      <c r="I8" s="19" t="inlineStr">
        <is>
          <t>2026-11-03</t>
        </is>
      </c>
    </row>
    <row r="9" ht="64" customHeight="1">
      <c r="A9" s="19" t="n">
        <v>5</v>
      </c>
      <c r="B9" s="20" t="inlineStr">
        <is>
          <t>金山化工</t>
        </is>
      </c>
      <c r="C9" s="19" t="inlineStr">
        <is>
          <t>EV-2026-002</t>
        </is>
      </c>
      <c r="D9" s="45" t="inlineStr">
        <is>
          <t>P2</t>
        </is>
      </c>
      <c r="E9" s="21" t="inlineStr">
        <is>
          <t>是否影响已签合同的月度提货量？</t>
        </is>
      </c>
      <c r="F9" s="21" t="inlineStr">
        <is>
          <t>金山为国内联碱大厂，减量与检修叠加会阶段性收紧区域现货；但减量原因、幅度和持续时间未公开，不能直接外推为长期供应缺口。</t>
        </is>
      </c>
      <c r="G9" s="21" t="inlineStr">
        <is>
          <t>向厂家索取书面排产与发运计划；必要时增加替代货源。</t>
        </is>
      </c>
      <c r="H9" s="19" t="inlineStr">
        <is>
          <t>采购 + 财务</t>
        </is>
      </c>
      <c r="I9" s="19" t="inlineStr">
        <is>
          <t>2026-11-03</t>
        </is>
      </c>
    </row>
    <row r="10" ht="64" customHeight="1">
      <c r="A10" s="19" t="n">
        <v>6</v>
      </c>
      <c r="B10" s="20" t="inlineStr">
        <is>
          <t>和邦生物</t>
        </is>
      </c>
      <c r="C10" s="19" t="inlineStr">
        <is>
          <t>EV-2026-003</t>
        </is>
      </c>
      <c r="D10" s="44" t="inlineStr">
        <is>
          <t>P3</t>
        </is>
      </c>
      <c r="E10" s="21" t="inlineStr">
        <is>
          <t>罚款是否已缴纳、是否完成整改？</t>
        </is>
      </c>
      <c r="F10" s="21" t="inlineStr">
        <is>
          <t>罚款金额不大，但属于海关申报合规事项；若公司存在进口设备、技术许可或工程包结算，可能反映内控与申报口径问题。对纯碱内贸交付的直接影响有限。</t>
        </is>
      </c>
      <c r="G10" s="21" t="inlineStr">
        <is>
          <t>准入/续约材料中留存罚单与整改说明；关注是否触发信用等级调整。</t>
        </is>
      </c>
      <c r="H10" s="19" t="inlineStr">
        <is>
          <t>采购 + 法务</t>
        </is>
      </c>
      <c r="I10" s="19" t="inlineStr">
        <is>
          <t>2026-11-14</t>
        </is>
      </c>
    </row>
    <row r="11" ht="64" customHeight="1">
      <c r="A11" s="19" t="n">
        <v>7</v>
      </c>
      <c r="B11" s="20" t="inlineStr">
        <is>
          <t>和邦生物</t>
        </is>
      </c>
      <c r="C11" s="19" t="inlineStr">
        <is>
          <t>EV-2026-003</t>
        </is>
      </c>
      <c r="D11" s="44" t="inlineStr">
        <is>
          <t>P3</t>
        </is>
      </c>
      <c r="E11" s="21" t="inlineStr">
        <is>
          <t>是否影响公司海关信用等级或进口设备/备件通关？</t>
        </is>
      </c>
      <c r="F11" s="21" t="inlineStr">
        <is>
          <t>罚款金额不大，但属于海关申报合规事项；若公司存在进口设备、技术许可或工程包结算，可能反映内控与申报口径问题。对纯碱内贸交付的直接影响有限。</t>
        </is>
      </c>
      <c r="G11" s="21" t="inlineStr">
        <is>
          <t>准入/续约材料中留存罚单与整改说明；关注是否触发信用等级调整。</t>
        </is>
      </c>
      <c r="H11" s="19" t="inlineStr">
        <is>
          <t>采购 + 法务</t>
        </is>
      </c>
      <c r="I11" s="19" t="inlineStr">
        <is>
          <t>2026-11-14</t>
        </is>
      </c>
    </row>
    <row r="12" ht="64" customHeight="1">
      <c r="A12" s="19" t="n">
        <v>8</v>
      </c>
      <c r="B12" s="20" t="inlineStr">
        <is>
          <t>和邦生物</t>
        </is>
      </c>
      <c r="C12" s="19" t="inlineStr">
        <is>
          <t>EV-2026-003</t>
        </is>
      </c>
      <c r="D12" s="44" t="inlineStr">
        <is>
          <t>P3</t>
        </is>
      </c>
      <c r="E12" s="21" t="inlineStr">
        <is>
          <t>是否存在同类申报问题的后续处罚？</t>
        </is>
      </c>
      <c r="F12" s="21" t="inlineStr">
        <is>
          <t>罚款金额不大，但属于海关申报合规事项；若公司存在进口设备、技术许可或工程包结算，可能反映内控与申报口径问题。对纯碱内贸交付的直接影响有限。</t>
        </is>
      </c>
      <c r="G12" s="21" t="inlineStr">
        <is>
          <t>准入/续约材料中留存罚单与整改说明；关注是否触发信用等级调整。</t>
        </is>
      </c>
      <c r="H12" s="19" t="inlineStr">
        <is>
          <t>采购 + 法务</t>
        </is>
      </c>
      <c r="I12" s="19" t="inlineStr">
        <is>
          <t>2026-11-14</t>
        </is>
      </c>
    </row>
    <row r="13" ht="64" customHeight="1">
      <c r="A13" s="19" t="n">
        <v>9</v>
      </c>
      <c r="B13" s="20" t="inlineStr">
        <is>
          <t>博源化工</t>
        </is>
      </c>
      <c r="C13" s="19" t="inlineStr">
        <is>
          <t>EV-2026-004</t>
        </is>
      </c>
      <c r="D13" s="45" t="inlineStr">
        <is>
          <t>P2</t>
        </is>
      </c>
      <c r="E13" s="21" t="inlineStr">
        <is>
          <t>检修是否按计划在 10 月底结束？复产负荷爬坡需要多久？</t>
        </is>
      </c>
      <c r="F13" s="21" t="inlineStr">
        <is>
          <t>银根是博源天然碱主力生产基地，一期检修会阶段性影响产量与发运节奏；公司未公告具体损失量，检修是否按期结束仍需核实。</t>
        </is>
      </c>
      <c r="G13" s="21" t="inlineStr">
        <is>
          <t>锁定 11 月货源与到货窗口；合同约定检修/停产告知义务与逾期交付条款。</t>
        </is>
      </c>
      <c r="H13" s="19" t="inlineStr">
        <is>
          <t>采购 + 财务</t>
        </is>
      </c>
      <c r="I13" s="19" t="inlineStr">
        <is>
          <t>2026-11-03</t>
        </is>
      </c>
    </row>
    <row r="14" ht="64" customHeight="1">
      <c r="A14" s="19" t="n">
        <v>10</v>
      </c>
      <c r="B14" s="20" t="inlineStr">
        <is>
          <t>博源化工</t>
        </is>
      </c>
      <c r="C14" s="19" t="inlineStr">
        <is>
          <t>EV-2026-004</t>
        </is>
      </c>
      <c r="D14" s="45" t="inlineStr">
        <is>
          <t>P2</t>
        </is>
      </c>
      <c r="E14" s="21" t="inlineStr">
        <is>
          <t>10—11 月对华北/华东的合同发运是否延迟？</t>
        </is>
      </c>
      <c r="F14" s="21" t="inlineStr">
        <is>
          <t>银根是博源天然碱主力生产基地，一期检修会阶段性影响产量与发运节奏；公司未公告具体损失量，检修是否按期结束仍需核实。</t>
        </is>
      </c>
      <c r="G14" s="21" t="inlineStr">
        <is>
          <t>锁定 11 月货源与到货窗口；合同约定检修/停产告知义务与逾期交付条款。</t>
        </is>
      </c>
      <c r="H14" s="19" t="inlineStr">
        <is>
          <t>采购 + 财务</t>
        </is>
      </c>
      <c r="I14" s="19" t="inlineStr">
        <is>
          <t>2026-11-03</t>
        </is>
      </c>
    </row>
    <row r="15" ht="64" customHeight="1">
      <c r="A15" s="19" t="n">
        <v>11</v>
      </c>
      <c r="B15" s="20" t="inlineStr">
        <is>
          <t>博源化工</t>
        </is>
      </c>
      <c r="C15" s="19" t="inlineStr">
        <is>
          <t>EV-2026-004</t>
        </is>
      </c>
      <c r="D15" s="45" t="inlineStr">
        <is>
          <t>P2</t>
        </is>
      </c>
      <c r="E15" s="21" t="inlineStr">
        <is>
          <t>是否有库存可覆盖检修期的已签订单？</t>
        </is>
      </c>
      <c r="F15" s="21" t="inlineStr">
        <is>
          <t>银根是博源天然碱主力生产基地，一期检修会阶段性影响产量与发运节奏；公司未公告具体损失量，检修是否按期结束仍需核实。</t>
        </is>
      </c>
      <c r="G15" s="21" t="inlineStr">
        <is>
          <t>锁定 11 月货源与到货窗口；合同约定检修/停产告知义务与逾期交付条款。</t>
        </is>
      </c>
      <c r="H15" s="19" t="inlineStr">
        <is>
          <t>采购 + 财务</t>
        </is>
      </c>
      <c r="I15" s="19" t="inlineStr">
        <is>
          <t>2026-11-03</t>
        </is>
      </c>
    </row>
    <row r="16" ht="64" customHeight="1">
      <c r="A16" s="19" t="n">
        <v>12</v>
      </c>
      <c r="B16" s="20" t="inlineStr">
        <is>
          <t>金山化工</t>
        </is>
      </c>
      <c r="C16" s="19" t="inlineStr">
        <is>
          <t>EV-2026-005</t>
        </is>
      </c>
      <c r="D16" s="44" t="inlineStr">
        <is>
          <t>P3</t>
        </is>
      </c>
      <c r="E16" s="21" t="inlineStr">
        <is>
          <t>检修涉及哪套装置、是否包含纯碱主线？</t>
        </is>
      </c>
      <c r="F16" s="21" t="inlineStr">
        <is>
          <t>预期检修与减量相互印证，说明 10 月金山供应处于收缩状态；但缺乏企业正式函件，检修范围与持续时间不确定。</t>
        </is>
      </c>
      <c r="G16" s="21" t="inlineStr">
        <is>
          <t>与厂家确认检修计划；提前锁定 10—11 月发货量。</t>
        </is>
      </c>
      <c r="H16" s="19" t="inlineStr">
        <is>
          <t>采购 + 财务</t>
        </is>
      </c>
      <c r="I16" s="19" t="inlineStr">
        <is>
          <t>2026-11-14</t>
        </is>
      </c>
    </row>
    <row r="17" ht="64" customHeight="1">
      <c r="A17" s="19" t="n">
        <v>13</v>
      </c>
      <c r="B17" s="20" t="inlineStr">
        <is>
          <t>金山化工</t>
        </is>
      </c>
      <c r="C17" s="19" t="inlineStr">
        <is>
          <t>EV-2026-005</t>
        </is>
      </c>
      <c r="D17" s="44" t="inlineStr">
        <is>
          <t>P3</t>
        </is>
      </c>
      <c r="E17" s="21" t="inlineStr">
        <is>
          <t>计划检修天数与复产时间？</t>
        </is>
      </c>
      <c r="F17" s="21" t="inlineStr">
        <is>
          <t>预期检修与减量相互印证，说明 10 月金山供应处于收缩状态；但缺乏企业正式函件，检修范围与持续时间不确定。</t>
        </is>
      </c>
      <c r="G17" s="21" t="inlineStr">
        <is>
          <t>与厂家确认检修计划；提前锁定 10—11 月发货量。</t>
        </is>
      </c>
      <c r="H17" s="19" t="inlineStr">
        <is>
          <t>采购 + 财务</t>
        </is>
      </c>
      <c r="I17" s="19" t="inlineStr">
        <is>
          <t>2026-11-14</t>
        </is>
      </c>
    </row>
    <row r="18" ht="64" customHeight="1">
      <c r="A18" s="19" t="n">
        <v>14</v>
      </c>
      <c r="B18" s="20" t="inlineStr">
        <is>
          <t>金山化工</t>
        </is>
      </c>
      <c r="C18" s="19" t="inlineStr">
        <is>
          <t>EV-2026-005</t>
        </is>
      </c>
      <c r="D18" s="44" t="inlineStr">
        <is>
          <t>P3</t>
        </is>
      </c>
      <c r="E18" s="21" t="inlineStr">
        <is>
          <t>是否与二厂 5 月检修属于同一轮计划？</t>
        </is>
      </c>
      <c r="F18" s="21" t="inlineStr">
        <is>
          <t>预期检修与减量相互印证，说明 10 月金山供应处于收缩状态；但缺乏企业正式函件，检修范围与持续时间不确定。</t>
        </is>
      </c>
      <c r="G18" s="21" t="inlineStr">
        <is>
          <t>与厂家确认检修计划；提前锁定 10—11 月发货量。</t>
        </is>
      </c>
      <c r="H18" s="19" t="inlineStr">
        <is>
          <t>采购 + 财务</t>
        </is>
      </c>
      <c r="I18" s="19" t="inlineStr">
        <is>
          <t>2026-11-14</t>
        </is>
      </c>
    </row>
    <row r="19" ht="64" customHeight="1">
      <c r="A19" s="19" t="n">
        <v>15</v>
      </c>
      <c r="B19" s="20" t="inlineStr">
        <is>
          <t>中盐化工</t>
        </is>
      </c>
      <c r="C19" s="19" t="inlineStr">
        <is>
          <t>EV-2026-006</t>
        </is>
      </c>
      <c r="D19" s="44" t="inlineStr">
        <is>
          <t>P3</t>
        </is>
      </c>
      <c r="E19" s="21" t="inlineStr">
        <is>
          <t>项目投产时间表与资本开支节奏？</t>
        </is>
      </c>
      <c r="F19" s="21" t="inlineStr">
        <is>
          <t>项目属长期产能扩张，若按期投产将改变公司成本曲线与行业供给格局；短期不改变现有装置交付能力，但可作为供应商中长期竞争力的正面信号。</t>
        </is>
      </c>
      <c r="G19" s="21" t="inlineStr">
        <is>
          <t>纳入供应商中长期跟踪；不改变当前采购决策。</t>
        </is>
      </c>
      <c r="H19" s="19" t="inlineStr">
        <is>
          <t>采购 + 财务</t>
        </is>
      </c>
      <c r="I19" s="19" t="inlineStr">
        <is>
          <t>2026-11-14</t>
        </is>
      </c>
    </row>
    <row r="20" ht="64" customHeight="1">
      <c r="A20" s="19" t="n">
        <v>16</v>
      </c>
      <c r="B20" s="20" t="inlineStr">
        <is>
          <t>中盐化工</t>
        </is>
      </c>
      <c r="C20" s="19" t="inlineStr">
        <is>
          <t>EV-2026-006</t>
        </is>
      </c>
      <c r="D20" s="44" t="inlineStr">
        <is>
          <t>P3</t>
        </is>
      </c>
      <c r="E20" s="21" t="inlineStr">
        <is>
          <t>是否会影响现有氨碱装置的维护与排产？</t>
        </is>
      </c>
      <c r="F20" s="21" t="inlineStr">
        <is>
          <t>项目属长期产能扩张，若按期投产将改变公司成本曲线与行业供给格局；短期不改变现有装置交付能力，但可作为供应商中长期竞争力的正面信号。</t>
        </is>
      </c>
      <c r="G20" s="21" t="inlineStr">
        <is>
          <t>纳入供应商中长期跟踪；不改变当前采购决策。</t>
        </is>
      </c>
      <c r="H20" s="19" t="inlineStr">
        <is>
          <t>采购 + 财务</t>
        </is>
      </c>
      <c r="I20" s="19" t="inlineStr">
        <is>
          <t>2026-11-14</t>
        </is>
      </c>
    </row>
    <row r="21" ht="64" customHeight="1">
      <c r="A21" s="19" t="n">
        <v>17</v>
      </c>
      <c r="B21" s="20" t="inlineStr">
        <is>
          <t>中盐化工</t>
        </is>
      </c>
      <c r="C21" s="19" t="inlineStr">
        <is>
          <t>EV-2026-006</t>
        </is>
      </c>
      <c r="D21" s="44" t="inlineStr">
        <is>
          <t>P3</t>
        </is>
      </c>
      <c r="E21" s="21" t="inlineStr">
        <is>
          <t>产品定位（重碱/轻碱/光伏玻璃）与目标市场？</t>
        </is>
      </c>
      <c r="F21" s="21" t="inlineStr">
        <is>
          <t>项目属长期产能扩张，若按期投产将改变公司成本曲线与行业供给格局；短期不改变现有装置交付能力，但可作为供应商中长期竞争力的正面信号。</t>
        </is>
      </c>
      <c r="G21" s="21" t="inlineStr">
        <is>
          <t>纳入供应商中长期跟踪；不改变当前采购决策。</t>
        </is>
      </c>
      <c r="H21" s="19" t="inlineStr">
        <is>
          <t>采购 + 财务</t>
        </is>
      </c>
      <c r="I21" s="19" t="inlineStr">
        <is>
          <t>2026-11-14</t>
        </is>
      </c>
    </row>
    <row r="22" ht="64" customHeight="1">
      <c r="A22" s="19" t="n">
        <v>18</v>
      </c>
      <c r="B22" s="20" t="inlineStr">
        <is>
          <t>中盐化工</t>
        </is>
      </c>
      <c r="C22" s="19" t="inlineStr">
        <is>
          <t>EV-2026-007</t>
        </is>
      </c>
      <c r="D22" s="45" t="inlineStr">
        <is>
          <t>P2</t>
        </is>
      </c>
      <c r="E22" s="21" t="inlineStr">
        <is>
          <t>关联交易整改措施与后续披露安排？</t>
        </is>
      </c>
      <c r="F22" s="21" t="inlineStr">
        <is>
          <t>属于公司治理与信息披露瑕疵，不直接等同于交付风险；但关联交易规模较大、整改发生在半年报披露前，结合上半年亏损，需关注其内控、关联方依赖与融资环境。</t>
        </is>
      </c>
      <c r="G22" s="21" t="inlineStr">
        <is>
          <t>把“治理与信披”纳入准入评分；要求提供整改报告与关联交易清单。</t>
        </is>
      </c>
      <c r="H22" s="19" t="inlineStr">
        <is>
          <t>采购 + 法务</t>
        </is>
      </c>
      <c r="I22" s="19" t="inlineStr">
        <is>
          <t>2026-11-03</t>
        </is>
      </c>
    </row>
    <row r="23" ht="64" customHeight="1">
      <c r="A23" s="19" t="n">
        <v>19</v>
      </c>
      <c r="B23" s="20" t="inlineStr">
        <is>
          <t>中盐化工</t>
        </is>
      </c>
      <c r="C23" s="19" t="inlineStr">
        <is>
          <t>EV-2026-007</t>
        </is>
      </c>
      <c r="D23" s="45" t="inlineStr">
        <is>
          <t>P2</t>
        </is>
      </c>
      <c r="E23" s="21" t="inlineStr">
        <is>
          <t>关联采购占原材料/能源采购的比重是多少？</t>
        </is>
      </c>
      <c r="F23" s="21" t="inlineStr">
        <is>
          <t>属于公司治理与信息披露瑕疵，不直接等同于交付风险；但关联交易规模较大、整改发生在半年报披露前，结合上半年亏损，需关注其内控、关联方依赖与融资环境。</t>
        </is>
      </c>
      <c r="G23" s="21" t="inlineStr">
        <is>
          <t>把“治理与信披”纳入准入评分；要求提供整改报告与关联交易清单。</t>
        </is>
      </c>
      <c r="H23" s="19" t="inlineStr">
        <is>
          <t>采购 + 法务</t>
        </is>
      </c>
      <c r="I23" s="19" t="inlineStr">
        <is>
          <t>2026-11-03</t>
        </is>
      </c>
    </row>
    <row r="24" ht="64" customHeight="1">
      <c r="A24" s="19" t="n">
        <v>20</v>
      </c>
      <c r="B24" s="20" t="inlineStr">
        <is>
          <t>中盐化工</t>
        </is>
      </c>
      <c r="C24" s="19" t="inlineStr">
        <is>
          <t>EV-2026-007</t>
        </is>
      </c>
      <c r="D24" s="45" t="inlineStr">
        <is>
          <t>P2</t>
        </is>
      </c>
      <c r="E24" s="21" t="inlineStr">
        <is>
          <t>监管措施是否影响银行授信、债券发行或客户准入？</t>
        </is>
      </c>
      <c r="F24" s="21" t="inlineStr">
        <is>
          <t>属于公司治理与信息披露瑕疵，不直接等同于交付风险；但关联交易规模较大、整改发生在半年报披露前，结合上半年亏损，需关注其内控、关联方依赖与融资环境。</t>
        </is>
      </c>
      <c r="G24" s="21" t="inlineStr">
        <is>
          <t>把“治理与信披”纳入准入评分；要求提供整改报告与关联交易清单。</t>
        </is>
      </c>
      <c r="H24" s="19" t="inlineStr">
        <is>
          <t>采购 + 法务</t>
        </is>
      </c>
      <c r="I24" s="19" t="inlineStr">
        <is>
          <t>2026-11-03</t>
        </is>
      </c>
    </row>
    <row r="25" ht="64" customHeight="1">
      <c r="A25" s="19" t="n">
        <v>21</v>
      </c>
      <c r="B25" s="20" t="inlineStr">
        <is>
          <t>三友化工</t>
        </is>
      </c>
      <c r="C25" s="19" t="inlineStr">
        <is>
          <t>EV-2026-008</t>
        </is>
      </c>
      <c r="D25" s="44" t="inlineStr">
        <is>
          <t>P3</t>
        </is>
      </c>
      <c r="E25" s="21" t="inlineStr">
        <is>
          <t>青海五彩检修是否已完成、当前负荷如何？</t>
        </is>
      </c>
      <c r="F25" s="21" t="inlineStr">
        <is>
          <t>属计划内检修，量级约占公司纯碱年产能的 0.6%—0.9%，对整体交付影响有限；可作为 10 月排产与发运的沟通节点。</t>
        </is>
      </c>
      <c r="G25" s="21" t="inlineStr">
        <is>
          <t>按计划沟通 10 月发货；无需额外备货。</t>
        </is>
      </c>
      <c r="H25" s="19" t="inlineStr">
        <is>
          <t>采购 + 财务</t>
        </is>
      </c>
      <c r="I25" s="19" t="inlineStr">
        <is>
          <t>2026-11-14</t>
        </is>
      </c>
    </row>
    <row r="26" ht="64" customHeight="1">
      <c r="A26" s="19" t="n">
        <v>22</v>
      </c>
      <c r="B26" s="20" t="inlineStr">
        <is>
          <t>三友化工</t>
        </is>
      </c>
      <c r="C26" s="19" t="inlineStr">
        <is>
          <t>EV-2026-008</t>
        </is>
      </c>
      <c r="D26" s="44" t="inlineStr">
        <is>
          <t>P3</t>
        </is>
      </c>
      <c r="E26" s="21" t="inlineStr">
        <is>
          <t>10 月氯碱检修是否影响蒸汽/电力联产进而波及纯碱？</t>
        </is>
      </c>
      <c r="F26" s="21" t="inlineStr">
        <is>
          <t>属计划内检修，量级约占公司纯碱年产能的 0.6%—0.9%，对整体交付影响有限；可作为 10 月排产与发运的沟通节点。</t>
        </is>
      </c>
      <c r="G26" s="21" t="inlineStr">
        <is>
          <t>按计划沟通 10 月发货；无需额外备货。</t>
        </is>
      </c>
      <c r="H26" s="19" t="inlineStr">
        <is>
          <t>采购 + 财务</t>
        </is>
      </c>
      <c r="I26" s="19" t="inlineStr">
        <is>
          <t>2026-11-14</t>
        </is>
      </c>
    </row>
    <row r="27" ht="64" customHeight="1">
      <c r="A27" s="19" t="n">
        <v>23</v>
      </c>
      <c r="B27" s="20" t="inlineStr">
        <is>
          <t>三友化工</t>
        </is>
      </c>
      <c r="C27" s="19" t="inlineStr">
        <is>
          <t>EV-2026-008</t>
        </is>
      </c>
      <c r="D27" s="44" t="inlineStr">
        <is>
          <t>P3</t>
        </is>
      </c>
      <c r="E27" s="21" t="inlineStr">
        <is>
          <t>2—3 万吨损失是否已通过库存或超产弥补？</t>
        </is>
      </c>
      <c r="F27" s="21" t="inlineStr">
        <is>
          <t>属计划内检修，量级约占公司纯碱年产能的 0.6%—0.9%，对整体交付影响有限；可作为 10 月排产与发运的沟通节点。</t>
        </is>
      </c>
      <c r="G27" s="21" t="inlineStr">
        <is>
          <t>按计划沟通 10 月发货；无需额外备货。</t>
        </is>
      </c>
      <c r="H27" s="19" t="inlineStr">
        <is>
          <t>采购 + 财务</t>
        </is>
      </c>
      <c r="I27" s="19" t="inlineStr">
        <is>
          <t>2026-11-14</t>
        </is>
      </c>
    </row>
    <row r="28" ht="64" customHeight="1">
      <c r="A28" s="19" t="n">
        <v>24</v>
      </c>
      <c r="B28" s="20" t="inlineStr">
        <is>
          <t>三友化工</t>
        </is>
      </c>
      <c r="C28" s="19" t="inlineStr">
        <is>
          <t>EV-2026-009</t>
        </is>
      </c>
      <c r="D28" s="44" t="inlineStr">
        <is>
          <t>P3</t>
        </is>
      </c>
      <c r="E28" s="21" t="inlineStr">
        <is>
          <t>纯碱板块单独毛利率与现金流？</t>
        </is>
      </c>
      <c r="F28" s="21" t="inlineStr">
        <is>
          <t>盈利同比修复，履约与持续经营能力稳定；但纯碱价格仍处低位，利润改善幅度需结合粘胶、氯碱等板块拆分理解。</t>
        </is>
      </c>
      <c r="G28" s="21" t="inlineStr">
        <is>
          <t>作为财务稳健性的正向证据留存。</t>
        </is>
      </c>
      <c r="H28" s="19" t="inlineStr">
        <is>
          <t>采购 + 财务</t>
        </is>
      </c>
      <c r="I28" s="19" t="inlineStr">
        <is>
          <t>2026-11-14</t>
        </is>
      </c>
    </row>
    <row r="29" ht="64" customHeight="1">
      <c r="A29" s="19" t="n">
        <v>25</v>
      </c>
      <c r="B29" s="20" t="inlineStr">
        <is>
          <t>三友化工</t>
        </is>
      </c>
      <c r="C29" s="19" t="inlineStr">
        <is>
          <t>EV-2026-009</t>
        </is>
      </c>
      <c r="D29" s="44" t="inlineStr">
        <is>
          <t>P3</t>
        </is>
      </c>
      <c r="E29" s="21" t="inlineStr">
        <is>
          <t>下半年检修与资本开支计划？</t>
        </is>
      </c>
      <c r="F29" s="21" t="inlineStr">
        <is>
          <t>盈利同比修复，履约与持续经营能力稳定；但纯碱价格仍处低位，利润改善幅度需结合粘胶、氯碱等板块拆分理解。</t>
        </is>
      </c>
      <c r="G29" s="21" t="inlineStr">
        <is>
          <t>作为财务稳健性的正向证据留存。</t>
        </is>
      </c>
      <c r="H29" s="19" t="inlineStr">
        <is>
          <t>采购 + 财务</t>
        </is>
      </c>
      <c r="I29" s="19" t="inlineStr">
        <is>
          <t>2026-11-14</t>
        </is>
      </c>
    </row>
    <row r="30" ht="64" customHeight="1">
      <c r="A30" s="19" t="n">
        <v>26</v>
      </c>
      <c r="B30" s="20" t="inlineStr">
        <is>
          <t>山东海化</t>
        </is>
      </c>
      <c r="C30" s="19" t="inlineStr">
        <is>
          <t>EV-2026-010</t>
        </is>
      </c>
      <c r="D30" s="45" t="inlineStr">
        <is>
          <t>P2</t>
        </is>
      </c>
      <c r="E30" s="21" t="inlineStr">
        <is>
          <t>现金流为负的具体构成与改善计划？</t>
        </is>
      </c>
      <c r="F30" s="21" t="inlineStr">
        <is>
          <t>连续亏损叠加经营现金流大幅流出，可能影响技改投入、检修节奏、账期与预付款政策；不等于断供，但需要把付款条件与履约保障前置确认。</t>
        </is>
      </c>
      <c r="G30" s="21" t="inlineStr">
        <is>
          <t>缩短账期或增加履约保证金；合同中加入技改/检修期间的供货安排。</t>
        </is>
      </c>
      <c r="H30" s="19" t="inlineStr">
        <is>
          <t>采购 + 财务</t>
        </is>
      </c>
      <c r="I30" s="19" t="inlineStr">
        <is>
          <t>2026-11-03</t>
        </is>
      </c>
    </row>
    <row r="31" ht="64" customHeight="1">
      <c r="A31" s="19" t="n">
        <v>27</v>
      </c>
      <c r="B31" s="20" t="inlineStr">
        <is>
          <t>山东海化</t>
        </is>
      </c>
      <c r="C31" s="19" t="inlineStr">
        <is>
          <t>EV-2026-010</t>
        </is>
      </c>
      <c r="D31" s="45" t="inlineStr">
        <is>
          <t>P2</t>
        </is>
      </c>
      <c r="E31" s="21" t="inlineStr">
        <is>
          <t>是否调整对下游客户的账期或要求预付款？</t>
        </is>
      </c>
      <c r="F31" s="21" t="inlineStr">
        <is>
          <t>连续亏损叠加经营现金流大幅流出，可能影响技改投入、检修节奏、账期与预付款政策；不等于断供，但需要把付款条件与履约保障前置确认。</t>
        </is>
      </c>
      <c r="G31" s="21" t="inlineStr">
        <is>
          <t>缩短账期或增加履约保证金；合同中加入技改/检修期间的供货安排。</t>
        </is>
      </c>
      <c r="H31" s="19" t="inlineStr">
        <is>
          <t>采购 + 财务</t>
        </is>
      </c>
      <c r="I31" s="19" t="inlineStr">
        <is>
          <t>2026-11-03</t>
        </is>
      </c>
    </row>
    <row r="32" ht="64" customHeight="1">
      <c r="A32" s="19" t="n">
        <v>28</v>
      </c>
      <c r="B32" s="20" t="inlineStr">
        <is>
          <t>山东海化</t>
        </is>
      </c>
      <c r="C32" s="19" t="inlineStr">
        <is>
          <t>EV-2026-010</t>
        </is>
      </c>
      <c r="D32" s="45" t="inlineStr">
        <is>
          <t>P2</t>
        </is>
      </c>
      <c r="E32" s="21" t="inlineStr">
        <is>
          <t>48.37 亿元技改期间，老装置产量与检修如何安排？</t>
        </is>
      </c>
      <c r="F32" s="21" t="inlineStr">
        <is>
          <t>连续亏损叠加经营现金流大幅流出，可能影响技改投入、检修节奏、账期与预付款政策；不等于断供，但需要把付款条件与履约保障前置确认。</t>
        </is>
      </c>
      <c r="G32" s="21" t="inlineStr">
        <is>
          <t>缩短账期或增加履约保证金；合同中加入技改/检修期间的供货安排。</t>
        </is>
      </c>
      <c r="H32" s="19" t="inlineStr">
        <is>
          <t>采购 + 财务</t>
        </is>
      </c>
      <c r="I32" s="19" t="inlineStr">
        <is>
          <t>2026-11-03</t>
        </is>
      </c>
    </row>
    <row r="33" ht="64" customHeight="1">
      <c r="A33" s="19" t="n">
        <v>29</v>
      </c>
      <c r="B33" s="20" t="inlineStr">
        <is>
          <t>双环科技</t>
        </is>
      </c>
      <c r="C33" s="19" t="inlineStr">
        <is>
          <t>EV-2026-011</t>
        </is>
      </c>
      <c r="D33" s="45" t="inlineStr">
        <is>
          <t>P2</t>
        </is>
      </c>
      <c r="E33" s="21" t="inlineStr">
        <is>
          <t>是否制定减产或检修计划以应对亏损？</t>
        </is>
      </c>
      <c r="F33" s="21" t="inlineStr">
        <is>
          <t>单一联碱业务、盈利极薄，在行业低谷中抗风险能力偏弱；需关注其是否减产保价、现金流是否紧张，以及对客户账期与发货节奏的调整。</t>
        </is>
      </c>
      <c r="G33" s="21" t="inlineStr">
        <is>
          <t>控制单笔敞口、缩短账期；关注其减产公告与月度发货。</t>
        </is>
      </c>
      <c r="H33" s="19" t="inlineStr">
        <is>
          <t>采购 + 财务</t>
        </is>
      </c>
      <c r="I33" s="19" t="inlineStr">
        <is>
          <t>2026-11-03</t>
        </is>
      </c>
    </row>
    <row r="34" ht="64" customHeight="1">
      <c r="A34" s="19" t="n">
        <v>30</v>
      </c>
      <c r="B34" s="20" t="inlineStr">
        <is>
          <t>双环科技</t>
        </is>
      </c>
      <c r="C34" s="19" t="inlineStr">
        <is>
          <t>EV-2026-011</t>
        </is>
      </c>
      <c r="D34" s="45" t="inlineStr">
        <is>
          <t>P2</t>
        </is>
      </c>
      <c r="E34" s="21" t="inlineStr">
        <is>
          <t>氯化铵价格与出口能否对冲纯碱亏损？</t>
        </is>
      </c>
      <c r="F34" s="21" t="inlineStr">
        <is>
          <t>单一联碱业务、盈利极薄，在行业低谷中抗风险能力偏弱；需关注其是否减产保价、现金流是否紧张，以及对客户账期与发货节奏的调整。</t>
        </is>
      </c>
      <c r="G34" s="21" t="inlineStr">
        <is>
          <t>控制单笔敞口、缩短账期；关注其减产公告与月度发货。</t>
        </is>
      </c>
      <c r="H34" s="19" t="inlineStr">
        <is>
          <t>采购 + 财务</t>
        </is>
      </c>
      <c r="I34" s="19" t="inlineStr">
        <is>
          <t>2026-11-03</t>
        </is>
      </c>
    </row>
    <row r="35" ht="64" customHeight="1">
      <c r="A35" s="19" t="n">
        <v>31</v>
      </c>
      <c r="B35" s="20" t="inlineStr">
        <is>
          <t>双环科技</t>
        </is>
      </c>
      <c r="C35" s="19" t="inlineStr">
        <is>
          <t>EV-2026-011</t>
        </is>
      </c>
      <c r="D35" s="45" t="inlineStr">
        <is>
          <t>P2</t>
        </is>
      </c>
      <c r="E35" s="21" t="inlineStr">
        <is>
          <t>现金流与授信额度是否足以覆盖下半年资本开支？</t>
        </is>
      </c>
      <c r="F35" s="21" t="inlineStr">
        <is>
          <t>单一联碱业务、盈利极薄，在行业低谷中抗风险能力偏弱；需关注其是否减产保价、现金流是否紧张，以及对客户账期与发货节奏的调整。</t>
        </is>
      </c>
      <c r="G35" s="21" t="inlineStr">
        <is>
          <t>控制单笔敞口、缩短账期；关注其减产公告与月度发货。</t>
        </is>
      </c>
      <c r="H35" s="19" t="inlineStr">
        <is>
          <t>采购 + 财务</t>
        </is>
      </c>
      <c r="I35" s="19" t="inlineStr">
        <is>
          <t>2026-11-03</t>
        </is>
      </c>
    </row>
    <row r="36" ht="64" customHeight="1">
      <c r="A36" s="19" t="n">
        <v>32</v>
      </c>
      <c r="B36" s="20" t="inlineStr">
        <is>
          <t>和邦生物</t>
        </is>
      </c>
      <c r="C36" s="19" t="inlineStr">
        <is>
          <t>EV-2026-012</t>
        </is>
      </c>
      <c r="D36" s="44" t="inlineStr">
        <is>
          <t>P3</t>
        </is>
      </c>
      <c r="E36" s="21" t="inlineStr">
        <is>
          <t>纯碱/氯化铵板块的收入、毛利与现金流？</t>
        </is>
      </c>
      <c r="F36" s="21" t="inlineStr">
        <is>
          <t>整体盈利与现金流改善，有利于履约；但利润来源并非纯碱，纯碱板块仍处行业低谷，不能把公司整体盈利直接等同于纯碱供应稳定性。</t>
        </is>
      </c>
      <c r="G36" s="21" t="inlineStr">
        <is>
          <t>要求分板块经营数据；维持正常采购。</t>
        </is>
      </c>
      <c r="H36" s="19" t="inlineStr">
        <is>
          <t>采购 + 财务</t>
        </is>
      </c>
      <c r="I36" s="19" t="inlineStr">
        <is>
          <t>2026-11-14</t>
        </is>
      </c>
    </row>
    <row r="37" ht="64" customHeight="1">
      <c r="A37" s="19" t="n">
        <v>33</v>
      </c>
      <c r="B37" s="20" t="inlineStr">
        <is>
          <t>和邦生物</t>
        </is>
      </c>
      <c r="C37" s="19" t="inlineStr">
        <is>
          <t>EV-2026-012</t>
        </is>
      </c>
      <c r="D37" s="44" t="inlineStr">
        <is>
          <t>P3</t>
        </is>
      </c>
      <c r="E37" s="21" t="inlineStr">
        <is>
          <t>蛋氨酸/草甘膦景气回落时，纯碱业务是否会被削减资本开支？</t>
        </is>
      </c>
      <c r="F37" s="21" t="inlineStr">
        <is>
          <t>整体盈利与现金流改善，有利于履约；但利润来源并非纯碱，纯碱板块仍处行业低谷，不能把公司整体盈利直接等同于纯碱供应稳定性。</t>
        </is>
      </c>
      <c r="G37" s="21" t="inlineStr">
        <is>
          <t>要求分板块经营数据；维持正常采购。</t>
        </is>
      </c>
      <c r="H37" s="19" t="inlineStr">
        <is>
          <t>采购 + 财务</t>
        </is>
      </c>
      <c r="I37" s="19" t="inlineStr">
        <is>
          <t>2026-11-14</t>
        </is>
      </c>
    </row>
    <row r="38" ht="64" customHeight="1">
      <c r="A38" s="19" t="n">
        <v>34</v>
      </c>
      <c r="B38" s="20" t="inlineStr">
        <is>
          <t>博源化工</t>
        </is>
      </c>
      <c r="C38" s="19" t="inlineStr">
        <is>
          <t>EV-2026-013</t>
        </is>
      </c>
      <c r="D38" s="44" t="inlineStr">
        <is>
          <t>P3</t>
        </is>
      </c>
      <c r="E38" s="21" t="inlineStr">
        <is>
          <t>纯碱单位成本与现金成本曲线？</t>
        </is>
      </c>
      <c r="F38" s="21" t="inlineStr">
        <is>
          <t>在行业普遍亏损的背景下保持盈利与正增长，履约能力较强；但利润增长依赖销量扩张，价格下行时需关注其边际成本与检修决策。</t>
        </is>
      </c>
      <c r="G38" s="21" t="inlineStr">
        <is>
          <t>作为财务稳健性的正向证据留存；关注价格周期。</t>
        </is>
      </c>
      <c r="H38" s="19" t="inlineStr">
        <is>
          <t>采购 + 财务</t>
        </is>
      </c>
      <c r="I38" s="19" t="inlineStr">
        <is>
          <t>2026-11-14</t>
        </is>
      </c>
    </row>
    <row r="39" ht="64" customHeight="1">
      <c r="A39" s="19" t="n">
        <v>35</v>
      </c>
      <c r="B39" s="20" t="inlineStr">
        <is>
          <t>博源化工</t>
        </is>
      </c>
      <c r="C39" s="19" t="inlineStr">
        <is>
          <t>EV-2026-013</t>
        </is>
      </c>
      <c r="D39" s="44" t="inlineStr">
        <is>
          <t>P3</t>
        </is>
      </c>
      <c r="E39" s="21" t="inlineStr">
        <is>
          <t>二期 280 万吨装置的负荷与达产进度？</t>
        </is>
      </c>
      <c r="F39" s="21" t="inlineStr">
        <is>
          <t>在行业普遍亏损的背景下保持盈利与正增长，履约能力较强；但利润增长依赖销量扩张，价格下行时需关注其边际成本与检修决策。</t>
        </is>
      </c>
      <c r="G39" s="21" t="inlineStr">
        <is>
          <t>作为财务稳健性的正向证据留存；关注价格周期。</t>
        </is>
      </c>
      <c r="H39" s="19" t="inlineStr">
        <is>
          <t>采购 + 财务</t>
        </is>
      </c>
      <c r="I39" s="19" t="inlineStr">
        <is>
          <t>2026-11-14</t>
        </is>
      </c>
    </row>
    <row r="40" ht="64" customHeight="1">
      <c r="A40" s="19" t="n">
        <v>36</v>
      </c>
      <c r="B40" s="20" t="inlineStr">
        <is>
          <t>博源化工</t>
        </is>
      </c>
      <c r="C40" s="19" t="inlineStr">
        <is>
          <t>EV-2026-013</t>
        </is>
      </c>
      <c r="D40" s="44" t="inlineStr">
        <is>
          <t>P3</t>
        </is>
      </c>
      <c r="E40" s="21" t="inlineStr">
        <is>
          <t>价格继续下行时是否有减产/检修预案？</t>
        </is>
      </c>
      <c r="F40" s="21" t="inlineStr">
        <is>
          <t>在行业普遍亏损的背景下保持盈利与正增长，履约能力较强；但利润增长依赖销量扩张，价格下行时需关注其边际成本与检修决策。</t>
        </is>
      </c>
      <c r="G40" s="21" t="inlineStr">
        <is>
          <t>作为财务稳健性的正向证据留存；关注价格周期。</t>
        </is>
      </c>
      <c r="H40" s="19" t="inlineStr">
        <is>
          <t>采购 + 财务</t>
        </is>
      </c>
      <c r="I40" s="19" t="inlineStr">
        <is>
          <t>2026-11-14</t>
        </is>
      </c>
    </row>
    <row r="41" ht="64" customHeight="1">
      <c r="A41" s="19" t="n">
        <v>37</v>
      </c>
      <c r="B41" s="20" t="inlineStr">
        <is>
          <t>中盐化工</t>
        </is>
      </c>
      <c r="C41" s="19" t="inlineStr">
        <is>
          <t>EV-2026-014</t>
        </is>
      </c>
      <c r="D41" s="46" t="inlineStr">
        <is>
          <t>P1</t>
        </is>
      </c>
      <c r="E41" s="21" t="inlineStr">
        <is>
          <t>安全生产许可证换证进度与预计复产时间？</t>
        </is>
      </c>
      <c r="F41" s="21" t="inlineStr">
        <is>
          <t>许可证到期属合规性停产，已持续约 3 个月，涉及 60 万吨/年纯碱产能；若采购依赖昆山基地或华东区域，需确认替代基地、库存与复产时间。该事件是“安全环保”类中唯一高优先级事项，但性质是证照合规而非事故。</t>
        </is>
      </c>
      <c r="G41" s="21" t="inlineStr">
        <is>
          <t>立即确认在手合同发货基地；准备华东替代货源；合同中明确证照到期/停产的通知与赔偿机制。</t>
        </is>
      </c>
      <c r="H41" s="19" t="inlineStr">
        <is>
          <t>采购 + 质量</t>
        </is>
      </c>
      <c r="I41" s="19" t="inlineStr">
        <is>
          <t>2026-10-24</t>
        </is>
      </c>
    </row>
    <row r="42" ht="64" customHeight="1">
      <c r="A42" s="19" t="n">
        <v>38</v>
      </c>
      <c r="B42" s="20" t="inlineStr">
        <is>
          <t>中盐化工</t>
        </is>
      </c>
      <c r="C42" s="19" t="inlineStr">
        <is>
          <t>EV-2026-014</t>
        </is>
      </c>
      <c r="D42" s="46" t="inlineStr">
        <is>
          <t>P1</t>
        </is>
      </c>
      <c r="E42" s="21" t="inlineStr">
        <is>
          <t>停产期间是否可由内蒙古/青海基地转供？</t>
        </is>
      </c>
      <c r="F42" s="21" t="inlineStr">
        <is>
          <t>许可证到期属合规性停产，已持续约 3 个月，涉及 60 万吨/年纯碱产能；若采购依赖昆山基地或华东区域，需确认替代基地、库存与复产时间。该事件是“安全环保”类中唯一高优先级事项，但性质是证照合规而非事故。</t>
        </is>
      </c>
      <c r="G42" s="21" t="inlineStr">
        <is>
          <t>立即确认在手合同发货基地；准备华东替代货源；合同中明确证照到期/停产的通知与赔偿机制。</t>
        </is>
      </c>
      <c r="H42" s="19" t="inlineStr">
        <is>
          <t>采购 + 质量</t>
        </is>
      </c>
      <c r="I42" s="19" t="inlineStr">
        <is>
          <t>2026-10-24</t>
        </is>
      </c>
    </row>
    <row r="43" ht="64" customHeight="1">
      <c r="A43" s="19" t="n">
        <v>39</v>
      </c>
      <c r="B43" s="20" t="inlineStr">
        <is>
          <t>中盐化工</t>
        </is>
      </c>
      <c r="C43" s="19" t="inlineStr">
        <is>
          <t>EV-2026-014</t>
        </is>
      </c>
      <c r="D43" s="46" t="inlineStr">
        <is>
          <t>P1</t>
        </is>
      </c>
      <c r="E43" s="21" t="inlineStr">
        <is>
          <t>已签合同的交货基地、运费与交期如何调整？</t>
        </is>
      </c>
      <c r="F43" s="21" t="inlineStr">
        <is>
          <t>许可证到期属合规性停产，已持续约 3 个月，涉及 60 万吨/年纯碱产能；若采购依赖昆山基地或华东区域，需确认替代基地、库存与复产时间。该事件是“安全环保”类中唯一高优先级事项，但性质是证照合规而非事故。</t>
        </is>
      </c>
      <c r="G43" s="21" t="inlineStr">
        <is>
          <t>立即确认在手合同发货基地；准备华东替代货源；合同中明确证照到期/停产的通知与赔偿机制。</t>
        </is>
      </c>
      <c r="H43" s="19" t="inlineStr">
        <is>
          <t>采购 + 质量</t>
        </is>
      </c>
      <c r="I43" s="19" t="inlineStr">
        <is>
          <t>2026-10-24</t>
        </is>
      </c>
    </row>
    <row r="44" ht="64" customHeight="1">
      <c r="A44" s="19" t="n">
        <v>40</v>
      </c>
      <c r="B44" s="20" t="inlineStr">
        <is>
          <t>中盐化工</t>
        </is>
      </c>
      <c r="C44" s="19" t="inlineStr">
        <is>
          <t>EV-2026-014</t>
        </is>
      </c>
      <c r="D44" s="46" t="inlineStr">
        <is>
          <t>P1</t>
        </is>
      </c>
      <c r="E44" s="21" t="inlineStr">
        <is>
          <t>停产是否触发合同中的不可抗力/免责条款？</t>
        </is>
      </c>
      <c r="F44" s="21" t="inlineStr">
        <is>
          <t>许可证到期属合规性停产，已持续约 3 个月，涉及 60 万吨/年纯碱产能；若采购依赖昆山基地或华东区域，需确认替代基地、库存与复产时间。该事件是“安全环保”类中唯一高优先级事项，但性质是证照合规而非事故。</t>
        </is>
      </c>
      <c r="G44" s="21" t="inlineStr">
        <is>
          <t>立即确认在手合同发货基地；准备华东替代货源；合同中明确证照到期/停产的通知与赔偿机制。</t>
        </is>
      </c>
      <c r="H44" s="19" t="inlineStr">
        <is>
          <t>采购 + 质量</t>
        </is>
      </c>
      <c r="I44" s="19" t="inlineStr">
        <is>
          <t>2026-10-24</t>
        </is>
      </c>
    </row>
    <row r="45" ht="64" customHeight="1">
      <c r="A45" s="19" t="n">
        <v>41</v>
      </c>
      <c r="B45" s="20" t="inlineStr">
        <is>
          <t>金山化工</t>
        </is>
      </c>
      <c r="C45" s="19" t="inlineStr">
        <is>
          <t>EV-2026-015</t>
        </is>
      </c>
      <c r="D45" s="44" t="inlineStr">
        <is>
          <t>P3</t>
        </is>
      </c>
      <c r="E45" s="21" t="inlineStr">
        <is>
          <t>二厂检修是否已完成？涉及纯碱还是其他产品？</t>
        </is>
      </c>
      <c r="F45" s="21" t="inlineStr">
        <is>
          <t>单次计划检修影响有限，但多次检修/减量叠加，说明装置运行稳定性或成本压力值得关注；非上市企业缺乏公告，需以厂家书面计划为准。</t>
        </is>
      </c>
      <c r="G45" s="21" t="inlineStr">
        <is>
          <t>要求提供年度检修计划；把“计划检修提前告知”写入合同。</t>
        </is>
      </c>
      <c r="H45" s="19" t="inlineStr">
        <is>
          <t>采购 + 财务</t>
        </is>
      </c>
      <c r="I45" s="19" t="inlineStr">
        <is>
          <t>2026-11-14</t>
        </is>
      </c>
    </row>
    <row r="46" ht="64" customHeight="1">
      <c r="A46" s="19" t="n">
        <v>42</v>
      </c>
      <c r="B46" s="20" t="inlineStr">
        <is>
          <t>金山化工</t>
        </is>
      </c>
      <c r="C46" s="19" t="inlineStr">
        <is>
          <t>EV-2026-015</t>
        </is>
      </c>
      <c r="D46" s="44" t="inlineStr">
        <is>
          <t>P3</t>
        </is>
      </c>
      <c r="E46" s="21" t="inlineStr">
        <is>
          <t>5—10 月累计检修损失量是多少？</t>
        </is>
      </c>
      <c r="F46" s="21" t="inlineStr">
        <is>
          <t>单次计划检修影响有限，但多次检修/减量叠加，说明装置运行稳定性或成本压力值得关注；非上市企业缺乏公告，需以厂家书面计划为准。</t>
        </is>
      </c>
      <c r="G46" s="21" t="inlineStr">
        <is>
          <t>要求提供年度检修计划；把“计划检修提前告知”写入合同。</t>
        </is>
      </c>
      <c r="H46" s="19" t="inlineStr">
        <is>
          <t>采购 + 财务</t>
        </is>
      </c>
      <c r="I46" s="19" t="inlineStr">
        <is>
          <t>2026-11-14</t>
        </is>
      </c>
    </row>
    <row r="47" ht="64" customHeight="1">
      <c r="A47" s="19" t="n">
        <v>43</v>
      </c>
      <c r="B47" s="20" t="inlineStr">
        <is>
          <t>金山化工</t>
        </is>
      </c>
      <c r="C47" s="19" t="inlineStr">
        <is>
          <t>EV-2026-015</t>
        </is>
      </c>
      <c r="D47" s="44" t="inlineStr">
        <is>
          <t>P3</t>
        </is>
      </c>
      <c r="E47" s="21" t="inlineStr">
        <is>
          <t>是否存在装置老化或成本倒挂导致的长期降负荷？</t>
        </is>
      </c>
      <c r="F47" s="21" t="inlineStr">
        <is>
          <t>单次计划检修影响有限，但多次检修/减量叠加，说明装置运行稳定性或成本压力值得关注；非上市企业缺乏公告，需以厂家书面计划为准。</t>
        </is>
      </c>
      <c r="G47" s="21" t="inlineStr">
        <is>
          <t>要求提供年度检修计划；把“计划检修提前告知”写入合同。</t>
        </is>
      </c>
      <c r="H47" s="19" t="inlineStr">
        <is>
          <t>采购 + 财务</t>
        </is>
      </c>
      <c r="I47" s="19" t="inlineStr">
        <is>
          <t>2026-11-14</t>
        </is>
      </c>
    </row>
    <row r="48" ht="64" customHeight="1">
      <c r="A48" s="19" t="n">
        <v>44</v>
      </c>
      <c r="B48" s="20" t="inlineStr">
        <is>
          <t>博源化工</t>
        </is>
      </c>
      <c r="C48" s="19" t="inlineStr">
        <is>
          <t>EV-2026-016</t>
        </is>
      </c>
      <c r="D48" s="44" t="inlineStr">
        <is>
          <t>P3</t>
        </is>
      </c>
      <c r="E48" s="21" t="inlineStr">
        <is>
          <t>小苏打项目达产时间与负荷？</t>
        </is>
      </c>
      <c r="F48" s="21" t="inlineStr">
        <is>
          <t>项目投产提升资源综合利用率与小苏打供给，属于正向经营变化；对纯碱主品的直接影响有限，但反映银根基地的持续扩张与运营能力。</t>
        </is>
      </c>
      <c r="G48" s="21" t="inlineStr">
        <is>
          <t>作为正向项目进展留存；关注达产后的产品结构变化。</t>
        </is>
      </c>
      <c r="H48" s="19" t="inlineStr">
        <is>
          <t>采购 + 财务</t>
        </is>
      </c>
      <c r="I48" s="19" t="inlineStr">
        <is>
          <t>2026-11-14</t>
        </is>
      </c>
    </row>
    <row r="49" ht="64" customHeight="1">
      <c r="A49" s="19" t="n">
        <v>45</v>
      </c>
      <c r="B49" s="20" t="inlineStr">
        <is>
          <t>博源化工</t>
        </is>
      </c>
      <c r="C49" s="19" t="inlineStr">
        <is>
          <t>EV-2026-016</t>
        </is>
      </c>
      <c r="D49" s="44" t="inlineStr">
        <is>
          <t>P3</t>
        </is>
      </c>
      <c r="E49" s="21" t="inlineStr">
        <is>
          <t>是否与纯碱装置争用母液/二氧化碳，影响纯碱产量？</t>
        </is>
      </c>
      <c r="F49" s="21" t="inlineStr">
        <is>
          <t>项目投产提升资源综合利用率与小苏打供给，属于正向经营变化；对纯碱主品的直接影响有限，但反映银根基地的持续扩张与运营能力。</t>
        </is>
      </c>
      <c r="G49" s="21" t="inlineStr">
        <is>
          <t>作为正向项目进展留存；关注达产后的产品结构变化。</t>
        </is>
      </c>
      <c r="H49" s="19" t="inlineStr">
        <is>
          <t>采购 + 财务</t>
        </is>
      </c>
      <c r="I49" s="19" t="inlineStr">
        <is>
          <t>2026-11-14</t>
        </is>
      </c>
    </row>
    <row r="50" ht="64" customHeight="1">
      <c r="A50" s="19" t="n">
        <v>46</v>
      </c>
      <c r="B50" s="20" t="inlineStr">
        <is>
          <t>中盐化工</t>
        </is>
      </c>
      <c r="C50" s="19" t="inlineStr">
        <is>
          <t>EV-2026-017</t>
        </is>
      </c>
      <c r="D50" s="46" t="inlineStr">
        <is>
          <t>P1</t>
        </is>
      </c>
      <c r="E50" s="21" t="inlineStr">
        <is>
          <t>许可证到期前是否有预警与换证排期？</t>
        </is>
      </c>
      <c r="F50" s="21" t="inlineStr">
        <is>
          <t>这是 6 个月窗口起点之前约 3 周发生的合规停产，但影响延续至窗口内（6 月 24 日仍停产），因此在 1 年视图中作为背景事项呈现；采购应把它与窗口内的“仍停产”信息连起来看。</t>
        </is>
      </c>
      <c r="G50" s="21" t="inlineStr">
        <is>
          <t>在 1 年视图下与 6 月 24 日“仍停产”事件合并评估。</t>
        </is>
      </c>
      <c r="H50" s="19" t="inlineStr">
        <is>
          <t>采购 + 质量</t>
        </is>
      </c>
      <c r="I50" s="19" t="inlineStr">
        <is>
          <t>2026-10-24</t>
        </is>
      </c>
    </row>
    <row r="51" ht="64" customHeight="1">
      <c r="A51" s="19" t="n">
        <v>47</v>
      </c>
      <c r="B51" s="20" t="inlineStr">
        <is>
          <t>中盐化工</t>
        </is>
      </c>
      <c r="C51" s="19" t="inlineStr">
        <is>
          <t>EV-2026-017</t>
        </is>
      </c>
      <c r="D51" s="46" t="inlineStr">
        <is>
          <t>P1</t>
        </is>
      </c>
      <c r="E51" s="21" t="inlineStr">
        <is>
          <t>停产是否影响昆山基地的氯化铵、复合肥客户？</t>
        </is>
      </c>
      <c r="F51" s="21" t="inlineStr">
        <is>
          <t>这是 6 个月窗口起点之前约 3 周发生的合规停产，但影响延续至窗口内（6 月 24 日仍停产），因此在 1 年视图中作为背景事项呈现；采购应把它与窗口内的“仍停产”信息连起来看。</t>
        </is>
      </c>
      <c r="G51" s="21" t="inlineStr">
        <is>
          <t>在 1 年视图下与 6 月 24 日“仍停产”事件合并评估。</t>
        </is>
      </c>
      <c r="H51" s="19" t="inlineStr">
        <is>
          <t>采购 + 质量</t>
        </is>
      </c>
      <c r="I51" s="19" t="inlineStr">
        <is>
          <t>2026-10-24</t>
        </is>
      </c>
    </row>
    <row r="52" ht="64" customHeight="1">
      <c r="A52" s="19" t="n">
        <v>48</v>
      </c>
      <c r="B52" s="20" t="inlineStr">
        <is>
          <t>中盐化工</t>
        </is>
      </c>
      <c r="C52" s="19" t="inlineStr">
        <is>
          <t>EV-2026-017</t>
        </is>
      </c>
      <c r="D52" s="46" t="inlineStr">
        <is>
          <t>P1</t>
        </is>
      </c>
      <c r="E52" s="21" t="inlineStr">
        <is>
          <t>复产是否需要重新进行安全现状评价？</t>
        </is>
      </c>
      <c r="F52" s="21" t="inlineStr">
        <is>
          <t>这是 6 个月窗口起点之前约 3 周发生的合规停产，但影响延续至窗口内（6 月 24 日仍停产），因此在 1 年视图中作为背景事项呈现；采购应把它与窗口内的“仍停产”信息连起来看。</t>
        </is>
      </c>
      <c r="G52" s="21" t="inlineStr">
        <is>
          <t>在 1 年视图下与 6 月 24 日“仍停产”事件合并评估。</t>
        </is>
      </c>
      <c r="H52" s="19" t="inlineStr">
        <is>
          <t>采购 + 质量</t>
        </is>
      </c>
      <c r="I52" s="19" t="inlineStr">
        <is>
          <t>2026-10-24</t>
        </is>
      </c>
    </row>
    <row r="53" ht="64" customHeight="1">
      <c r="A53" s="19" t="n">
        <v>49</v>
      </c>
      <c r="B53" s="20" t="inlineStr">
        <is>
          <t>山东海化</t>
        </is>
      </c>
      <c r="C53" s="19" t="inlineStr">
        <is>
          <t>EV-2026-018</t>
        </is>
      </c>
      <c r="D53" s="44" t="inlineStr">
        <is>
          <t>P3</t>
        </is>
      </c>
      <c r="E53" s="21" t="inlineStr">
        <is>
          <t>技改分几步、每步涉及哪些装置与停检时间？</t>
        </is>
      </c>
      <c r="F53" s="21" t="inlineStr">
        <is>
          <t>长期提升装置竞争力与排放水平，属正向项目变化；但技改期间可能涉及产线停检与产量损失，需与 2026—2027 年供货计划衔接。</t>
        </is>
      </c>
      <c r="G53" s="21" t="inlineStr">
        <is>
          <t>把技改停检窗口纳入年度合同排产；提前锁定替代货源。</t>
        </is>
      </c>
      <c r="H53" s="19" t="inlineStr">
        <is>
          <t>采购 + 财务</t>
        </is>
      </c>
      <c r="I53" s="19" t="inlineStr">
        <is>
          <t>2026-11-14</t>
        </is>
      </c>
    </row>
    <row r="54" ht="64" customHeight="1">
      <c r="A54" s="19" t="n">
        <v>50</v>
      </c>
      <c r="B54" s="20" t="inlineStr">
        <is>
          <t>山东海化</t>
        </is>
      </c>
      <c r="C54" s="19" t="inlineStr">
        <is>
          <t>EV-2026-018</t>
        </is>
      </c>
      <c r="D54" s="44" t="inlineStr">
        <is>
          <t>P3</t>
        </is>
      </c>
      <c r="E54" s="21" t="inlineStr">
        <is>
          <t>技改期间纯碱产量损失与替代安排？</t>
        </is>
      </c>
      <c r="F54" s="21" t="inlineStr">
        <is>
          <t>长期提升装置竞争力与排放水平，属正向项目变化；但技改期间可能涉及产线停检与产量损失，需与 2026—2027 年供货计划衔接。</t>
        </is>
      </c>
      <c r="G54" s="21" t="inlineStr">
        <is>
          <t>把技改停检窗口纳入年度合同排产；提前锁定替代货源。</t>
        </is>
      </c>
      <c r="H54" s="19" t="inlineStr">
        <is>
          <t>采购 + 财务</t>
        </is>
      </c>
      <c r="I54" s="19" t="inlineStr">
        <is>
          <t>2026-11-14</t>
        </is>
      </c>
    </row>
    <row r="55" ht="64" customHeight="1">
      <c r="A55" s="19" t="n">
        <v>51</v>
      </c>
      <c r="B55" s="20" t="inlineStr">
        <is>
          <t>山东海化</t>
        </is>
      </c>
      <c r="C55" s="19" t="inlineStr">
        <is>
          <t>EV-2026-018</t>
        </is>
      </c>
      <c r="D55" s="44" t="inlineStr">
        <is>
          <t>P3</t>
        </is>
      </c>
      <c r="E55" s="21" t="inlineStr">
        <is>
          <t>300 万吨高端纯碱的目标市场与客户结构？</t>
        </is>
      </c>
      <c r="F55" s="21" t="inlineStr">
        <is>
          <t>长期提升装置竞争力与排放水平，属正向项目变化；但技改期间可能涉及产线停检与产量损失，需与 2026—2027 年供货计划衔接。</t>
        </is>
      </c>
      <c r="G55" s="21" t="inlineStr">
        <is>
          <t>把技改停检窗口纳入年度合同排产；提前锁定替代货源。</t>
        </is>
      </c>
      <c r="H55" s="19" t="inlineStr">
        <is>
          <t>采购 + 财务</t>
        </is>
      </c>
      <c r="I55" s="19" t="inlineStr">
        <is>
          <t>2026-11-14</t>
        </is>
      </c>
    </row>
    <row r="56" ht="64" customHeight="1">
      <c r="A56" s="19" t="n">
        <v>52</v>
      </c>
      <c r="B56" s="20" t="inlineStr">
        <is>
          <t>博源化工</t>
        </is>
      </c>
      <c r="C56" s="19" t="inlineStr">
        <is>
          <t>EV-2026-019</t>
        </is>
      </c>
      <c r="D56" s="45" t="inlineStr">
        <is>
          <t>P2</t>
        </is>
      </c>
      <c r="E56" s="21" t="inlineStr">
        <is>
          <t>和解协议执行进度与剩余付款义务？</t>
        </is>
      </c>
      <c r="F56" s="21" t="inlineStr">
        <is>
          <t>重大仲裁落地、消除不确定性，属正向进展；但 18.89 亿元权益抵顶与现金支付安排可能影响公司资金调度。该事项发生在 6 个月窗口之前，列入 1 年视图作为背景。</t>
        </is>
      </c>
      <c r="G56" s="21" t="inlineStr">
        <is>
          <t>1 年视图背景事项；确认无后续执行风险。</t>
        </is>
      </c>
      <c r="H56" s="19" t="inlineStr">
        <is>
          <t>采购 + 法务</t>
        </is>
      </c>
      <c r="I56" s="19" t="inlineStr">
        <is>
          <t>2026-11-03</t>
        </is>
      </c>
    </row>
    <row r="57" ht="64" customHeight="1">
      <c r="A57" s="19" t="n">
        <v>53</v>
      </c>
      <c r="B57" s="20" t="inlineStr">
        <is>
          <t>博源化工</t>
        </is>
      </c>
      <c r="C57" s="19" t="inlineStr">
        <is>
          <t>EV-2026-019</t>
        </is>
      </c>
      <c r="D57" s="45" t="inlineStr">
        <is>
          <t>P2</t>
        </is>
      </c>
      <c r="E57" s="21" t="inlineStr">
        <is>
          <t>是否影响蒙大矿业分红/现金流？</t>
        </is>
      </c>
      <c r="F57" s="21" t="inlineStr">
        <is>
          <t>重大仲裁落地、消除不确定性，属正向进展；但 18.89 亿元权益抵顶与现金支付安排可能影响公司资金调度。该事项发生在 6 个月窗口之前，列入 1 年视图作为背景。</t>
        </is>
      </c>
      <c r="G57" s="21" t="inlineStr">
        <is>
          <t>1 年视图背景事项；确认无后续执行风险。</t>
        </is>
      </c>
      <c r="H57" s="19" t="inlineStr">
        <is>
          <t>采购 + 法务</t>
        </is>
      </c>
      <c r="I57" s="19" t="inlineStr">
        <is>
          <t>2026-11-03</t>
        </is>
      </c>
    </row>
    <row r="58" ht="64" customHeight="1">
      <c r="A58" s="19" t="n">
        <v>54</v>
      </c>
      <c r="B58" s="20" t="inlineStr">
        <is>
          <t>博源化工</t>
        </is>
      </c>
      <c r="C58" s="19" t="inlineStr">
        <is>
          <t>EV-2026-019</t>
        </is>
      </c>
      <c r="D58" s="45" t="inlineStr">
        <is>
          <t>P2</t>
        </is>
      </c>
      <c r="E58" s="21" t="inlineStr">
        <is>
          <t>是否还有同类诉讼或仲裁？</t>
        </is>
      </c>
      <c r="F58" s="21" t="inlineStr">
        <is>
          <t>重大仲裁落地、消除不确定性，属正向进展；但 18.89 亿元权益抵顶与现金支付安排可能影响公司资金调度。该事项发生在 6 个月窗口之前，列入 1 年视图作为背景。</t>
        </is>
      </c>
      <c r="G58" s="21" t="inlineStr">
        <is>
          <t>1 年视图背景事项；确认无后续执行风险。</t>
        </is>
      </c>
      <c r="H58" s="19" t="inlineStr">
        <is>
          <t>采购 + 法务</t>
        </is>
      </c>
      <c r="I58" s="19" t="inlineStr">
        <is>
          <t>2026-11-03</t>
        </is>
      </c>
    </row>
  </sheetData>
  <autoFilter ref="A4:I58"/>
  <mergeCells count="2">
    <mergeCell ref="A1:I1"/>
    <mergeCell ref="A2:I2"/>
  </mergeCells>
  <pageMargins left="0.35" right="0.35" top="0.45" bottom="0.45" header="0.5" footer="0.5"/>
  <pageSetup orientation="landscape" paperSize="9" fitToHeight="0" fitToWidth="1"/>
</worksheet>
</file>

<file path=xl/worksheets/sheet7.xml><?xml version="1.0" encoding="utf-8"?>
<worksheet xmlns="http://schemas.openxmlformats.org/spreadsheetml/2006/main">
  <sheetPr>
    <tabColor rgb="001F5C99"/>
    <outlinePr summaryBelow="1" summaryRight="1"/>
    <pageSetUpPr fitToPage="1"/>
  </sheetPr>
  <dimension ref="A1:H2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44" customWidth="1" min="2" max="2"/>
    <col width="14" customWidth="1" min="3" max="3"/>
    <col width="22" customWidth="1" min="4" max="4"/>
    <col width="11" customWidth="1" min="5" max="5"/>
    <col width="60" customWidth="1" min="6" max="6"/>
    <col width="6" customWidth="1" min="7" max="7"/>
    <col width="30" customWidth="1" min="8" max="8"/>
  </cols>
  <sheetData>
    <row r="1" ht="32" customHeight="1">
      <c r="A1" s="16" t="inlineStr">
        <is>
          <t>来源清单</t>
        </is>
      </c>
    </row>
    <row r="2">
      <c r="A2" s="17" t="inlineStr">
        <is>
          <t>按事件出现顺序登记；A=公告/政府原文，B=主流财经媒体，C=行业资讯/期货研究</t>
        </is>
      </c>
    </row>
    <row r="4" ht="30" customHeight="1">
      <c r="A4" s="18" t="inlineStr">
        <is>
          <t>序号</t>
        </is>
      </c>
      <c r="B4" s="18" t="inlineStr">
        <is>
          <t>来源 / 标题</t>
        </is>
      </c>
      <c r="C4" s="18" t="inlineStr">
        <is>
          <t>来源类型</t>
        </is>
      </c>
      <c r="D4" s="18" t="inlineStr">
        <is>
          <t>发布方（推断）</t>
        </is>
      </c>
      <c r="E4" s="18" t="inlineStr">
        <is>
          <t>日期</t>
        </is>
      </c>
      <c r="F4" s="18" t="inlineStr">
        <is>
          <t>链接</t>
        </is>
      </c>
      <c r="G4" s="18" t="inlineStr">
        <is>
          <t>证据</t>
        </is>
      </c>
      <c r="H4" s="18" t="inlineStr">
        <is>
          <t>用于事件</t>
        </is>
      </c>
    </row>
    <row r="5" ht="34" customHeight="1">
      <c r="A5" s="19" t="n">
        <v>1</v>
      </c>
      <c r="B5" s="21" t="inlineStr">
        <is>
          <t>双环科技 2026 年第四次临时股东会决议公告（公告编号 2026-039）</t>
        </is>
      </c>
      <c r="C5" s="19" t="inlineStr">
        <is>
          <t>公司公告</t>
        </is>
      </c>
      <c r="D5" s="21" t="inlineStr">
        <is>
          <t>双环科技 2026 年第四次临时股东</t>
        </is>
      </c>
      <c r="E5" s="19" t="inlineStr">
        <is>
          <t>2026-10-16</t>
        </is>
      </c>
      <c r="F5" s="47" t="inlineStr">
        <is>
          <t>https://feng.ifeng.com/c/8xGEF2EUyKu</t>
        </is>
      </c>
      <c r="G5" s="35" t="inlineStr">
        <is>
          <t>A</t>
        </is>
      </c>
      <c r="H5" s="21" t="inlineStr">
        <is>
          <t>EV-2026-001 / 双环科技补选董事并聘任总工程师</t>
        </is>
      </c>
    </row>
    <row r="6" ht="34" customHeight="1">
      <c r="A6" s="19" t="n">
        <v>2</v>
      </c>
      <c r="B6" s="21" t="inlineStr">
        <is>
          <t>卓创资讯（中金在线转载）</t>
        </is>
      </c>
      <c r="C6" s="19" t="inlineStr">
        <is>
          <t>行业资讯</t>
        </is>
      </c>
      <c r="D6" s="21" t="inlineStr">
        <is>
          <t>卓创资讯（中金在线转载）</t>
        </is>
      </c>
      <c r="E6" s="19" t="inlineStr">
        <is>
          <t>2026-10-13</t>
        </is>
      </c>
      <c r="F6" s="47" t="inlineStr">
        <is>
          <t>http://futures.cnfol.com/qishidongtai/20261013/32394908.shtml</t>
        </is>
      </c>
      <c r="G6" s="35" t="inlineStr">
        <is>
          <t>C</t>
        </is>
      </c>
      <c r="H6" s="21" t="inlineStr">
        <is>
          <t>EV-2026-002 / 河南金山纯碱装置减量运行</t>
        </is>
      </c>
    </row>
    <row r="7" ht="34" customHeight="1">
      <c r="A7" s="19" t="n">
        <v>3</v>
      </c>
      <c r="B7" s="21" t="inlineStr">
        <is>
          <t>中华人民共和国乐山海关行政处罚决定书</t>
        </is>
      </c>
      <c r="C7" s="19" t="inlineStr">
        <is>
          <t>政府公示</t>
        </is>
      </c>
      <c r="D7" s="21" t="inlineStr">
        <is>
          <t>中华人民共和国乐山海关行政处罚决定书</t>
        </is>
      </c>
      <c r="E7" s="19" t="inlineStr">
        <is>
          <t>2026-10-08</t>
        </is>
      </c>
      <c r="F7" s="47" t="inlineStr">
        <is>
          <t>http://chengdu.customs.gov.cn/chengdu_customs/2026-10/08/article_2026100816361924539.html</t>
        </is>
      </c>
      <c r="G7" s="35" t="inlineStr">
        <is>
          <t>A</t>
        </is>
      </c>
      <c r="H7" s="21" t="inlineStr">
        <is>
          <t>EV-2026-003 / 乐山海关对和邦生物作出 9 万元行政处罚</t>
        </is>
      </c>
    </row>
    <row r="8" ht="34" customHeight="1">
      <c r="A8" s="19" t="n">
        <v>4</v>
      </c>
      <c r="B8" s="21" t="inlineStr">
        <is>
          <t>隆众资讯 + 首创期货周报</t>
        </is>
      </c>
      <c r="C8" s="19" t="inlineStr">
        <is>
          <t>行业资讯 / 期货研究</t>
        </is>
      </c>
      <c r="D8" s="21" t="inlineStr">
        <is>
          <t>隆众资讯 + 首创期货周报</t>
        </is>
      </c>
      <c r="E8" s="19" t="inlineStr">
        <is>
          <t>2026-10-19</t>
        </is>
      </c>
      <c r="F8" s="47" t="inlineStr">
        <is>
          <t>https://www.oilchem.net/26-1008-15-b899a598549cbc97.html</t>
        </is>
      </c>
      <c r="G8" s="35" t="inlineStr">
        <is>
          <t>C</t>
        </is>
      </c>
      <c r="H8" s="21" t="inlineStr">
        <is>
          <t>EV-2026-004 / 博源银根化工一期装置检修，预计持续至 10 月底</t>
        </is>
      </c>
    </row>
    <row r="9" ht="34" customHeight="1">
      <c r="A9" s="19" t="n">
        <v>5</v>
      </c>
      <c r="B9" s="21" t="inlineStr">
        <is>
          <t>隆众资讯</t>
        </is>
      </c>
      <c r="C9" s="19" t="inlineStr">
        <is>
          <t>行业资讯</t>
        </is>
      </c>
      <c r="D9" s="21" t="inlineStr">
        <is>
          <t>隆众资讯</t>
        </is>
      </c>
      <c r="E9" s="19" t="inlineStr">
        <is>
          <t>2026-09-29</t>
        </is>
      </c>
      <c r="F9" s="47" t="inlineStr">
        <is>
          <t>https://www.oilchem.net/26-0929-16-d4008ab2460fb79e.html</t>
        </is>
      </c>
      <c r="G9" s="35" t="inlineStr">
        <is>
          <t>C</t>
        </is>
      </c>
      <c r="H9" s="21" t="inlineStr">
        <is>
          <t>EV-2026-005 / 隆众资讯：河南金山预期检修</t>
        </is>
      </c>
    </row>
    <row r="10" ht="34" customHeight="1">
      <c r="A10" s="19" t="n">
        <v>6</v>
      </c>
      <c r="B10" s="21" t="inlineStr">
        <is>
          <t>同花顺财经 / 中盐集团电子采购平台</t>
        </is>
      </c>
      <c r="C10" s="19" t="inlineStr">
        <is>
          <t>互动平台 / 招标公告</t>
        </is>
      </c>
      <c r="D10" s="21" t="inlineStr">
        <is>
          <t>中盐集团电子采购平台</t>
        </is>
      </c>
      <c r="E10" s="19" t="inlineStr">
        <is>
          <t>2026-09-18</t>
        </is>
      </c>
      <c r="F10" s="47" t="inlineStr">
        <is>
          <t>https://yuanchuang.10jqka.com.cn/20260918/c680065861.shtml</t>
        </is>
      </c>
      <c r="G10" s="35" t="inlineStr">
        <is>
          <t>B</t>
        </is>
      </c>
      <c r="H10" s="21" t="inlineStr">
        <is>
          <t>EV-2026-006 / 中盐化工 500 万吨/年天然碱项目按计划推进</t>
        </is>
      </c>
    </row>
    <row r="11" ht="34" customHeight="1">
      <c r="A11" s="19" t="n">
        <v>7</v>
      </c>
      <c r="B11" s="21" t="inlineStr">
        <is>
          <t>每日经济新闻 / 内蒙古证监局 / 上交所</t>
        </is>
      </c>
      <c r="C11" s="19" t="inlineStr">
        <is>
          <t>监管公开 + 主流财经媒体</t>
        </is>
      </c>
      <c r="D11" s="21" t="inlineStr">
        <is>
          <t>上交所</t>
        </is>
      </c>
      <c r="E11" s="19" t="inlineStr">
        <is>
          <t>2026-09-04</t>
        </is>
      </c>
      <c r="F11" s="47" t="inlineStr">
        <is>
          <t>https://www.nbd.com.cn/articles/2026-09-04/4573041.html</t>
        </is>
      </c>
      <c r="G11" s="35" t="inlineStr">
        <is>
          <t>A</t>
        </is>
      </c>
      <c r="H11" s="21" t="inlineStr">
        <is>
          <t>EV-2026-007 / 中盐化工因 4.41 亿元关联交易未及时披露被监管谈话</t>
        </is>
      </c>
    </row>
    <row r="12" ht="34" customHeight="1">
      <c r="A12" s="19" t="n">
        <v>8</v>
      </c>
      <c r="B12" s="21" t="inlineStr">
        <is>
          <t>界面新闻</t>
        </is>
      </c>
      <c r="C12" s="19" t="inlineStr">
        <is>
          <t>主流财经媒体</t>
        </is>
      </c>
      <c r="D12" s="21" t="inlineStr">
        <is>
          <t>界面新闻</t>
        </is>
      </c>
      <c r="E12" s="19" t="inlineStr">
        <is>
          <t>2026-09-04</t>
        </is>
      </c>
      <c r="F12" s="47" t="inlineStr">
        <is>
          <t>https://www.jiemian.com/article/10041241.html</t>
        </is>
      </c>
      <c r="G12" s="35" t="inlineStr">
        <is>
          <t>B</t>
        </is>
      </c>
      <c r="H12" s="21" t="inlineStr">
        <is>
          <t>EV-2026-008 / 三友化工：青海五彩碱业检修 3—5 天，预计影响纯碱产量 2—3 万吨</t>
        </is>
      </c>
    </row>
    <row r="13" ht="34" customHeight="1">
      <c r="A13" s="19" t="n">
        <v>9</v>
      </c>
      <c r="B13" s="21" t="inlineStr">
        <is>
          <t>三友化工 2026 年半年度报告</t>
        </is>
      </c>
      <c r="C13" s="19" t="inlineStr">
        <is>
          <t>公司公告</t>
        </is>
      </c>
      <c r="D13" s="21" t="inlineStr">
        <is>
          <t>三友化工 2026 年半年度报告</t>
        </is>
      </c>
      <c r="E13" s="19" t="inlineStr">
        <is>
          <t>2026-08-26</t>
        </is>
      </c>
      <c r="F13" s="47" t="inlineStr">
        <is>
          <t>https://money.finance.sina.com.cn/corp/view/vCB_AllBulletinDetail.php?id=12533808&amp;stockid=600409</t>
        </is>
      </c>
      <c r="G13" s="35" t="inlineStr">
        <is>
          <t>A</t>
        </is>
      </c>
      <c r="H13" s="21" t="inlineStr">
        <is>
          <t>EV-2026-009 / 三友化工上半年净利 1.68 亿元，同比 +129.15%</t>
        </is>
      </c>
    </row>
    <row r="14" ht="34" customHeight="1">
      <c r="A14" s="19" t="n">
        <v>10</v>
      </c>
      <c r="B14" s="21" t="inlineStr">
        <is>
          <t>山东海化 2026 年半年度报告 / 腾讯新闻</t>
        </is>
      </c>
      <c r="C14" s="19" t="inlineStr">
        <is>
          <t>公司公告 + 媒体</t>
        </is>
      </c>
      <c r="D14" s="21" t="inlineStr">
        <is>
          <t>腾讯新闻</t>
        </is>
      </c>
      <c r="E14" s="19" t="inlineStr">
        <is>
          <t>2026-08-24</t>
        </is>
      </c>
      <c r="F14" s="47" t="inlineStr">
        <is>
          <t>https://news.qq.com/rain/a/20260824A05EIL00</t>
        </is>
      </c>
      <c r="G14" s="35" t="inlineStr">
        <is>
          <t>B</t>
        </is>
      </c>
      <c r="H14" s="21" t="inlineStr">
        <is>
          <t>EV-2026-010 / 山东海化上半年净亏 2.81 亿元，经营现金流 -10.07 亿元</t>
        </is>
      </c>
    </row>
    <row r="15" ht="34" customHeight="1">
      <c r="A15" s="19" t="n">
        <v>11</v>
      </c>
      <c r="B15" s="21" t="inlineStr">
        <is>
          <t>双环科技 2026 年半年度报告 / 经济观察网</t>
        </is>
      </c>
      <c r="C15" s="19" t="inlineStr">
        <is>
          <t>公司公告 + 媒体</t>
        </is>
      </c>
      <c r="D15" s="21" t="inlineStr">
        <is>
          <t>经济观察网</t>
        </is>
      </c>
      <c r="E15" s="19" t="inlineStr">
        <is>
          <t>2026-08-24</t>
        </is>
      </c>
      <c r="F15" s="47" t="inlineStr">
        <is>
          <t>http://www.eeo.com.cn/2026/0913/1034907.shtml</t>
        </is>
      </c>
      <c r="G15" s="35" t="inlineStr">
        <is>
          <t>B</t>
        </is>
      </c>
      <c r="H15" s="21" t="inlineStr">
        <is>
          <t>EV-2026-011 / 双环科技上半年由盈转亏，净亏 7464 万元，毛利率降至 4.93%</t>
        </is>
      </c>
    </row>
    <row r="16" ht="34" customHeight="1">
      <c r="A16" s="19" t="n">
        <v>12</v>
      </c>
      <c r="B16" s="21" t="inlineStr">
        <is>
          <t>每日经济新闻</t>
        </is>
      </c>
      <c r="C16" s="19" t="inlineStr">
        <is>
          <t>主流财经媒体</t>
        </is>
      </c>
      <c r="D16" s="21" t="inlineStr">
        <is>
          <t>每日经济新闻</t>
        </is>
      </c>
      <c r="E16" s="19" t="inlineStr">
        <is>
          <t>2026-08-17</t>
        </is>
      </c>
      <c r="F16" s="47" t="inlineStr">
        <is>
          <t>https://www.nbd.com.cn/articles/2026-08-17/4544365.html</t>
        </is>
      </c>
      <c r="G16" s="35" t="inlineStr">
        <is>
          <t>B</t>
        </is>
      </c>
      <c r="H16" s="21" t="inlineStr">
        <is>
          <t>EV-2026-012 / 和邦生物上半年净利 3.8 亿元，同比 +634.3%</t>
        </is>
      </c>
    </row>
    <row r="17" ht="34" customHeight="1">
      <c r="A17" s="19" t="n">
        <v>13</v>
      </c>
      <c r="B17" s="21" t="inlineStr">
        <is>
          <t>财联社</t>
        </is>
      </c>
      <c r="C17" s="19" t="inlineStr">
        <is>
          <t>主流财经媒体</t>
        </is>
      </c>
      <c r="D17" s="21" t="inlineStr">
        <is>
          <t>财联社</t>
        </is>
      </c>
      <c r="E17" s="19" t="inlineStr">
        <is>
          <t>2026-07-30</t>
        </is>
      </c>
      <c r="F17" s="47" t="inlineStr">
        <is>
          <t>https://www.cls.cn/detail/2441623</t>
        </is>
      </c>
      <c r="G17" s="35" t="inlineStr">
        <is>
          <t>B</t>
        </is>
      </c>
      <c r="H17" s="21" t="inlineStr">
        <is>
          <t>EV-2026-013 / 博源化工上半年净利 8.34 亿元，同比 +12.27%</t>
        </is>
      </c>
    </row>
    <row r="18" ht="34" customHeight="1">
      <c r="A18" s="19" t="n">
        <v>14</v>
      </c>
      <c r="B18" s="21" t="inlineStr">
        <is>
          <t>ChemNet 化工头条 / 中盐化工公告 2026-011</t>
        </is>
      </c>
      <c r="C18" s="19" t="inlineStr">
        <is>
          <t>行业媒体 + 公司公告</t>
        </is>
      </c>
      <c r="D18" s="21" t="inlineStr">
        <is>
          <t>中盐化工公告 2026-011</t>
        </is>
      </c>
      <c r="E18" s="19" t="inlineStr">
        <is>
          <t>2026-06-24</t>
        </is>
      </c>
      <c r="F18" s="47" t="inlineStr">
        <is>
          <t>https://news.chemnet.com/toutiao/detail-70994.html</t>
        </is>
      </c>
      <c r="G18" s="35" t="inlineStr">
        <is>
          <t>A</t>
        </is>
      </c>
      <c r="H18" s="21" t="inlineStr">
        <is>
          <t>EV-2026-014 / 中盐昆山 60 万吨/年纯碱装置仍处停产状态</t>
        </is>
      </c>
    </row>
    <row r="19" ht="34" customHeight="1">
      <c r="A19" s="19" t="n">
        <v>15</v>
      </c>
      <c r="B19" s="21" t="inlineStr">
        <is>
          <t>隆众资讯</t>
        </is>
      </c>
      <c r="C19" s="19" t="inlineStr">
        <is>
          <t>行业资讯</t>
        </is>
      </c>
      <c r="D19" s="21" t="inlineStr">
        <is>
          <t>隆众资讯</t>
        </is>
      </c>
      <c r="E19" s="19" t="inlineStr">
        <is>
          <t>2026-05-26</t>
        </is>
      </c>
      <c r="F19" s="47" t="inlineStr">
        <is>
          <t>https://www.oilchem.net/26-0526-17-f508268c19d43d44.html</t>
        </is>
      </c>
      <c r="G19" s="35" t="inlineStr">
        <is>
          <t>C</t>
        </is>
      </c>
      <c r="H19" s="21" t="inlineStr">
        <is>
          <t>EV-2026-015 / 隆众资讯：河南金山二厂计划检修</t>
        </is>
      </c>
    </row>
    <row r="20" ht="34" customHeight="1">
      <c r="A20" s="19" t="n">
        <v>16</v>
      </c>
      <c r="B20" s="21" t="inlineStr">
        <is>
          <t>博源化工公告（2026-037）</t>
        </is>
      </c>
      <c r="C20" s="19" t="inlineStr">
        <is>
          <t>公司公告</t>
        </is>
      </c>
      <c r="D20" s="21" t="inlineStr">
        <is>
          <t>博源化工公告（2026-037）</t>
        </is>
      </c>
      <c r="E20" s="19" t="inlineStr">
        <is>
          <t>2026-05-19</t>
        </is>
      </c>
      <c r="F20" s="47" t="inlineStr">
        <is>
          <t>http://static.cninfo.com.cn/finalpage/2026-05-20/1225316281.PDF</t>
        </is>
      </c>
      <c r="G20" s="35" t="inlineStr">
        <is>
          <t>A</t>
        </is>
      </c>
      <c r="H20" s="21" t="inlineStr">
        <is>
          <t>EV-2026-016 / 博源化工 120 万吨/年小苏打项目投料试车</t>
        </is>
      </c>
    </row>
    <row r="21" ht="34" customHeight="1">
      <c r="A21" s="19" t="n">
        <v>17</v>
      </c>
      <c r="B21" s="21" t="inlineStr">
        <is>
          <t>中盐化工公告（2026-011）</t>
        </is>
      </c>
      <c r="C21" s="19" t="inlineStr">
        <is>
          <t>公司公告</t>
        </is>
      </c>
      <c r="D21" s="21" t="inlineStr">
        <is>
          <t>中盐化工公告（2026-011）</t>
        </is>
      </c>
      <c r="E21" s="19" t="inlineStr">
        <is>
          <t>2026-04-01</t>
        </is>
      </c>
      <c r="F21" s="47" t="inlineStr">
        <is>
          <t>http://static.cninfo.com.cn/finalpage/2026-04-01/1225065549.PDF</t>
        </is>
      </c>
      <c r="G21" s="35" t="inlineStr">
        <is>
          <t>A</t>
        </is>
      </c>
      <c r="H21" s="21" t="inlineStr">
        <is>
          <t>EV-2026-017 / 中盐昆山因安全生产许可证到期自 3 月 27 日起停产</t>
        </is>
      </c>
    </row>
    <row r="22" ht="34" customHeight="1">
      <c r="A22" s="19" t="n">
        <v>18</v>
      </c>
      <c r="B22" s="21" t="inlineStr">
        <is>
          <t>山东海化公告 / 东方财富 PDF</t>
        </is>
      </c>
      <c r="C22" s="19" t="inlineStr">
        <is>
          <t>公司公告</t>
        </is>
      </c>
      <c r="D22" s="21" t="inlineStr">
        <is>
          <t>东方财富 PDF</t>
        </is>
      </c>
      <c r="E22" s="19" t="inlineStr">
        <is>
          <t>2026-02-26</t>
        </is>
      </c>
      <c r="F22" s="47" t="inlineStr">
        <is>
          <t>https://pdf.dfcfw.com/pdf/H2_AN202602251820032549_1.pdf</t>
        </is>
      </c>
      <c r="G22" s="35" t="inlineStr">
        <is>
          <t>A</t>
        </is>
      </c>
      <c r="H22" s="21" t="inlineStr">
        <is>
          <t>EV-2026-018 / 山东海化 48.37 亿元纯碱装置提质增效改造工程</t>
        </is>
      </c>
    </row>
    <row r="23" ht="34" customHeight="1">
      <c r="A23" s="19" t="n">
        <v>19</v>
      </c>
      <c r="B23" s="21" t="inlineStr">
        <is>
          <t>腾讯新闻 / 博源化工公告</t>
        </is>
      </c>
      <c r="C23" s="19" t="inlineStr">
        <is>
          <t>主流财经媒体 + 公告</t>
        </is>
      </c>
      <c r="D23" s="21" t="inlineStr">
        <is>
          <t>博源化工公告</t>
        </is>
      </c>
      <c r="E23" s="19" t="inlineStr">
        <is>
          <t>2026-02-03</t>
        </is>
      </c>
      <c r="F23" s="47" t="inlineStr">
        <is>
          <t>https://news.qq.com/rain/a/20260203A06WVT00</t>
        </is>
      </c>
      <c r="G23" s="35" t="inlineStr">
        <is>
          <t>B</t>
        </is>
      </c>
      <c r="H23" s="21" t="inlineStr">
        <is>
          <t>EV-2026-019 / 博源化工与中煤能源探矿权仲裁达成和解，以 34% 股权未分配利润抵顶 18.89 亿元</t>
        </is>
      </c>
    </row>
  </sheetData>
  <autoFilter ref="A4:H23"/>
  <mergeCells count="2">
    <mergeCell ref="A2:H2"/>
    <mergeCell ref="A1:H1"/>
  </mergeCells>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0" r:id="rId16"/>
    <hyperlink xmlns:r="http://schemas.openxmlformats.org/officeDocument/2006/relationships" ref="F21" r:id="rId17"/>
    <hyperlink xmlns:r="http://schemas.openxmlformats.org/officeDocument/2006/relationships" ref="F22" r:id="rId18"/>
    <hyperlink xmlns:r="http://schemas.openxmlformats.org/officeDocument/2006/relationships" ref="F23" r:id="rId19"/>
  </hyperlinks>
  <pageMargins left="0.35" right="0.35" top="0.45" bottom="0.45" header="0.5" footer="0.5"/>
  <pageSetup orientation="landscape" paperSize="9" fitToHeight="0" fitToWidth="1"/>
</worksheet>
</file>

<file path=xl/worksheets/sheet8.xml><?xml version="1.0" encoding="utf-8"?>
<worksheet xmlns="http://schemas.openxmlformats.org/spreadsheetml/2006/main">
  <sheetPr>
    <tabColor rgb="0064798A"/>
    <outlinePr summaryBelow="1" summaryRight="1"/>
    <pageSetUpPr fitToPage="1"/>
  </sheetPr>
  <dimension ref="B2:E41"/>
  <sheetViews>
    <sheetView showGridLines="0" workbookViewId="0">
      <selection activeCell="A1" sqref="A1"/>
    </sheetView>
  </sheetViews>
  <sheetFormatPr baseColWidth="8" defaultRowHeight="15"/>
  <cols>
    <col width="3" customWidth="1" min="1" max="1"/>
    <col width="26" customWidth="1" min="2" max="2"/>
    <col width="92" customWidth="1" min="3" max="3"/>
    <col width="10" customWidth="1" min="4" max="4"/>
  </cols>
  <sheetData>
    <row r="2" ht="32" customHeight="1">
      <c r="B2" s="16" t="inlineStr">
        <is>
          <t>方法与口径</t>
        </is>
      </c>
    </row>
    <row r="4" ht="26" customHeight="1">
      <c r="B4" s="5" t="inlineStr">
        <is>
          <t>1. 检索范围</t>
        </is>
      </c>
      <c r="C4" s="6" t="n"/>
      <c r="D4" s="6" t="n"/>
    </row>
    <row r="5" ht="26" customHeight="1">
      <c r="B5" s="48" t="inlineStr">
        <is>
          <t>•</t>
        </is>
      </c>
      <c r="C5" s="8" t="inlineStr">
        <is>
          <t>时间窗口：默认近 6 个月（2026-04-19 至 2026-10-19），可切换近 3 个月 / 近 1 年。</t>
        </is>
      </c>
    </row>
    <row r="6" ht="26" customHeight="1">
      <c r="B6" s="48" t="inlineStr">
        <is>
          <t>•</t>
        </is>
      </c>
      <c r="C6" s="8" t="inlineStr">
        <is>
          <t>供应商范围：7 家纯碱生产企业（6 家 A 股上市公司 + 1 家非上市集团），覆盖天然碱、氨碱、联碱三种工艺。</t>
        </is>
      </c>
    </row>
    <row r="7" ht="26" customHeight="1">
      <c r="B7" s="48" t="inlineStr">
        <is>
          <t>•</t>
        </is>
      </c>
      <c r="C7" s="8" t="inlineStr">
        <is>
          <t>信息类型：工商/治理、司法与监管、行政处罚、安全环保、经营动态（含检修、停产、项目、业绩）。</t>
        </is>
      </c>
    </row>
    <row r="8" ht="26" customHeight="1">
      <c r="B8" s="48" t="inlineStr">
        <is>
          <t>•</t>
        </is>
      </c>
      <c r="C8" s="8" t="inlineStr">
        <is>
          <t>检索渠道：巨潮资讯/交易所公告、证监会及地方证监局、海关总署及直属海关、主流财经媒体、隆众/卓创等行业资讯。</t>
        </is>
      </c>
    </row>
    <row r="10" ht="26" customHeight="1">
      <c r="B10" s="5" t="inlineStr">
        <is>
          <t>2. 证据分级</t>
        </is>
      </c>
      <c r="C10" s="6" t="n"/>
      <c r="D10" s="6" t="n"/>
    </row>
    <row r="11" ht="24" customHeight="1">
      <c r="B11" s="49" t="inlineStr">
        <is>
          <t>A（高）</t>
        </is>
      </c>
      <c r="C11" s="21" t="inlineStr">
        <is>
          <t>政府/交易所/公司公告原文，可直接核对</t>
        </is>
      </c>
    </row>
    <row r="12" ht="24" customHeight="1">
      <c r="B12" s="49" t="inlineStr">
        <is>
          <t>B（中）</t>
        </is>
      </c>
      <c r="C12" s="21" t="inlineStr">
        <is>
          <t>主流财经媒体，通常引用公告或采访，需回查原文</t>
        </is>
      </c>
    </row>
    <row r="13" ht="24" customHeight="1">
      <c r="B13" s="49" t="inlineStr">
        <is>
          <t>C（参考）</t>
        </is>
      </c>
      <c r="C13" s="21" t="inlineStr">
        <is>
          <t>行业资讯/期货研究，适合捕捉节奏，不宜单独作为结论</t>
        </is>
      </c>
    </row>
    <row r="15" ht="26" customHeight="1">
      <c r="B15" s="5" t="inlineStr">
        <is>
          <t>3. 检索式（示例）</t>
        </is>
      </c>
      <c r="C15" s="6" t="n"/>
      <c r="D15" s="6" t="n"/>
    </row>
    <row r="16" ht="24" customHeight="1">
      <c r="B16" s="50" t="inlineStr">
        <is>
          <t>检索式</t>
        </is>
      </c>
      <c r="C16" s="21" t="inlineStr">
        <is>
          <t>供应商名称 + 行政处罚 / 环保处罚 / 安全事故 / 停产 / 检修 / 诉讼 / 仲裁 / 股权 / 关联交易</t>
        </is>
      </c>
    </row>
    <row r="17" ht="24" customHeight="1">
      <c r="B17" s="50" t="inlineStr">
        <is>
          <t>检索式</t>
        </is>
      </c>
      <c r="C17" s="21" t="inlineStr">
        <is>
          <t>供应商名称 + 2026 年半年度报告 / 公告 / 监管措施</t>
        </is>
      </c>
    </row>
    <row r="18" ht="24" customHeight="1">
      <c r="B18" s="50" t="inlineStr">
        <is>
          <t>检索式</t>
        </is>
      </c>
      <c r="C18" s="21" t="inlineStr">
        <is>
          <t>纯碱 + 装置动态 / 检修 / 减量 / 开工率（隆众、卓创）</t>
        </is>
      </c>
    </row>
    <row r="19" ht="24" customHeight="1">
      <c r="B19" s="50" t="inlineStr">
        <is>
          <t>检索式</t>
        </is>
      </c>
      <c r="C19" s="21" t="inlineStr">
        <is>
          <t>海关 + 供应商名称 + 行政处罚决定书</t>
        </is>
      </c>
    </row>
    <row r="21" ht="26" customHeight="1">
      <c r="B21" s="5" t="inlineStr">
        <is>
          <t>4. 已知局限</t>
        </is>
      </c>
      <c r="C21" s="6" t="n"/>
      <c r="D21" s="6" t="n"/>
    </row>
    <row r="22" ht="38" customHeight="1">
      <c r="B22" s="50" t="inlineStr">
        <is>
          <t>局限</t>
        </is>
      </c>
      <c r="C22" s="21" t="inlineStr">
        <is>
          <t>未覆盖信用中国、国家企业信用信息公示系统的全量行政处罚与经营异常名录（需按供应商注册地逐条核验）。</t>
        </is>
      </c>
    </row>
    <row r="23" ht="38" customHeight="1">
      <c r="B23" s="50" t="inlineStr">
        <is>
          <t>局限</t>
        </is>
      </c>
      <c r="C23" s="21" t="inlineStr">
        <is>
          <t>未做裁判文书网/执行信息公开网的全文检索，诉讼与被执行信息可能不完整。</t>
        </is>
      </c>
    </row>
    <row r="24" ht="38" customHeight="1">
      <c r="B24" s="50" t="inlineStr">
        <is>
          <t>局限</t>
        </is>
      </c>
      <c r="C24" s="21" t="inlineStr">
        <is>
          <t>非上市企业（金山化工）缺少公告与财务披露，公开信息以行业资讯为主，存在明显信息不对称。</t>
        </is>
      </c>
    </row>
    <row r="25" ht="38" customHeight="1">
      <c r="B25" s="50" t="inlineStr">
        <is>
          <t>局限</t>
        </is>
      </c>
      <c r="C25" s="21" t="inlineStr">
        <is>
          <t>媒体与行业资讯存在滞后、转引与口径差异；同一事件在不同来源中的产能、金额可能不一致。</t>
        </is>
      </c>
    </row>
    <row r="26" ht="38" customHeight="1">
      <c r="B26" s="50" t="inlineStr">
        <is>
          <t>局限</t>
        </is>
      </c>
      <c r="C26" s="21" t="inlineStr">
        <is>
          <t>本报告只陈述公开事实与可能的采购关注点，不预测断供、不替代现场审核、财务尽调与法律尽调。</t>
        </is>
      </c>
    </row>
    <row r="28" ht="26" customHeight="1">
      <c r="B28" s="5" t="inlineStr">
        <is>
          <t>5. 分类覆盖检查</t>
        </is>
      </c>
      <c r="C28" s="6" t="n"/>
      <c r="D28" s="6" t="n"/>
      <c r="E28" s="6" t="n"/>
    </row>
    <row r="29" ht="22" customHeight="1">
      <c r="B29" s="41" t="inlineStr">
        <is>
          <t>类别</t>
        </is>
      </c>
      <c r="C29" s="41" t="inlineStr">
        <is>
          <t>检索结论与说明</t>
        </is>
      </c>
      <c r="D29" s="41" t="inlineStr">
        <is>
          <t>关注度</t>
        </is>
      </c>
    </row>
    <row r="30" ht="50" customHeight="1">
      <c r="B30" s="49" t="inlineStr">
        <is>
          <t>经营异常</t>
        </is>
      </c>
      <c r="C30" s="33" t="inlineStr">
        <is>
          <t>未检索到。未检索到 7 家供应商被列入经营异常名录的公开记录；本次未逐条查询国家企业信用信息公示系统，需按注册地复核。</t>
        </is>
      </c>
      <c r="D30" s="51" t="inlineStr">
        <is>
          <t>待复核</t>
        </is>
      </c>
    </row>
    <row r="31" ht="50" customHeight="1">
      <c r="B31" s="49" t="inlineStr">
        <is>
          <t>行政处罚</t>
        </is>
      </c>
      <c r="C31" s="33" t="inlineStr">
        <is>
          <t>检索到 1 条。和邦生物 2026-10-08 因特许权使用费/工程设计包费申报不实，被乐山海关罚款 9 万元；未检索到环保、安监、市场监管处罚。</t>
        </is>
      </c>
      <c r="D31" s="52" t="inlineStr">
        <is>
          <t>低</t>
        </is>
      </c>
    </row>
    <row r="32" ht="50" customHeight="1">
      <c r="B32" s="49" t="inlineStr">
        <is>
          <t>诉讼 / 仲裁</t>
        </is>
      </c>
      <c r="C32" s="33" t="inlineStr">
        <is>
          <t>检索到 1 条（已和解）。博源化工探矿权仲裁于 2026-02-03 和解，18.89 亿元以蒙大矿业 34% 股权未分配利润抵顶；未检索到新增重大诉讼、被执行或失信记录（未做裁判文书网全量检索）。</t>
        </is>
      </c>
      <c r="D32" s="53" t="inlineStr">
        <is>
          <t>中</t>
        </is>
      </c>
    </row>
    <row r="33" ht="50" customHeight="1">
      <c r="B33" s="49" t="inlineStr">
        <is>
          <t>安全环保事故</t>
        </is>
      </c>
      <c r="C33" s="33" t="inlineStr">
        <is>
          <t>未检索到事故。未检索到安全事故或环保处罚；中盐昆山 60 万吨装置因安全生产许可证到期停产，属证照合规事项，不是事故。</t>
        </is>
      </c>
      <c r="D33" s="54" t="inlineStr">
        <is>
          <t>高</t>
        </is>
      </c>
    </row>
    <row r="34" ht="50" customHeight="1">
      <c r="B34" s="49" t="inlineStr">
        <is>
          <t>重大股权变化</t>
        </is>
      </c>
      <c r="C34" s="33" t="inlineStr">
        <is>
          <t>未检索到。未检索到控制权变更、重大股权转让或引入战略投资者的公告；双环科技 10 月为董监高调整，不涉及股权结构。</t>
        </is>
      </c>
      <c r="D34" s="55" t="inlineStr">
        <is>
          <t>—</t>
        </is>
      </c>
    </row>
    <row r="35" ht="50" customHeight="1">
      <c r="B35" s="49" t="inlineStr">
        <is>
          <t>停产 / 项目变化</t>
        </is>
      </c>
      <c r="C35" s="33" t="inlineStr">
        <is>
          <t>检索到 7 条（6 个月窗口）。中盐昆山停产（6/24）、博源银根一期检修（10/8）、金山二厂检修/预期检修/减量（5/26、9/29、10/13）、三友五彩检修（9/4）、中盐 500 万吨天然碱项目（9/18）、海化 48.37 亿元技改（2/25，窗口外）。</t>
        </is>
      </c>
      <c r="D35" s="53" t="inlineStr">
        <is>
          <t>中</t>
        </is>
      </c>
    </row>
    <row r="37" ht="26" customHeight="1">
      <c r="B37" s="5" t="inlineStr">
        <is>
          <t>6. 免责声明</t>
        </is>
      </c>
      <c r="C37" s="6" t="n"/>
      <c r="D37" s="6" t="n"/>
    </row>
    <row r="38">
      <c r="B38" s="56" t="inlineStr">
        <is>
          <t>本报告为采购决策辅助材料，不构成法律、财务或投资意见。公开信息“未检索到”不等于“无风险”；建议在准入/续约前补充现场审核、财务尽调、征信报告与合同条款设计。</t>
        </is>
      </c>
    </row>
    <row r="39"/>
    <row r="40"/>
    <row r="41"/>
  </sheetData>
  <mergeCells count="8">
    <mergeCell ref="B10:D10"/>
    <mergeCell ref="B2:C2"/>
    <mergeCell ref="B37:D37"/>
    <mergeCell ref="B38:C41"/>
    <mergeCell ref="B4:D4"/>
    <mergeCell ref="B21:D21"/>
    <mergeCell ref="B15:D15"/>
    <mergeCell ref="B28:E28"/>
  </mergeCells>
  <pageMargins left="0.35" right="0.35" top="0.45" bottom="0.45" header="0.5" footer="0.5"/>
  <pageSetup orientation="landscape" paperSize="9" fitToHeight="0" fitToWidth="1"/>
</worksheet>
</file>

<file path=xl/worksheets/sheet9.xml><?xml version="1.0" encoding="utf-8"?>
<worksheet xmlns="http://schemas.openxmlformats.org/spreadsheetml/2006/main">
  <sheetPr>
    <tabColor rgb="006E8B74"/>
    <outlinePr summaryBelow="1" summaryRight="1"/>
    <pageSetUpPr fitToPage="1"/>
  </sheetPr>
  <dimension ref="B2:E14"/>
  <sheetViews>
    <sheetView showGridLines="0" workbookViewId="0">
      <selection activeCell="A1" sqref="A1"/>
    </sheetView>
  </sheetViews>
  <sheetFormatPr baseColWidth="8" defaultRowHeight="15"/>
  <cols>
    <col width="2" customWidth="1" min="1" max="1"/>
    <col width="6" customWidth="1" min="2" max="2"/>
    <col width="86" customWidth="1" min="3" max="3"/>
    <col width="36" customWidth="1" min="4" max="4"/>
    <col width="11" customWidth="1" min="5" max="5"/>
  </cols>
  <sheetData>
    <row r="2" ht="32" customHeight="1">
      <c r="B2" s="16" t="inlineStr">
        <is>
          <t>行业背景：2026 年纯碱供需与检修</t>
        </is>
      </c>
    </row>
    <row r="3">
      <c r="B3" s="17" t="inlineStr">
        <is>
          <t>用于解释“为什么同一时间多家供应商都在检修/减量”，不构成价格预测</t>
        </is>
      </c>
    </row>
    <row r="5" ht="28" customHeight="1">
      <c r="B5" s="41" t="inlineStr">
        <is>
          <t>#</t>
        </is>
      </c>
      <c r="C5" s="41" t="inlineStr">
        <is>
          <t>观察</t>
        </is>
      </c>
      <c r="D5" s="41" t="inlineStr">
        <is>
          <t>来源</t>
        </is>
      </c>
      <c r="E5" s="41" t="inlineStr">
        <is>
          <t>日期</t>
        </is>
      </c>
    </row>
    <row r="6" ht="62" customHeight="1">
      <c r="B6" s="19" t="n">
        <v>1</v>
      </c>
      <c r="C6" s="21" t="inlineStr">
        <is>
          <t>2026 年上半年国内纯碱新增产能约 370 万吨，轻碱/重碱均价同比跌幅均超 13%，行业普遍亏损；纯碱企业检修与减量明显增多。</t>
        </is>
      </c>
      <c r="D6" s="21" t="inlineStr">
        <is>
          <t>双环科技 2026 年半年报；山东海化 2026 年半年报</t>
        </is>
      </c>
      <c r="E6" s="19" t="inlineStr">
        <is>
          <t>2026-08-24</t>
        </is>
      </c>
    </row>
    <row r="7" ht="62" customHeight="1">
      <c r="B7" s="19" t="n">
        <v>2</v>
      </c>
      <c r="C7" s="21" t="inlineStr">
        <is>
          <t>9 月纯碱行业检修损失量较大，开工率一度降至约 72%；10 月前期检修装置逐步复产，开工率回升，但供大于求格局未改。</t>
        </is>
      </c>
      <c r="D7" s="21" t="inlineStr">
        <is>
          <t>期货日报（2026-10-15）；首创期货周报（2026-10-19）</t>
        </is>
      </c>
      <c r="E7" s="19" t="inlineStr">
        <is>
          <t>2026-10-19</t>
        </is>
      </c>
    </row>
    <row r="8" ht="62" customHeight="1">
      <c r="B8" s="19" t="n">
        <v>3</v>
      </c>
      <c r="C8" s="21" t="inlineStr">
        <is>
          <t>2026 年纯碱产能出清速度偏慢，全年退出及长期停车产能预计约 150 万吨，高成本氨碱装置承压，天然碱占比继续提升。</t>
        </is>
      </c>
      <c r="D8" s="21" t="inlineStr">
        <is>
          <t>隆众资讯 / 市场公开研究（媒体转引）</t>
        </is>
      </c>
      <c r="E8" s="19" t="inlineStr">
        <is>
          <t>2026-09-14</t>
        </is>
      </c>
    </row>
    <row r="10" ht="26" customHeight="1">
      <c r="B10" s="5" t="inlineStr">
        <is>
          <t>对采购的含义</t>
        </is>
      </c>
      <c r="C10" s="6" t="n"/>
      <c r="D10" s="6" t="n"/>
      <c r="E10" s="6" t="n"/>
    </row>
    <row r="11" ht="30" customHeight="1">
      <c r="B11" s="43" t="inlineStr">
        <is>
          <t>1. 检修/减量是行业性动作，不宜把单家供应商的检修直接解读为个体经营恶化；但要区分“计划检修”与“证照/事故导致的停产”。</t>
        </is>
      </c>
    </row>
    <row r="12" ht="30" customHeight="1">
      <c r="B12" s="43" t="inlineStr">
        <is>
          <t>2. 在行业普遍亏损阶段，报价异常低或账期异常宽松的供应商，反而需要多问一句现金流与履约保障。</t>
        </is>
      </c>
    </row>
    <row r="13" ht="30" customHeight="1">
      <c r="B13" s="43" t="inlineStr">
        <is>
          <t>3. 对交付敏感的生产线，建议同时锁定 2 家不同工艺路线的供应商（天然碱/联碱/氨碱），降低单点停产影响。</t>
        </is>
      </c>
    </row>
    <row r="14" ht="30" customHeight="1">
      <c r="B14" s="43" t="inlineStr">
        <is>
          <t>4. 本页只提供行业背景，不替代对单个供应商的合同、产能、库存与物流核验。</t>
        </is>
      </c>
    </row>
  </sheetData>
  <mergeCells count="7">
    <mergeCell ref="B12:E12"/>
    <mergeCell ref="B13:E13"/>
    <mergeCell ref="B11:E11"/>
    <mergeCell ref="B3:E3"/>
    <mergeCell ref="B2:E2"/>
    <mergeCell ref="B10:E10"/>
    <mergeCell ref="B14:E14"/>
  </mergeCells>
  <pageMargins left="0.35" right="0.35" top="0.45" bottom="0.4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采购风险雷达 · 公开信息检索</dc:creator>
  <dc:title xmlns:dc="http://purl.org/dc/elements/1.1/">纯碱供应商近期风险雷达（2026-10）</dc:title>
  <dc:subject xmlns:dc="http://purl.org/dc/elements/1.1/">内贸采购 · 供应商准入与续约前的公开风险扫描</dc:subject>
  <dcterms:created xmlns:dcterms="http://purl.org/dc/terms/" xmlns:xsi="http://www.w3.org/2001/XMLSchema-instance" xsi:type="dcterms:W3CDTF">2026-10-19T06:54:02Z</dcterms:created>
  <dcterms:modified xmlns:dcterms="http://purl.org/dc/terms/" xmlns:xsi="http://www.w3.org/2001/XMLSchema-instance" xsi:type="dcterms:W3CDTF">2026-10-19T06:54:03Z</dcterms:modified>
  <cp:keywords>纯碱, 供应商风险, 采购, 尽调, 行政处罚, 停产</cp:keywords>
</cp:coreProperties>
</file>
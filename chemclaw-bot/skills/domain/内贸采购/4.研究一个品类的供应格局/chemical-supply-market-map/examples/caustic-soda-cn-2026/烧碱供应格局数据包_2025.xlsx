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封面" sheetId="1" state="visible" r:id="rId3"/>
    <sheet name="01_核心结论" sheetId="2" state="visible" r:id="rId4"/>
    <sheet name="02_企业产能" sheetId="3" state="visible" r:id="rId5"/>
    <sheet name="03_区域汇总" sheetId="4" state="visible" r:id="rId6"/>
    <sheet name="04_工艺路线" sheetId="5" state="visible" r:id="rId7"/>
    <sheet name="04A_原料与成本" sheetId="6" state="visible" r:id="rId8"/>
    <sheet name="05_新增项目" sheetId="7" state="visible" r:id="rId9"/>
    <sheet name="05A_净增还原" sheetId="8" state="visible" r:id="rId10"/>
    <sheet name="06_价格历史" sheetId="9" state="visible" r:id="rId11"/>
    <sheet name="06A_价格周期" sheetId="10" state="visible" r:id="rId12"/>
    <sheet name="07_采购关注" sheetId="11" state="visible" r:id="rId13"/>
    <sheet name="07A_采购策略" sheetId="12" state="visible" r:id="rId14"/>
    <sheet name="08_尽调清单" sheetId="13" state="visible" r:id="rId15"/>
    <sheet name="09_供应商评分" sheetId="14" state="visible" r:id="rId16"/>
    <sheet name="10_数据缺口" sheetId="15" state="visible" r:id="rId17"/>
    <sheet name="11_来源与口径" sheetId="16" state="visible" r:id="rId18"/>
  </sheets>
  <definedNames>
    <definedName function="false" hidden="false" localSheetId="0" name="_xlnm.Print_Area" vbProcedure="false">'00_封面'!$A$1:$H$45</definedName>
    <definedName function="false" hidden="false" localSheetId="0" name="_xlnm.Print_Titles" vbProcedure="false">'00_封面'!$1:$5</definedName>
    <definedName function="false" hidden="false" localSheetId="1" name="_xlnm.Print_Titles" vbProcedure="false">'01_核心结论'!$1:$6</definedName>
    <definedName function="false" hidden="true" localSheetId="1" name="_xlnm._FilterDatabase" vbProcedure="false">'01_核心结论'!$A$6:$G$9</definedName>
    <definedName function="false" hidden="false" localSheetId="2" name="_xlnm.Print_Area" vbProcedure="false">'02_企业产能'!$A$1:$P$19</definedName>
    <definedName function="false" hidden="false" localSheetId="2" name="_xlnm.Print_Titles" vbProcedure="false">'02_企业产能'!$1:$6</definedName>
    <definedName function="false" hidden="true" localSheetId="2" name="_xlnm._FilterDatabase" vbProcedure="false">'02_企业产能'!$A$6:$P$14</definedName>
    <definedName function="false" hidden="false" localSheetId="3" name="_xlnm.Print_Area" vbProcedure="false">'03_区域汇总'!$A$1:$K$18</definedName>
    <definedName function="false" hidden="false" localSheetId="3" name="_xlnm.Print_Titles" vbProcedure="false">'03_区域汇总'!$1:$6</definedName>
    <definedName function="false" hidden="true" localSheetId="3" name="_xlnm._FilterDatabase" vbProcedure="false">'03_区域汇总'!$A$6:$K$12</definedName>
    <definedName function="false" hidden="false" localSheetId="4" name="_xlnm.Print_Area" vbProcedure="false">'04_工艺路线'!$A$1:$J$13</definedName>
    <definedName function="false" hidden="false" localSheetId="4" name="_xlnm.Print_Titles" vbProcedure="false">'04_工艺路线'!$1:$6</definedName>
    <definedName function="false" hidden="false" localSheetId="5" name="_xlnm.Print_Area" vbProcedure="false">'04A_原料与成本'!$A$1:$E$20</definedName>
    <definedName function="false" hidden="false" localSheetId="5" name="_xlnm.Print_Titles" vbProcedure="false">'04A_原料与成本'!$1:$6</definedName>
    <definedName function="false" hidden="false" localSheetId="6" name="_xlnm.Print_Area" vbProcedure="false">'05_新增项目'!$A$1:$M$16</definedName>
    <definedName function="false" hidden="false" localSheetId="6" name="_xlnm.Print_Titles" vbProcedure="false">'05_新增项目'!$1:$6</definedName>
    <definedName function="false" hidden="true" localSheetId="6" name="_xlnm._FilterDatabase" vbProcedure="false">'05_新增项目'!$A$6:$M$11</definedName>
    <definedName function="false" hidden="false" localSheetId="7" name="_xlnm.Print_Area" vbProcedure="false">'05A_净增还原'!$A$1:$E$23</definedName>
    <definedName function="false" hidden="false" localSheetId="7" name="_xlnm.Print_Titles" vbProcedure="false">'05A_净增还原'!$1:$6</definedName>
    <definedName function="false" hidden="false" localSheetId="8" name="_xlnm.Print_Area" vbProcedure="false">'06_价格历史'!$A$1:$I$16</definedName>
    <definedName function="false" hidden="false" localSheetId="8" name="_xlnm.Print_Titles" vbProcedure="false">'06_价格历史'!$1:$8</definedName>
    <definedName function="false" hidden="false" localSheetId="9" name="_xlnm.Print_Area" vbProcedure="false">'06A_价格周期'!$A$1:$H$32</definedName>
    <definedName function="false" hidden="false" localSheetId="9" name="_xlnm.Print_Titles" vbProcedure="false">'06A_价格周期'!$1:$8</definedName>
    <definedName function="false" hidden="false" localSheetId="10" name="_xlnm.Print_Area" vbProcedure="false">'07_采购关注'!$A$1:$H$18</definedName>
    <definedName function="false" hidden="false" localSheetId="10" name="_xlnm.Print_Titles" vbProcedure="false">'07_采购关注'!$1:$8</definedName>
    <definedName function="false" hidden="false" localSheetId="11" name="_xlnm.Print_Area" vbProcedure="false">'07A_采购策略'!$A$1:$F$38</definedName>
    <definedName function="false" hidden="false" localSheetId="11" name="_xlnm.Print_Titles" vbProcedure="false">'07A_采购策略'!$1:$8</definedName>
    <definedName function="false" hidden="false" localSheetId="12" name="_xlnm.Print_Titles" vbProcedure="false">'08_尽调清单'!$1:$6</definedName>
    <definedName function="false" hidden="true" localSheetId="12" name="_xlnm._FilterDatabase" vbProcedure="false">'08_尽调清单'!$A$6:$H$22</definedName>
    <definedName function="false" hidden="false" localSheetId="13" name="_xlnm.Print_Titles" vbProcedure="false">'09_供应商评分'!$1:$6</definedName>
    <definedName function="false" hidden="false" localSheetId="14" name="_xlnm.Print_Titles" vbProcedure="false">'10_数据缺口'!$1:$6</definedName>
    <definedName function="false" hidden="true" localSheetId="14" name="_xlnm._FilterDatabase" vbProcedure="false">'10_数据缺口'!$A$6:$G$12</definedName>
    <definedName function="false" hidden="false" localSheetId="15" name="_xlnm.Print_Titles" vbProcedure="false">'11_来源与口径'!$1:$6</definedName>
    <definedName function="false" hidden="true" localSheetId="15" name="_xlnm._FilterDatabase" vbProcedure="false">'11_来源与口径'!$A$20:$G$23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<sst xmlns="http://schemas.openxmlformats.org/spreadsheetml/2006/main" count="837" uniqueCount="593">
  <si>
    <t xml:space="preserve">烧碱 · 中国供应市场全景</t>
  </si>
  <si>
    <t xml:space="preserve">采购视角 · 产能 / 区域 / 工艺 / 项目 / 价格 / 风险</t>
  </si>
  <si>
    <t xml:space="preserve">数据截止 2026-10-19  ·  基准年 2025  ·  覆盖 中国大陆  ·  产能：万吨/年  ·  价格：元/吨（折百，含税）</t>
  </si>
  <si>
    <t xml:space="preserve">本工作簿包含</t>
  </si>
  <si>
    <t xml:space="preserve">从全景到可执行清单：先看结论，再看企业/区域/项目，最后用尽调与评分模板落地。</t>
  </si>
  <si>
    <t xml:space="preserve">01</t>
  </si>
  <si>
    <t xml:space="preserve">核心结论</t>
  </si>
  <si>
    <t xml:space="preserve">3 条判断 + 证据 + 采购含义 + 置信度</t>
  </si>
  <si>
    <t xml:space="preserve">02</t>
  </si>
  <si>
    <t xml:space="preserve">企业产能</t>
  </si>
  <si>
    <t xml:space="preserve">7 集团 / 8 基地，基准年与 2026E 产能</t>
  </si>
  <si>
    <t xml:space="preserve">03</t>
  </si>
  <si>
    <t xml:space="preserve">区域汇总</t>
  </si>
  <si>
    <t xml:space="preserve">6 个生产省份的产能、集中度与贸易活跃度</t>
  </si>
  <si>
    <t xml:space="preserve">04</t>
  </si>
  <si>
    <t xml:space="preserve">工艺路线</t>
  </si>
  <si>
    <t xml:space="preserve">工艺产能、原料、成本区间与风险</t>
  </si>
  <si>
    <t xml:space="preserve">04A</t>
  </si>
  <si>
    <t xml:space="preserve">原料与成本</t>
  </si>
  <si>
    <t xml:space="preserve">原料单耗、副产、成本区间与当前价格位置</t>
  </si>
  <si>
    <t xml:space="preserve">05</t>
  </si>
  <si>
    <t xml:space="preserve">新增项目</t>
  </si>
  <si>
    <t xml:space="preserve">5 个项目：毛产能、置换、净影响与时间</t>
  </si>
  <si>
    <t xml:space="preserve">05A</t>
  </si>
  <si>
    <t xml:space="preserve">净增还原</t>
  </si>
  <si>
    <t xml:space="preserve">毛产能 ≠ 净新增，逐项还原</t>
  </si>
  <si>
    <t xml:space="preserve">06</t>
  </si>
  <si>
    <t xml:space="preserve">价格历史</t>
  </si>
  <si>
    <t xml:space="preserve">年度价格、成本带与当前价位</t>
  </si>
  <si>
    <t xml:space="preserve">06A</t>
  </si>
  <si>
    <t xml:space="preserve">价格周期</t>
  </si>
  <si>
    <t xml:space="preserve">阶段复盘、区域价差与未来判断</t>
  </si>
  <si>
    <t xml:space="preserve">07</t>
  </si>
  <si>
    <t xml:space="preserve">采购关注</t>
  </si>
  <si>
    <t xml:space="preserve">6 项风险：证据与动作</t>
  </si>
  <si>
    <t xml:space="preserve">07A</t>
  </si>
  <si>
    <t xml:space="preserve">采购策略</t>
  </si>
  <si>
    <t xml:space="preserve">双源/指数/库存策略、供应商组合与采购量模拟器</t>
  </si>
  <si>
    <t xml:space="preserve">08</t>
  </si>
  <si>
    <t xml:space="preserve">尽调清单</t>
  </si>
  <si>
    <t xml:space="preserve">16 个问题，可直接用于现场审核</t>
  </si>
  <si>
    <t xml:space="preserve">09</t>
  </si>
  <si>
    <t xml:space="preserve">供应商评分</t>
  </si>
  <si>
    <t xml:space="preserve">7 维度权重模板，可直接打分</t>
  </si>
  <si>
    <t xml:space="preserve">10</t>
  </si>
  <si>
    <t xml:space="preserve">数据缺口</t>
  </si>
  <si>
    <t xml:space="preserve">6 项缺口、影响、补齐方式与优先级</t>
  </si>
  <si>
    <t xml:space="preserve">11</t>
  </si>
  <si>
    <t xml:space="preserve">来源与口径</t>
  </si>
  <si>
    <t xml:space="preserve">3 条来源、口径差异与使用限制</t>
  </si>
  <si>
    <t xml:space="preserve">关键数字</t>
  </si>
  <si>
    <t xml:space="preserve">2025 年全国烧碱产能（折百，估算区间中值，公开报道口径）</t>
  </si>
  <si>
    <t xml:space="preserve">产量</t>
  </si>
  <si>
    <t xml:space="preserve">CR5</t>
  </si>
  <si>
    <t xml:space="preserve">5,200</t>
  </si>
  <si>
    <t xml:space="preserve">4,300</t>
  </si>
  <si>
    <t xml:space="preserve">万吨/年；来源 S1</t>
  </si>
  <si>
    <t xml:space="preserve">开工率 82.7%</t>
  </si>
  <si>
    <t xml:space="preserve">2026E 数据缺口–数据缺口%</t>
  </si>
  <si>
    <t xml:space="preserve">2026E 名义产能</t>
  </si>
  <si>
    <t xml:space="preserve">32% 液碱折百主流价（示例）</t>
  </si>
  <si>
    <t xml:space="preserve">样本覆盖</t>
  </si>
  <si>
    <t xml:space="preserve">5,400</t>
  </si>
  <si>
    <t xml:space="preserve">2,900</t>
  </si>
  <si>
    <t xml:space="preserve">13.1%</t>
  </si>
  <si>
    <t xml:space="preserve">名义产能</t>
  </si>
  <si>
    <t xml:space="preserve">元/吨（折百，含税）</t>
  </si>
  <si>
    <t xml:space="preserve">7 集团 / 8 基地 / 682 万吨/年</t>
  </si>
  <si>
    <t xml:space="preserve">口径与使用限制</t>
  </si>
  <si>
    <t xml:space="preserve">1. 烧碱产能一律按 100% NaOH 折百计，液碱/片碱的实物量与折百量不可直接比较。</t>
  </si>
  <si>
    <t xml:space="preserve">2. 烧碱是氯碱装置的联产品：实际开工由「碱氯平衡」决定，液氯/氯产品滞销会倒逼降负荷，产能不等于可售量。</t>
  </si>
  <si>
    <t xml:space="preserve">3. 本示例只收录公开披露的代表性企业样本，样本外产能未分摊，故区域合计低于全国。</t>
  </si>
  <si>
    <t xml:space="preserve">4. 本工作簿为公开信息研究，不含任何企业的非公开成本、合同价、库存与客户数据。</t>
  </si>
  <si>
    <t xml:space="preserve">5. 产能为名义/设计能力，实际可用量受检修、环保、能耗、原料与订单影响。</t>
  </si>
  <si>
    <t xml:space="preserve">6. 缺失项一律标注「数据缺口」，不做估算；报告不构成投资建议。</t>
  </si>
  <si>
    <t xml:space="preserve">3 条最关键的判断：证据、含义与置信度</t>
  </si>
  <si>
    <t xml:space="preserve">数据截止 2026-10-19  ·  置信度：高 / 中高 / 中 / 中低 / 低</t>
  </si>
  <si>
    <t xml:space="preserve">#</t>
  </si>
  <si>
    <t xml:space="preserve">结论</t>
  </si>
  <si>
    <t xml:space="preserve">关键证据</t>
  </si>
  <si>
    <t xml:space="preserve">采购含义</t>
  </si>
  <si>
    <t xml:space="preserve">置信度</t>
  </si>
  <si>
    <t xml:space="preserve">来源</t>
  </si>
  <si>
    <t xml:space="preserve">备注</t>
  </si>
  <si>
    <t xml:space="preserve">V1</t>
  </si>
  <si>
    <t xml:space="preserve">烧碱的供给弹性由「碱氯平衡」决定，不由产能决定</t>
  </si>
  <si>
    <t xml:space="preserve">氯碱装置每产 1 吨烧碱（折百）联产约 0.88 吨液氯；液氯储运半径短、难储存，氯产品滞销时企业必须降负荷，即使烧碱有利润。</t>
  </si>
  <si>
    <t xml:space="preserve">评估供应商时除了烧碱产能，必须问清氯产品的消化渠道（PVC、环氧丙烷、氯化石蜡、盐酸等）与液氯外销量。</t>
  </si>
  <si>
    <t xml:space="preserve">高</t>
  </si>
  <si>
    <t xml:space="preserve">S2</t>
  </si>
  <si>
    <t xml:space="preserve">简化示例：仅保留结构性判断</t>
  </si>
  <si>
    <t xml:space="preserve">V2</t>
  </si>
  <si>
    <t xml:space="preserve">液碱看半径、片碱看全国</t>
  </si>
  <si>
    <t xml:space="preserve">32%/50% 液碱含大量水，运费占比高，经济运输半径通常 300–500 km；片碱（固碱）可长途、可仓储，成为跨区域调剂的品种。</t>
  </si>
  <si>
    <t xml:space="preserve">液碱按区域寻源、按到厂价结算；片碱可作为应急与远程备份，但需注意溶解成本与结块。</t>
  </si>
  <si>
    <t xml:space="preserve">中高</t>
  </si>
  <si>
    <t xml:space="preserve">S3</t>
  </si>
  <si>
    <t xml:space="preserve">半径数值为行业经验区间</t>
  </si>
  <si>
    <t xml:space="preserve">V3</t>
  </si>
  <si>
    <t xml:space="preserve">电解铝/氧化铝与化工是两大需求支柱，价格随氯碱利润切换</t>
  </si>
  <si>
    <t xml:space="preserve">氧化铝焙烧、粘胶短纤、造纸、水处理、锂电材料是主要下游；当烧碱涨价而液氯贴钱时，企业会优先保烧碱负荷。</t>
  </si>
  <si>
    <t xml:space="preserve">不要把烧碱和液氯分开看：供应商的报价能力取决于其氯产品结构，采购谈判要问清氯碱综合利润。</t>
  </si>
  <si>
    <t xml:space="preserve">中</t>
  </si>
  <si>
    <t xml:space="preserve">简化示例</t>
  </si>
  <si>
    <t xml:space="preserve">读法：置信度「高」= 有年报/公告直接支撑；「中高」= 多来源交叉；「中」= 方向明确但时点/净增存在不确定性。证据列中的 S 编号对应「11_来源与口径」。</t>
  </si>
  <si>
    <t xml:space="preserve">企业产能表</t>
  </si>
  <si>
    <t xml:space="preserve">7 集团 / 8 基地：集团、基地、工艺与产能</t>
  </si>
  <si>
    <t xml:space="preserve">单位：万吨/年  ·  基准年样本合计 682（覆盖 13.1%）</t>
  </si>
  <si>
    <t xml:space="preserve">集团</t>
  </si>
  <si>
    <t xml:space="preserve">生产基地</t>
  </si>
  <si>
    <t xml:space="preserve">省份</t>
  </si>
  <si>
    <t xml:space="preserve">城市</t>
  </si>
  <si>
    <t xml:space="preserve">工艺</t>
  </si>
  <si>
    <t xml:space="preserve">基准年产能</t>
  </si>
  <si>
    <t xml:space="preserve">2026E产能</t>
  </si>
  <si>
    <t xml:space="preserve">变化</t>
  </si>
  <si>
    <t xml:space="preserve">产品</t>
  </si>
  <si>
    <t xml:space="preserve">主要原料</t>
  </si>
  <si>
    <t xml:space="preserve">状态</t>
  </si>
  <si>
    <t xml:space="preserve">上市代码</t>
  </si>
  <si>
    <t xml:space="preserve">数据来源</t>
  </si>
  <si>
    <t xml:space="preserve">中泰化学</t>
  </si>
  <si>
    <t xml:space="preserve">阜康能源</t>
  </si>
  <si>
    <t xml:space="preserve">新疆</t>
  </si>
  <si>
    <t xml:space="preserve">昌吉</t>
  </si>
  <si>
    <t xml:space="preserve">离子膜法</t>
  </si>
  <si>
    <t xml:space="preserve">液碱/片碱/PVC</t>
  </si>
  <si>
    <t xml:space="preserve">原盐+煤电</t>
  </si>
  <si>
    <t xml:space="preserve">在产</t>
  </si>
  <si>
    <t xml:space="preserve">002092</t>
  </si>
  <si>
    <t xml:space="preserve">S4</t>
  </si>
  <si>
    <t xml:space="preserve">示例量级：新疆煤电一体化氯碱</t>
  </si>
  <si>
    <t xml:space="preserve">托克逊能化</t>
  </si>
  <si>
    <t xml:space="preserve">吐鲁番</t>
  </si>
  <si>
    <t xml:space="preserve">液碱/PVC</t>
  </si>
  <si>
    <t xml:space="preserve">示例量级</t>
  </si>
  <si>
    <t xml:space="preserve">氯碱化工</t>
  </si>
  <si>
    <t xml:space="preserve">漕泾基地</t>
  </si>
  <si>
    <t xml:space="preserve">上海</t>
  </si>
  <si>
    <t xml:space="preserve">液碱/片碱</t>
  </si>
  <si>
    <t xml:space="preserve">原盐+网电</t>
  </si>
  <si>
    <t xml:space="preserve">600618</t>
  </si>
  <si>
    <t xml:space="preserve">示例量级：华东高价位市场</t>
  </si>
  <si>
    <t xml:space="preserve">新疆天业</t>
  </si>
  <si>
    <t xml:space="preserve">石河子基地</t>
  </si>
  <si>
    <t xml:space="preserve">石河子</t>
  </si>
  <si>
    <t xml:space="preserve">600075</t>
  </si>
  <si>
    <t xml:space="preserve">陕西北元</t>
  </si>
  <si>
    <t xml:space="preserve">神木锦界</t>
  </si>
  <si>
    <t xml:space="preserve">陕西</t>
  </si>
  <si>
    <t xml:space="preserve">榆林</t>
  </si>
  <si>
    <t xml:space="preserve">002082</t>
  </si>
  <si>
    <t xml:space="preserve">宜宾天原</t>
  </si>
  <si>
    <t xml:space="preserve">宜宾基地</t>
  </si>
  <si>
    <t xml:space="preserve">四川</t>
  </si>
  <si>
    <t xml:space="preserve">宜宾</t>
  </si>
  <si>
    <t xml:space="preserve">原盐+电力</t>
  </si>
  <si>
    <t xml:space="preserve">002386</t>
  </si>
  <si>
    <t xml:space="preserve">示例量级：西南市场</t>
  </si>
  <si>
    <t xml:space="preserve">沈阳化工</t>
  </si>
  <si>
    <t xml:space="preserve">沈阳基地</t>
  </si>
  <si>
    <t xml:space="preserve">辽宁</t>
  </si>
  <si>
    <t xml:space="preserve">沈阳</t>
  </si>
  <si>
    <t xml:space="preserve">000698</t>
  </si>
  <si>
    <t xml:space="preserve">山东海化</t>
  </si>
  <si>
    <t xml:space="preserve">潍坊碱厂配套氯碱</t>
  </si>
  <si>
    <t xml:space="preserve">山东</t>
  </si>
  <si>
    <t xml:space="preserve">潍坊</t>
  </si>
  <si>
    <t xml:space="preserve">液碱/氯产品</t>
  </si>
  <si>
    <t xml:space="preserve">原盐+自备电</t>
  </si>
  <si>
    <t xml:space="preserve">000822</t>
  </si>
  <si>
    <t xml:space="preserve">示例量级：与纯碱共享原盐资源</t>
  </si>
  <si>
    <t xml:space="preserve">样本合计 / 覆盖率</t>
  </si>
  <si>
    <t xml:space="preserve">覆盖 13.1%</t>
  </si>
  <si>
    <t xml:space="preserve">口径：① 本表为公开披露的企业/基地样本，上方合计行为实际加总；覆盖率 = 样本合计 ÷ 全国 5,200 万吨/年 = 13.1%；未披露的小型企业未分摊。② 产能为名义/设计能力，不等于可售量。③「变化」= 预测年产能 − 基准年产能，正数为扩产，负数为退出/置换减少。④ 来源为空时标「未核实」，不得当作已核实的数字使用。</t>
  </si>
  <si>
    <t xml:space="preserve">6 个生产省份：产能、集中度、贸易活跃度与下游</t>
  </si>
  <si>
    <t xml:space="preserve">样本口径  ·  基准年合计 682 万吨/年  ·  区域 HHI 3300.9</t>
  </si>
  <si>
    <t xml:space="preserve">集团数</t>
  </si>
  <si>
    <t xml:space="preserve">基地数</t>
  </si>
  <si>
    <t xml:space="preserve">占比</t>
  </si>
  <si>
    <t xml:space="preserve">2026E占比</t>
  </si>
  <si>
    <t xml:space="preserve">贸易活跃度</t>
  </si>
  <si>
    <t xml:space="preserve">主要下游 / 流向</t>
  </si>
  <si>
    <t xml:space="preserve">代表企业</t>
  </si>
  <si>
    <t xml:space="preserve">枢纽 / 园区</t>
  </si>
  <si>
    <t xml:space="preserve">C</t>
  </si>
  <si>
    <t xml:space="preserve">本地氯碱/PVC 一体化，烧碱以外运为主</t>
  </si>
  <si>
    <t xml:space="preserve">中泰化学、新疆天业</t>
  </si>
  <si>
    <t xml:space="preserve">乌鲁木齐、昌吉</t>
  </si>
  <si>
    <t xml:space="preserve">煤化工/PVC 一体化</t>
  </si>
  <si>
    <t xml:space="preserve">B</t>
  </si>
  <si>
    <t xml:space="preserve">磷化工/氧化铝/锂电</t>
  </si>
  <si>
    <t xml:space="preserve">乐山、宜宾</t>
  </si>
  <si>
    <t xml:space="preserve">A</t>
  </si>
  <si>
    <t xml:space="preserve">氧化铝/化工/PVC，全国最大氯碱集群</t>
  </si>
  <si>
    <t xml:space="preserve">潍坊、东营、淄博</t>
  </si>
  <si>
    <t xml:space="preserve">样本合计</t>
  </si>
  <si>
    <t xml:space="preserve">全国覆盖率 13.1%</t>
  </si>
  <si>
    <t xml:space="preserve">口径：① 区域产能为样本企业加总，低于全国总产能，差额为未披露的中小企业。② 贸易活跃度 A/B/C 为定性分级（A=交易活跃/贸易商密集，B=中等，C=直供为主）；按省贸易商数量无公开统计，本表不做估算，缺口见「10_数据缺口」。③ 区域 HHI 越高说明越依赖个别省份，采购半径内可替代供应商越少。</t>
  </si>
  <si>
    <t xml:space="preserve">各工艺的产能、原料、单耗、成本与风险</t>
  </si>
  <si>
    <t xml:space="preserve">基准年产能结构  ·  单位：万吨/年</t>
  </si>
  <si>
    <t xml:space="preserve">主要企业</t>
  </si>
  <si>
    <t xml:space="preserve">单耗 / 副产</t>
  </si>
  <si>
    <t xml:space="preserve">能耗</t>
  </si>
  <si>
    <t xml:space="preserve">成本区间</t>
  </si>
  <si>
    <t xml:space="preserve">优势</t>
  </si>
  <si>
    <t xml:space="preserve">风险</t>
  </si>
  <si>
    <t xml:space="preserve">国内主流装置（示例：中泰化学、氯碱化工、新疆天业、陕西北元等）</t>
  </si>
  <si>
    <t xml:space="preserve">原盐 + 电力 + 离子膜</t>
  </si>
  <si>
    <t xml:space="preserve">原盐约 1.5–1.6 t/t；直流电约 2,100–2,400 kWh/t（折百）</t>
  </si>
  <si>
    <t xml:space="preserve">高；电解为主，电价是核心成本</t>
  </si>
  <si>
    <t xml:space="preserve">1,800–2,600</t>
  </si>
  <si>
    <t xml:space="preserve">能耗低、纯度好、无汞石棉污染、主流路线</t>
  </si>
  <si>
    <t xml:space="preserve">电价与离子膜；副产液氯消化决定开工率</t>
  </si>
  <si>
    <t xml:space="preserve">隔膜法</t>
  </si>
  <si>
    <t xml:space="preserve">少量在产装置（示例：部分氯碱企业老装置）</t>
  </si>
  <si>
    <t xml:space="preserve">原盐 + 电力 + 石棉/改性隔膜</t>
  </si>
  <si>
    <t xml:space="preserve">原盐约 1.6–1.7 t/t；直流电约 2,500–2,700 kWh/t</t>
  </si>
  <si>
    <t xml:space="preserve">更高；蒸汽与电解双高</t>
  </si>
  <si>
    <t xml:space="preserve">2,200–3,000</t>
  </si>
  <si>
    <t xml:space="preserve">老装置改造投入低、对原料盐质量要求低</t>
  </si>
  <si>
    <t xml:space="preserve">能耗与环保约束、石棉限制、逐步淘汰</t>
  </si>
  <si>
    <t xml:space="preserve">合计</t>
  </si>
  <si>
    <t xml:space="preserve">全国 5,200</t>
  </si>
  <si>
    <t xml:space="preserve">产能占比为公开报道的量级（离子膜约 94%），本示例仅用于演示；请以最新协会数据替换。 工艺不是「越新越好」：每种路线都受资源、副产、环保或能耗约束；采购前应确认供应商的实际路线与原料自给率。</t>
  </si>
  <si>
    <t xml:space="preserve">原料单耗、成本区间与当前价格位置</t>
  </si>
  <si>
    <t xml:space="preserve">成本单位：元/吨（折百，含税）  ·  单耗为行业经验值，非企业实测</t>
  </si>
  <si>
    <t xml:space="preserve">原料单耗与副产（行业经验值）</t>
  </si>
  <si>
    <t xml:space="preserve">工艺 / 原料</t>
  </si>
  <si>
    <t xml:space="preserve">单耗</t>
  </si>
  <si>
    <t xml:space="preserve">副产</t>
  </si>
  <si>
    <t xml:space="preserve">能耗与备注</t>
  </si>
  <si>
    <t xml:space="preserve">液氯约 0.88 t/t、氢气约 0.025 t/t</t>
  </si>
  <si>
    <t xml:space="preserve">液氯、氢气；碱液含盐需蒸发</t>
  </si>
  <si>
    <t xml:space="preserve">成本区间与当前价格位置</t>
  </si>
  <si>
    <t xml:space="preserve">成本低</t>
  </si>
  <si>
    <t xml:space="preserve">成本高</t>
  </si>
  <si>
    <t xml:space="preserve">中值</t>
  </si>
  <si>
    <t xml:space="preserve">当前价 2,900</t>
  </si>
  <si>
    <t xml:space="preserve">高于成本上限，仍有利润</t>
  </si>
  <si>
    <t xml:space="preserve">位于成本区间内</t>
  </si>
  <si>
    <t xml:space="preserve">说明：① 单耗为行业经验值，用于理解成本结构，不能用于结算或成本审计。② 成本区间来自公开报道/行业研究，不同基地的原料、能源、折旧、副产收益差异很大。③「当前价」位置只说明相对盈亏，不代表可以据此压价——还要看交付半径与供应保障。</t>
  </si>
  <si>
    <t xml:space="preserve">新建 / 扩建 / 技改 / 置换：毛产能、净影响与投产节奏</t>
  </si>
  <si>
    <t xml:space="preserve">单位：万吨/年  ·  毛产能 ≠ 净增  ·  置换/搬迁项目需逐项还原</t>
  </si>
  <si>
    <t xml:space="preserve">项目</t>
  </si>
  <si>
    <t xml:space="preserve">毛产能</t>
  </si>
  <si>
    <t xml:space="preserve">项目类型</t>
  </si>
  <si>
    <t xml:space="preserve">时间</t>
  </si>
  <si>
    <t xml:space="preserve">净影响</t>
  </si>
  <si>
    <t xml:space="preserve">进度</t>
  </si>
  <si>
    <t xml:space="preserve">对供给的影响</t>
  </si>
  <si>
    <t xml:space="preserve">华东离子膜烧碱扩建（示例）</t>
  </si>
  <si>
    <t xml:space="preserve">扩建</t>
  </si>
  <si>
    <t xml:space="preserve">在建</t>
  </si>
  <si>
    <t xml:space="preserve">2026-09</t>
  </si>
  <si>
    <t xml:space="preserve">+20</t>
  </si>
  <si>
    <t xml:space="preserve">土建/设备招标</t>
  </si>
  <si>
    <t xml:space="preserve">净新增 20 万吨折百，主要覆盖华东液碱市场。</t>
  </si>
  <si>
    <t xml:space="preserve">S5</t>
  </si>
  <si>
    <t xml:space="preserve">西北氯碱一体化二期（示例）</t>
  </si>
  <si>
    <t xml:space="preserve">新建</t>
  </si>
  <si>
    <t xml:space="preserve">2026-12</t>
  </si>
  <si>
    <t xml:space="preserve">+40</t>
  </si>
  <si>
    <t xml:space="preserve">设备安装</t>
  </si>
  <si>
    <t xml:space="preserve">低成本产能继续向西北集中，外运压力增加。</t>
  </si>
  <si>
    <t xml:space="preserve">老隔膜装置退出（示例）</t>
  </si>
  <si>
    <t xml:space="preserve">其他</t>
  </si>
  <si>
    <t xml:space="preserve">河北</t>
  </si>
  <si>
    <t xml:space="preserve">退出</t>
  </si>
  <si>
    <t xml:space="preserve">拟建</t>
  </si>
  <si>
    <t xml:space="preserve">2027-03</t>
  </si>
  <si>
    <t xml:space="preserve">-30</t>
  </si>
  <si>
    <t xml:space="preserve">淘汰计划</t>
  </si>
  <si>
    <t xml:space="preserve">隔膜法退出，净减 30 万吨；如无新增对冲，区域供给收紧。</t>
  </si>
  <si>
    <t xml:space="preserve">西南氯碱技改扩能（示例）</t>
  </si>
  <si>
    <t xml:space="preserve">技改</t>
  </si>
  <si>
    <t xml:space="preserve">2027-06</t>
  </si>
  <si>
    <t xml:space="preserve">待确认</t>
  </si>
  <si>
    <t xml:space="preserve">环评公示</t>
  </si>
  <si>
    <t xml:space="preserve">净增待确认（技改可能以置换老装置方式实施）。</t>
  </si>
  <si>
    <t xml:space="preserve">华北离子膜置换隔膜（示例）</t>
  </si>
  <si>
    <t xml:space="preserve">置换</t>
  </si>
  <si>
    <t xml:space="preserve">2027-09</t>
  </si>
  <si>
    <t xml:space="preserve">+0</t>
  </si>
  <si>
    <t xml:space="preserve">施工</t>
  </si>
  <si>
    <t xml:space="preserve">置换，净增为 0；但能效提升会降低现金成本。</t>
  </si>
  <si>
    <t xml:space="preserve">读法：① 毛产能是项目规模，不等于可售量；② 置换/搬迁必须扣减退出产能才是净影响；③ 净影响标「待确认」的项目不纳入基准预测，只在上行情景中体现；④ 项目延期很常见，签约前要求供应商披露老装置关停时点与过渡期保供方案。</t>
  </si>
  <si>
    <t xml:space="preserve">毛产能 ≠ 净新增：逐项还原置换、退出与不确定性</t>
  </si>
  <si>
    <t xml:space="preserve">单位：万吨/年  ·  「待确认」不计入基准预测  ·  净影响 = 毛产能 − 置换/退出</t>
  </si>
  <si>
    <t xml:space="preserve">置换/退出</t>
  </si>
  <si>
    <t xml:space="preserve">判断</t>
  </si>
  <si>
    <t xml:space="preserve">—</t>
  </si>
  <si>
    <t xml:space="preserve">净增待确认，不纳入基准预测。净增待确认（技改可能以置换老装置方式实施）。</t>
  </si>
  <si>
    <t xml:space="preserve">判断规则：采购规划只看净增</t>
  </si>
  <si>
    <t xml:space="preserve">① 净新增（新建/扩建）：毛产能可加到可用供给，但要按爬坡节奏打折（通常首年 50%–80%）。
② 置换：净影响 = 新产能 − 退出产能；不能只看新产能。
③ 搬迁：新厂投产 ≠ 老厂立即关停；必须确认关停时点、过渡期保供与库存安排。
④ 待确认：不纳入基准预测，只在敏感性/上行情景中体现；签约前要求企业书面确认。
⑤ 没有项目的年份往往比有项目的年份更紧张——供给增量断档会放大检修与补库的影响。</t>
  </si>
  <si>
    <t xml:space="preserve">用法：把「净影响」列作为供应规划输入；把「待确认」项列成一张跟踪清单，每月核对一次项目公告与产能置换公示。</t>
  </si>
  <si>
    <t xml:space="preserve">单位：元/吨（折百，含税）  ·  峰值与均价区分标注  ·  当前价 2,900</t>
  </si>
  <si>
    <t xml:space="preserve">年度价格</t>
  </si>
  <si>
    <t xml:space="preserve">年份</t>
  </si>
  <si>
    <t xml:space="preserve">均价 / 中枢</t>
  </si>
  <si>
    <t xml:space="preserve">低点</t>
  </si>
  <si>
    <t xml:space="preserve">高点</t>
  </si>
  <si>
    <t xml:space="preserve">说明</t>
  </si>
  <si>
    <t xml:space="preserve">能耗双控 + 氧化铝高开工，价格冲高（示例量级）</t>
  </si>
  <si>
    <t xml:space="preserve">氯碱利润修复，价格回落（示例量级）</t>
  </si>
  <si>
    <t xml:space="preserve">需求偏弱、新增产能释放（示例量级）</t>
  </si>
  <si>
    <t xml:space="preserve">氧化铝阶段性高开工支撑（示例量级）</t>
  </si>
  <si>
    <t xml:space="preserve">本示例价格为演示用的量级数字，不是当日真实报价；实际使用必须替换为当日 100ppi/隆众/卓创等公开报价并标注日期、浓度与折百口径。</t>
  </si>
  <si>
    <t xml:space="preserve">单位：元/吨（折百，含税）</t>
  </si>
  <si>
    <t xml:space="preserve">阶段复盘</t>
  </si>
  <si>
    <t xml:space="preserve">阶段</t>
  </si>
  <si>
    <t xml:space="preserve">主规格</t>
  </si>
  <si>
    <t xml:space="preserve">副规格</t>
  </si>
  <si>
    <t xml:space="preserve">均价 / 区间</t>
  </si>
  <si>
    <t xml:space="preserve">涨跌</t>
  </si>
  <si>
    <t xml:space="preserve">主要驱动</t>
  </si>
  <si>
    <t xml:space="preserve">2022 高位</t>
  </si>
  <si>
    <t xml:space="preserve">2022 全年</t>
  </si>
  <si>
    <t xml:space="preserve">32% 液碱 4,500–5,200</t>
  </si>
  <si>
    <t xml:space="preserve">片碱 4,800–5,500</t>
  </si>
  <si>
    <t xml:space="preserve">约 3,600</t>
  </si>
  <si>
    <t xml:space="preserve">上半年 +40% 后回落</t>
  </si>
  <si>
    <t xml:space="preserve">能耗双控、氧化铝高开工、液氯贴钱</t>
  </si>
  <si>
    <t xml:space="preserve">2023–2024 回落</t>
  </si>
  <si>
    <t xml:space="preserve">2023-01 ~ 2024-12</t>
  </si>
  <si>
    <t xml:space="preserve">2,100–3,800</t>
  </si>
  <si>
    <t xml:space="preserve">2,600–4,200</t>
  </si>
  <si>
    <t xml:space="preserve">约 2,700–2,900</t>
  </si>
  <si>
    <t xml:space="preserve">中枢下移约 25%</t>
  </si>
  <si>
    <t xml:space="preserve">氯碱新增产能、需求走弱、出口分流</t>
  </si>
  <si>
    <t xml:space="preserve">2025 震荡</t>
  </si>
  <si>
    <t xml:space="preserve">2025 全年</t>
  </si>
  <si>
    <t xml:space="preserve">2,300–3,600</t>
  </si>
  <si>
    <t xml:space="preserve">2,800–4,000</t>
  </si>
  <si>
    <t xml:space="preserve">约 2,800</t>
  </si>
  <si>
    <t xml:space="preserve">区间震荡</t>
  </si>
  <si>
    <t xml:space="preserve">氧化铝开工、液氯价格、区域价差</t>
  </si>
  <si>
    <t xml:space="preserve">区域价格（元/吨（折百，含税））</t>
  </si>
  <si>
    <t xml:space="preserve">区域</t>
  </si>
  <si>
    <t xml:space="preserve">价格</t>
  </si>
  <si>
    <t xml:space="preserve">华东</t>
  </si>
  <si>
    <t xml:space="preserve">江苏/浙江/山东南部；氯碱集中，液碱半径内竞争充分</t>
  </si>
  <si>
    <t xml:space="preserve">西北</t>
  </si>
  <si>
    <t xml:space="preserve">新疆/内蒙古/宁夏；煤电一体化成本低，但外运半径远</t>
  </si>
  <si>
    <t xml:space="preserve">华北</t>
  </si>
  <si>
    <t xml:space="preserve">山东/河北/天津；氧化铝与化工需求集中</t>
  </si>
  <si>
    <t xml:space="preserve">华南</t>
  </si>
  <si>
    <t xml:space="preserve">广东/福建；本地产能不足，靠外埠与进口补充</t>
  </si>
  <si>
    <t xml:space="preserve">西南</t>
  </si>
  <si>
    <t xml:space="preserve">四川/重庆/云南；氧化铝与磷化工需求</t>
  </si>
  <si>
    <t xml:space="preserve">价格判断（未来 6–12 个月）</t>
  </si>
  <si>
    <t xml:space="preserve">基准情景：2,600–3,100 元/吨区间震荡：成本端由电价与液氯价格共同决定，需求端看氧化铝与化工开工。
上行条件：氧化铝集中备货、氯产品滞销导致降负荷、区域检修叠加。
下行风险：氯碱新增产能释放、液氯价格高企（企业愿意多产碱）、下游需求走弱。
采购含义：液碱按区域锁量；片碱作为备份；价格条款与电价/液氯挂钩更贴近成本实际。</t>
  </si>
  <si>
    <t xml:space="preserve">区域价格为公开主流报价，实际成交受批量、账期、运费、质量影响；价格判断为情景分析，不是预测承诺。</t>
  </si>
  <si>
    <t xml:space="preserve">6 项风险：可能性、影响、证据与动作</t>
  </si>
  <si>
    <t xml:space="preserve">风险等级：高 / 中高 / 中 / 低  ·  按等级从高到低排列</t>
  </si>
  <si>
    <t xml:space="preserve">风险矩阵与动作</t>
  </si>
  <si>
    <t xml:space="preserve">可能性</t>
  </si>
  <si>
    <t xml:space="preserve">影响</t>
  </si>
  <si>
    <t xml:space="preserve">等级</t>
  </si>
  <si>
    <t xml:space="preserve">证据</t>
  </si>
  <si>
    <t xml:space="preserve">采购动作</t>
  </si>
  <si>
    <t xml:space="preserve">建议责任人</t>
  </si>
  <si>
    <t xml:space="preserve">碱氯平衡导致降负荷</t>
  </si>
  <si>
    <t xml:space="preserve">每吨烧碱联产约 0.88 吨液氯；液氯难储运，滞销时企业必须降负荷。</t>
  </si>
  <si>
    <t xml:space="preserve">尽调必问氯产品结构（PVC/环氧丙烷/盐酸/氯化石蜡）与液氯外销量；合同中写入降负荷通知期。</t>
  </si>
  <si>
    <t xml:space="preserve">采购 / 计划</t>
  </si>
  <si>
    <t xml:space="preserve">液碱运输半径限制</t>
  </si>
  <si>
    <t xml:space="preserve">液碱含大量水，运费占比高，经济半径通常 300–500 km。</t>
  </si>
  <si>
    <t xml:space="preserve">按半径寻源；长距离量改用片碱或提高储罐容量。</t>
  </si>
  <si>
    <t xml:space="preserve">电价与能耗政策</t>
  </si>
  <si>
    <t xml:space="preserve">电解是主要成本项；能耗双控、阶梯电价直接抬升现金成本。</t>
  </si>
  <si>
    <t xml:space="preserve">优先煤电一体化/绿电比例高的供应商；把电价条款写入价格公式。</t>
  </si>
  <si>
    <t xml:space="preserve">折百口径混淆</t>
  </si>
  <si>
    <t xml:space="preserve">32% 液碱实物量 × 0.32 = 折百量；片碱约 99%。合同若只写「吨」极易产生纠纷。</t>
  </si>
  <si>
    <t xml:space="preserve">合同与结算统一写「折百吨」并注明浓度检测方法。</t>
  </si>
  <si>
    <t xml:space="preserve">区域供给集中</t>
  </si>
  <si>
    <t xml:space="preserve">氯碱产能集中在西北与华东，华南/西南需外埠补充。</t>
  </si>
  <si>
    <t xml:space="preserve">华南/西南买家提高安全库存与片碱备份比例。</t>
  </si>
  <si>
    <t xml:space="preserve">质量与浓度波动</t>
  </si>
  <si>
    <t xml:space="preserve">液碱浓度、碳酸钠、氯化钠、铁含量影响下游工艺。</t>
  </si>
  <si>
    <t xml:space="preserve">封样 + 首批全检 + 每批 COA；浓度低于约定值按折百量补差。</t>
  </si>
  <si>
    <t xml:space="preserve">使用方式：① 先按等级排序，锁定 3 个高/中高风险；② 每个动作落到责任人、时间与验收标准；③ 每季度复盘，价格/项目/政策变化时即时更新。策略与模拟器见「07A_采购策略」。</t>
  </si>
  <si>
    <t xml:space="preserve">双源、指数定价、安全库存、质量封样与采购量模拟</t>
  </si>
  <si>
    <t xml:space="preserve">示例比例为默认建议，可按企业实际调整</t>
  </si>
  <si>
    <t xml:space="preserve">策略</t>
  </si>
  <si>
    <t xml:space="preserve">具体做法</t>
  </si>
  <si>
    <t xml:space="preserve">关键条款</t>
  </si>
  <si>
    <t xml:space="preserve">KPI</t>
  </si>
  <si>
    <t xml:space="preserve">液碱半径内双源</t>
  </si>
  <si>
    <t xml:space="preserve">主供选 300 km 内离子膜法装置，第二源选 500 km 内或具备水运/铁路的装置。</t>
  </si>
  <si>
    <t xml:space="preserve">折百口径、浓度（32%/50%）、到厂价、月度量、断供赔付。</t>
  </si>
  <si>
    <t xml:space="preserve">半径内双源覆盖 100%；断供天数 0</t>
  </si>
  <si>
    <t xml:space="preserve">片碱做备份而非主力</t>
  </si>
  <si>
    <t xml:space="preserve">保留 10%–20% 片碱额度用于液碱紧张期；配套溶解设施需提前确认。</t>
  </si>
  <si>
    <t xml:space="preserve">片碱纯度、结块率、包装（25 kg/吨包）、溶解成本。</t>
  </si>
  <si>
    <t xml:space="preserve">切换时间 ≤7 天</t>
  </si>
  <si>
    <t xml:space="preserve">碱氯联动定价</t>
  </si>
  <si>
    <t xml:space="preserve">价格公式挂钩电价与液氯价格，避免单边锁价。</t>
  </si>
  <si>
    <t xml:space="preserve">调价周期、上下限、异常波动重谈。</t>
  </si>
  <si>
    <t xml:space="preserve">价格偏离市场 ≤5%</t>
  </si>
  <si>
    <t xml:space="preserve">20 天安全库存</t>
  </si>
  <si>
    <t xml:space="preserve">液碱储罐容量决定库存上限；片碱仓储备份 7–10 天。</t>
  </si>
  <si>
    <t xml:space="preserve">储罐归属、损耗率（液碱约 0.5%–1%/月）、盘点。</t>
  </si>
  <si>
    <t xml:space="preserve">库存周转 12–18 次/年</t>
  </si>
  <si>
    <t xml:space="preserve">建议供应商组合（示例）</t>
  </si>
  <si>
    <t xml:space="preserve">类型</t>
  </si>
  <si>
    <t xml:space="preserve">候选</t>
  </si>
  <si>
    <t xml:space="preserve">作用</t>
  </si>
  <si>
    <t xml:space="preserve">半径内液碱主供</t>
  </si>
  <si>
    <t xml:space="preserve">区域内离子膜法装置</t>
  </si>
  <si>
    <t xml:space="preserve">成本与交付主力</t>
  </si>
  <si>
    <t xml:space="preserve">半径内第二源</t>
  </si>
  <si>
    <t xml:space="preserve">500 km 内或水运可达装置</t>
  </si>
  <si>
    <t xml:space="preserve">断供保险</t>
  </si>
  <si>
    <t xml:space="preserve">片碱备份</t>
  </si>
  <si>
    <t xml:space="preserve">西北/华北片碱厂</t>
  </si>
  <si>
    <t xml:space="preserve">紧缺期调剂</t>
  </si>
  <si>
    <t xml:space="preserve">贸易商现货</t>
  </si>
  <si>
    <t xml:space="preserve">区域贸易商</t>
  </si>
  <si>
    <t xml:space="preserve">弹性与小额补单</t>
  </si>
  <si>
    <t xml:space="preserve">采购量模拟器（黄底为输入，其余自动计算）</t>
  </si>
  <si>
    <t xml:space="preserve">输入 / 输出</t>
  </si>
  <si>
    <t xml:space="preserve">值</t>
  </si>
  <si>
    <t xml:space="preserve">单位</t>
  </si>
  <si>
    <t xml:space="preserve">年采购量</t>
  </si>
  <si>
    <t xml:space="preserve">万吨</t>
  </si>
  <si>
    <t xml:space="preserve">按实际调整；默认 5 万吨/年</t>
  </si>
  <si>
    <t xml:space="preserve">到厂价</t>
  </si>
  <si>
    <t xml:space="preserve">含税到厂价</t>
  </si>
  <si>
    <t xml:space="preserve">运费</t>
  </si>
  <si>
    <t xml:space="preserve">按采购地调整</t>
  </si>
  <si>
    <t xml:space="preserve">安全库存</t>
  </si>
  <si>
    <t xml:space="preserve">天</t>
  </si>
  <si>
    <t xml:space="preserve">消费地库存天数</t>
  </si>
  <si>
    <t xml:space="preserve">年度采购金额（含运费）</t>
  </si>
  <si>
    <t xml:space="preserve">万元</t>
  </si>
  <si>
    <t xml:space="preserve">年量 × (到厂价 + 运费)</t>
  </si>
  <si>
    <t xml:space="preserve">月度提货量</t>
  </si>
  <si>
    <t xml:space="preserve">吨</t>
  </si>
  <si>
    <t xml:space="preserve">年量 / 12</t>
  </si>
  <si>
    <t xml:space="preserve">安全库存量</t>
  </si>
  <si>
    <t xml:space="preserve">年量 × 天数 / 365</t>
  </si>
  <si>
    <t xml:space="preserve">价格每涨 100 的影响</t>
  </si>
  <si>
    <t xml:space="preserve">万元/年</t>
  </si>
  <si>
    <t xml:space="preserve">年量（万吨）× 100</t>
  </si>
  <si>
    <t xml:space="preserve">模拟器为量级测算，未含增值税、资金占用、仓储、损耗与账期成本。把「年度采购金额」与预算科目对齐，把「价格每涨 100 的影响」作为价格授权与套保额度依据。</t>
  </si>
  <si>
    <t xml:space="preserve">供应商尽调清单</t>
  </si>
  <si>
    <t xml:space="preserve">16 个问题：供应、质量、成本、物流、商务、合规、财务、ESG</t>
  </si>
  <si>
    <t xml:space="preserve">评分 1–5：1=缺失/不可接受，3=基本满足，5=优秀/可验证  ·  权重 1–10</t>
  </si>
  <si>
    <t xml:space="preserve">类别</t>
  </si>
  <si>
    <t xml:space="preserve">尽调问题</t>
  </si>
  <si>
    <t xml:space="preserve">证据 / 文件</t>
  </si>
  <si>
    <t xml:space="preserve">权重</t>
  </si>
  <si>
    <t xml:space="preserve">评分 (1–5)</t>
  </si>
  <si>
    <t xml:space="preserve">加权得分</t>
  </si>
  <si>
    <t xml:space="preserve">供应能力</t>
  </si>
  <si>
    <t xml:space="preserve">折百产能、产线数量、实际开工率与 2025 年产量？</t>
  </si>
  <si>
    <t xml:space="preserve">产能表/年报/排产计划/检修记录</t>
  </si>
  <si>
    <t xml:space="preserve">氯产品结构（PVC/环氧丙烷/盐酸/氯化石蜡）与液氯外销量？</t>
  </si>
  <si>
    <t xml:space="preserve">未来 12 个月检修计划与最长停车天数？</t>
  </si>
  <si>
    <t xml:space="preserve">可签年度折百量、月均可提量、最小批量？</t>
  </si>
  <si>
    <t xml:space="preserve">质量</t>
  </si>
  <si>
    <t xml:space="preserve">浓度（32%/50%/99%）、碳酸钠、氯化钠、铁含量典型值与波动？</t>
  </si>
  <si>
    <t xml:space="preserve">COA/检测报告/封样/小试报告</t>
  </si>
  <si>
    <t xml:space="preserve">是否接受封样、首批全检、第三方检测？</t>
  </si>
  <si>
    <t xml:space="preserve">成本</t>
  </si>
  <si>
    <t xml:space="preserve">电价结构（自备电厂/绿电/网电）与用电成本？</t>
  </si>
  <si>
    <t xml:space="preserve">成本拆解/原料采购合同/能耗数据</t>
  </si>
  <si>
    <t xml:space="preserve">原盐自给率与采购结构？</t>
  </si>
  <si>
    <t xml:space="preserve">现金成本与综合氯碱利润？</t>
  </si>
  <si>
    <t xml:space="preserve">物流</t>
  </si>
  <si>
    <t xml:space="preserve">液碱槽车/船运能力、半径、运费与时效？</t>
  </si>
  <si>
    <t xml:space="preserve">铁路专用线/港口协议/运费报价</t>
  </si>
  <si>
    <t xml:space="preserve">片碱包装与溶解配套？</t>
  </si>
  <si>
    <t xml:space="preserve">商务</t>
  </si>
  <si>
    <t xml:space="preserve">折百口径、调价周期、上下限？</t>
  </si>
  <si>
    <t xml:space="preserve">合同草案/价格公式/授信资料</t>
  </si>
  <si>
    <t xml:space="preserve">账期、承兑、履约保函？</t>
  </si>
  <si>
    <t xml:space="preserve">合规</t>
  </si>
  <si>
    <t xml:space="preserve">排污许可、能耗指标、安全许可？</t>
  </si>
  <si>
    <t xml:space="preserve">排污许可证/能耗指标/处罚记录</t>
  </si>
  <si>
    <t xml:space="preserve">近三年环保/安全处罚记录？</t>
  </si>
  <si>
    <t xml:space="preserve">财务</t>
  </si>
  <si>
    <t xml:space="preserve">近三年营收/利润/现金流/负债率？</t>
  </si>
  <si>
    <t xml:space="preserve">审计报告/银行授信/担保明细</t>
  </si>
  <si>
    <t xml:space="preserve">加权得分合计</t>
  </si>
  <si>
    <t xml:space="preserve">满分 = 权重 × 5 之和</t>
  </si>
  <si>
    <t xml:space="preserve">使用建议：① 先桌面审查（年报/公告/COA/许可证），再现场审核；② 每个问题至少留一份可验证证据；③ 评分由采购、质量、工艺、财务四方独立打分后取中位数；④ 加权得分用于横向比较，不能替代试单。</t>
  </si>
  <si>
    <t xml:space="preserve">供应商评分模板</t>
  </si>
  <si>
    <t xml:space="preserve">7 维度权重 + 4 家供应商横向比较</t>
  </si>
  <si>
    <t xml:space="preserve">评分 1–5  ·  黄底为输入  ·  加权总分自动计算  ·  满分 5 分</t>
  </si>
  <si>
    <t xml:space="preserve">评审维度</t>
  </si>
  <si>
    <t xml:space="preserve">评分要点</t>
  </si>
  <si>
    <t xml:space="preserve">供应商 A</t>
  </si>
  <si>
    <t xml:space="preserve">供应商 B</t>
  </si>
  <si>
    <t xml:space="preserve">供应商 C</t>
  </si>
  <si>
    <t xml:space="preserve">供应商 D</t>
  </si>
  <si>
    <t xml:space="preserve">折百产能、开工稳定性、氯产品消化、检修保障</t>
  </si>
  <si>
    <t xml:space="preserve">质量与一致性</t>
  </si>
  <si>
    <t xml:space="preserve">浓度、杂质、批次波动、COA</t>
  </si>
  <si>
    <t xml:space="preserve">成本竞争力</t>
  </si>
  <si>
    <t xml:space="preserve">电价、原盐自给率、氯碱综合利润</t>
  </si>
  <si>
    <t xml:space="preserve">物流与交付</t>
  </si>
  <si>
    <t xml:space="preserve">半径、槽车/船运、时效、片碱备份</t>
  </si>
  <si>
    <t xml:space="preserve">商务条件</t>
  </si>
  <si>
    <t xml:space="preserve">折百口径、价格公式、账期、赔付</t>
  </si>
  <si>
    <t xml:space="preserve">财务与信用</t>
  </si>
  <si>
    <t xml:space="preserve">现金流、负债、授信</t>
  </si>
  <si>
    <t xml:space="preserve">合规与ESG</t>
  </si>
  <si>
    <t xml:space="preserve">排污/能耗/安全、处罚</t>
  </si>
  <si>
    <t xml:space="preserve">加权总分（满分 5）</t>
  </si>
  <si>
    <t xml:space="preserve">使用说明：① 先给每家供应商打 1–5 分，再乘权重汇总；② 权重可按品类调整；③ 建议至少评 3 家，避免只评「已入围」的供应商；④ 评分前先完成「08_尽调清单」。</t>
  </si>
  <si>
    <t xml:space="preserve">6 项：影响、现状、补齐方式与优先级</t>
  </si>
  <si>
    <t xml:space="preserve">原则：不估算、不拼凑；缺口本身就是采购决策的风险项</t>
  </si>
  <si>
    <t xml:space="preserve">缺口</t>
  </si>
  <si>
    <t xml:space="preserve">当前状态</t>
  </si>
  <si>
    <t xml:space="preserve">补齐方式</t>
  </si>
  <si>
    <t xml:space="preserve">优先级</t>
  </si>
  <si>
    <t xml:space="preserve">建议责任</t>
  </si>
  <si>
    <t xml:space="preserve">建议截止</t>
  </si>
  <si>
    <t xml:space="preserve">全国产能与产量（协会口径）</t>
  </si>
  <si>
    <t xml:space="preserve">集中度与开工率判断</t>
  </si>
  <si>
    <t xml:space="preserve">本示例用公开报道量级</t>
  </si>
  <si>
    <t xml:space="preserve">中国氯碱工业协会年报、石化联合会统计</t>
  </si>
  <si>
    <t xml:space="preserve">采购 / 情报</t>
  </si>
  <si>
    <t xml:space="preserve">企业级折百产能明细</t>
  </si>
  <si>
    <t xml:space="preserve">区域与集中度被低估</t>
  </si>
  <si>
    <t xml:space="preserve">仅收录代表性企业</t>
  </si>
  <si>
    <t xml:space="preserve">上市公司年报、环评公示、能耗核查文件</t>
  </si>
  <si>
    <t xml:space="preserve">企业液氯消化结构</t>
  </si>
  <si>
    <t xml:space="preserve">实际开工与保供能力</t>
  </si>
  <si>
    <t xml:space="preserve">非公开</t>
  </si>
  <si>
    <t xml:space="preserve">年报分产品收入 + 现场审核</t>
  </si>
  <si>
    <t xml:space="preserve">按省贸易商数量</t>
  </si>
  <si>
    <t xml:space="preserve">渠道与议价判断</t>
  </si>
  <si>
    <t xml:space="preserve">公开统计缺失</t>
  </si>
  <si>
    <t xml:space="preserve">企查查/天眼查检索 + 协会名录</t>
  </si>
  <si>
    <t xml:space="preserve">分企业现金成本与电价</t>
  </si>
  <si>
    <t xml:space="preserve">成本曲线与议价</t>
  </si>
  <si>
    <t xml:space="preserve">能耗核查公示、年报、供应商成本问卷</t>
  </si>
  <si>
    <t xml:space="preserve">区域库存与港口数据</t>
  </si>
  <si>
    <t xml:space="preserve">区域价差与紧缺判断</t>
  </si>
  <si>
    <t xml:space="preserve">部分公开</t>
  </si>
  <si>
    <t xml:space="preserve">隆众/卓创周度库存</t>
  </si>
  <si>
    <t xml:space="preserve">补齐顺序建议：先补影响「能不能买到」的缺口（项目净增、区域内可替代产能、贸易商/渠道），再补影响「买得贵不贵」的缺口（现金成本、库存、区域价差），最后补影响「稳不稳」的缺口（质量批次、合规记录）。</t>
  </si>
  <si>
    <t xml:space="preserve">3 条来源 + 口径差异 + 使用限制</t>
  </si>
  <si>
    <t xml:space="preserve">所有数字都可回溯；不同口径并列，不强行对齐</t>
  </si>
  <si>
    <t xml:space="preserve">口径说明</t>
  </si>
  <si>
    <t xml:space="preserve">本报告采用口径</t>
  </si>
  <si>
    <t xml:space="preserve">其他公开口径</t>
  </si>
  <si>
    <t xml:space="preserve">处理方式</t>
  </si>
  <si>
    <t xml:space="preserve">覆盖范围</t>
  </si>
  <si>
    <t xml:space="preserve">中国大陆</t>
  </si>
  <si>
    <t xml:space="preserve">离子膜法/隔膜法烧碱产能（折 100% NaOH），含液碱与片碱；不含纯碱（碳酸钠）</t>
  </si>
  <si>
    <t xml:space="preserve">只统计口径内的产能；口径外的不混入</t>
  </si>
  <si>
    <t xml:space="preserve">基准年 / 预测年</t>
  </si>
  <si>
    <t xml:space="preserve">2025</t>
  </si>
  <si>
    <t xml:space="preserve">2026、2027</t>
  </si>
  <si>
    <t xml:space="preserve">基准年用实测/披露值；预测年只做情景，不做承诺</t>
  </si>
  <si>
    <t xml:space="preserve">全国产能</t>
  </si>
  <si>
    <t xml:space="preserve">公开报道 5,000–5,300 万吨区间，本示例取 5,200 仅作量级参考，请以最新协会数据替换</t>
  </si>
  <si>
    <t xml:space="preserve">并列展示，不取平均</t>
  </si>
  <si>
    <t xml:space="preserve">7 集团 / 8 基地</t>
  </si>
  <si>
    <t xml:space="preserve">样本加总除以全国产能；差额为未披露企业</t>
  </si>
  <si>
    <t xml:space="preserve">缺失值</t>
  </si>
  <si>
    <t xml:space="preserve">不估算、不插值</t>
  </si>
  <si>
    <t xml:space="preserve">缺口单列在「10_数据缺口」</t>
  </si>
  <si>
    <t xml:space="preserve">· 烧碱产能一律按 100% NaOH 折百计，液碱/片碱的实物量与折百量不可直接比较。</t>
  </si>
  <si>
    <t xml:space="preserve">· 烧碱是氯碱装置的联产品：实际开工由「碱氯平衡」决定，液氯/氯产品滞销会倒逼降负荷，产能不等于可售量。</t>
  </si>
  <si>
    <t xml:space="preserve">· 本示例只收录公开披露的代表性企业样本，样本外产能未分摊，故区域合计低于全国。</t>
  </si>
  <si>
    <t xml:space="preserve">来源列表</t>
  </si>
  <si>
    <t xml:space="preserve">ID</t>
  </si>
  <si>
    <t xml:space="preserve">名称</t>
  </si>
  <si>
    <t xml:space="preserve">发布方</t>
  </si>
  <si>
    <t xml:space="preserve">日期</t>
  </si>
  <si>
    <t xml:space="preserve">URL</t>
  </si>
  <si>
    <t xml:space="preserve">用途</t>
  </si>
  <si>
    <t xml:space="preserve">S1</t>
  </si>
  <si>
    <t xml:space="preserve">中国氯碱工业协会统计（示例引用位）</t>
  </si>
  <si>
    <t xml:space="preserve">中国氯碱工业协会</t>
  </si>
  <si>
    <t xml:space="preserve">2025-12-31</t>
  </si>
  <si>
    <t xml:space="preserve">https://www.chyxx.com/industry/</t>
  </si>
  <si>
    <t xml:space="preserve">全国烧碱产能/产量量级（示例；正式使用请换成协会/机构原文链接）</t>
  </si>
  <si>
    <t xml:space="preserve">氯碱工艺与碱氯平衡（示例引用位）</t>
  </si>
  <si>
    <t xml:space="preserve">行业公开资料</t>
  </si>
  <si>
    <t xml:space="preserve">2025-06-30</t>
  </si>
  <si>
    <t xml:space="preserve">https://www.100ppi.com/</t>
  </si>
  <si>
    <t xml:space="preserve">离子膜/隔膜占比、单耗、液氯联产比例（示例）</t>
  </si>
  <si>
    <t xml:space="preserve">烧碱价格与区域价差（示例引用位）</t>
  </si>
  <si>
    <t xml:space="preserve">生意社 / 隆众资讯</t>
  </si>
  <si>
    <t xml:space="preserve">2026-10-19</t>
  </si>
  <si>
    <t xml:space="preserve">液碱/片碱价格、区域价差（演示用数字）</t>
  </si>
  <si>
    <t xml:space="preserve">使用限制：① 公开信息研究，不含非公开成本、合同价、库存、客户数据；② 产能为名义/设计能力，实际可用量受影响；③ 项目投产存在延期，净增以公告/置换文件为准；④ 价格为公开报价，实际成交受批量、账期、运费、质量影响；⑤ 不构成投资建议。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</si>
</sst>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+#,##0;\-#,##0;0"/>
    <numFmt numFmtId="167" formatCode="0"/>
    <numFmt numFmtId="168" formatCode="0.0%"/>
    <numFmt numFmtId="169" formatCode="0%"/>
    <numFmt numFmtId="170" formatCode="0.0"/>
    <numFmt numFmtId="171" formatCode="0.00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微软雅黑"/>
      <family val="0"/>
      <charset val="1"/>
    </font>
    <font>
      <sz val="12"/>
      <color rgb="FFC5D2DE"/>
      <name val="微软雅黑"/>
      <family val="0"/>
      <charset val="1"/>
    </font>
    <font>
      <sz val="9.5"/>
      <color rgb="FF8FA6BA"/>
      <name val="微软雅黑"/>
      <family val="0"/>
      <charset val="1"/>
    </font>
    <font>
      <b val="true"/>
      <sz val="12"/>
      <color rgb="FFFFFFFF"/>
      <name val="微软雅黑"/>
      <family val="0"/>
      <charset val="1"/>
    </font>
    <font>
      <sz val="8.5"/>
      <color rgb="FF718096"/>
      <name val="微软雅黑"/>
      <family val="0"/>
      <charset val="1"/>
    </font>
    <font>
      <b val="true"/>
      <sz val="10"/>
      <color rgb="FF0F766E"/>
      <name val="微软雅黑"/>
      <family val="0"/>
      <charset val="1"/>
    </font>
    <font>
      <b val="true"/>
      <sz val="10.5"/>
      <color rgb="FF15283D"/>
      <name val="微软雅黑"/>
      <family val="0"/>
      <charset val="1"/>
    </font>
    <font>
      <sz val="9"/>
      <color rgb="FF718096"/>
      <name val="微软雅黑"/>
      <family val="0"/>
      <charset val="1"/>
    </font>
    <font>
      <b val="true"/>
      <sz val="8.5"/>
      <color rgb="FF718096"/>
      <name val="微软雅黑"/>
      <family val="0"/>
      <charset val="1"/>
    </font>
    <font>
      <b val="true"/>
      <sz val="16"/>
      <color rgb="FF0B1F33"/>
      <name val="微软雅黑"/>
      <family val="0"/>
      <charset val="1"/>
    </font>
    <font>
      <sz val="8"/>
      <color rgb="FF718096"/>
      <name val="微软雅黑"/>
      <family val="0"/>
      <charset val="1"/>
    </font>
    <font>
      <sz val="9"/>
      <color rgb="FF40536A"/>
      <name val="微软雅黑"/>
      <family val="0"/>
      <charset val="1"/>
    </font>
    <font>
      <b val="true"/>
      <sz val="21"/>
      <color rgb="FFFFFFFF"/>
      <name val="微软雅黑"/>
      <family val="0"/>
      <charset val="1"/>
    </font>
    <font>
      <sz val="10.5"/>
      <color rgb="FFC5D2DE"/>
      <name val="微软雅黑"/>
      <family val="0"/>
      <charset val="1"/>
    </font>
    <font>
      <sz val="9"/>
      <color rgb="FF8FA6BA"/>
      <name val="微软雅黑"/>
      <family val="0"/>
      <charset val="1"/>
    </font>
    <font>
      <b val="true"/>
      <sz val="9.5"/>
      <color rgb="FFFFFFFF"/>
      <name val="微软雅黑"/>
      <family val="0"/>
      <charset val="1"/>
    </font>
    <font>
      <sz val="9.2"/>
      <color rgb="FF40536A"/>
      <name val="微软雅黑"/>
      <family val="0"/>
      <charset val="1"/>
    </font>
    <font>
      <b val="true"/>
      <sz val="10"/>
      <color rgb="FF15283D"/>
      <name val="微软雅黑"/>
      <family val="0"/>
      <charset val="1"/>
    </font>
    <font>
      <b val="true"/>
      <sz val="9"/>
      <color rgb="FF0F766E"/>
      <name val="微软雅黑"/>
      <family val="0"/>
      <charset val="1"/>
    </font>
    <font>
      <b val="true"/>
      <sz val="9"/>
      <color rgb="FFB45309"/>
      <name val="微软雅黑"/>
      <family val="0"/>
      <charset val="1"/>
    </font>
    <font>
      <b val="true"/>
      <sz val="9.4"/>
      <color rgb="FF15283D"/>
      <name val="微软雅黑"/>
      <family val="0"/>
      <charset val="1"/>
    </font>
    <font>
      <b val="true"/>
      <sz val="8.8"/>
      <color rgb="FFFFFFFF"/>
      <name val="微软雅黑"/>
      <family val="0"/>
      <charset val="1"/>
    </font>
    <font>
      <b val="true"/>
      <sz val="10"/>
      <color rgb="FF5EEAD4"/>
      <name val="微软雅黑"/>
      <family val="0"/>
      <charset val="1"/>
    </font>
    <font>
      <b val="true"/>
      <sz val="9.5"/>
      <color rgb="FF15283D"/>
      <name val="微软雅黑"/>
      <family val="0"/>
      <charset val="1"/>
    </font>
    <font>
      <b val="true"/>
      <sz val="9"/>
      <color rgb="FF475569"/>
      <name val="微软雅黑"/>
      <family val="0"/>
      <charset val="1"/>
    </font>
    <font>
      <b val="true"/>
      <sz val="9"/>
      <color rgb="FF1D4ED8"/>
      <name val="微软雅黑"/>
      <family val="0"/>
      <charset val="1"/>
    </font>
    <font>
      <b val="true"/>
      <sz val="18"/>
      <color rgb="FF000000"/>
      <name val="Noto Sans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1D4ED8"/>
      <name val="微软雅黑"/>
      <family val="0"/>
      <charset val="1"/>
    </font>
    <font>
      <b val="true"/>
      <sz val="10"/>
      <color rgb="FFB45309"/>
      <name val="微软雅黑"/>
      <family val="0"/>
      <charset val="1"/>
    </font>
    <font>
      <b val="true"/>
      <sz val="9"/>
      <color rgb="FF15283D"/>
      <name val="微软雅黑"/>
      <family val="0"/>
      <charset val="1"/>
    </font>
    <font>
      <b val="true"/>
      <sz val="8.8"/>
      <color rgb="FFB45309"/>
      <name val="微软雅黑"/>
      <family val="0"/>
      <charset val="1"/>
    </font>
    <font>
      <b val="true"/>
      <sz val="8.8"/>
      <color rgb="FF1D4ED8"/>
      <name val="微软雅黑"/>
      <family val="0"/>
      <charset val="1"/>
    </font>
    <font>
      <b val="true"/>
      <sz val="9"/>
      <color rgb="FFB91C1C"/>
      <name val="微软雅黑"/>
      <family val="0"/>
      <charset val="1"/>
    </font>
    <font>
      <b val="true"/>
      <sz val="9.2"/>
      <color rgb="FF15283D"/>
      <name val="微软雅黑"/>
      <family val="0"/>
      <charset val="1"/>
    </font>
    <font>
      <b val="true"/>
      <sz val="9.2"/>
      <color rgb="FF0F766E"/>
      <name val="微软雅黑"/>
      <family val="0"/>
      <charset val="1"/>
    </font>
    <font>
      <b val="true"/>
      <sz val="9.2"/>
      <color rgb="FFB91C1C"/>
      <name val="微软雅黑"/>
      <family val="0"/>
      <charset val="1"/>
    </font>
    <font>
      <b val="true"/>
      <sz val="9.2"/>
      <color rgb="FFB45309"/>
      <name val="微软雅黑"/>
      <family val="0"/>
      <charset val="1"/>
    </font>
    <font>
      <b val="true"/>
      <sz val="9.3"/>
      <color rgb="FF15283D"/>
      <name val="微软雅黑"/>
      <family val="0"/>
      <charset val="1"/>
    </font>
    <font>
      <b val="true"/>
      <sz val="9"/>
      <color rgb="FF40536A"/>
      <name val="微软雅黑"/>
      <family val="0"/>
      <charset val="1"/>
    </font>
    <font>
      <b val="true"/>
      <sz val="11"/>
      <color rgb="FF0F766E"/>
      <name val="微软雅黑"/>
      <family val="0"/>
      <charset val="1"/>
    </font>
    <font>
      <b val="true"/>
      <sz val="8.5"/>
      <color rgb="FF0F766E"/>
      <name val="微软雅黑"/>
      <family val="0"/>
      <charset val="1"/>
    </font>
    <font>
      <b val="true"/>
      <sz val="9"/>
      <color rgb="FF5EEAD4"/>
      <name val="微软雅黑"/>
      <family val="0"/>
      <charset val="1"/>
    </font>
    <font>
      <b val="true"/>
      <sz val="11"/>
      <color rgb="FF5EEAD4"/>
      <name val="微软雅黑"/>
      <family val="0"/>
      <charset val="1"/>
    </font>
    <font>
      <u val="single"/>
      <sz val="8.2"/>
      <color rgb="FF1D4ED8"/>
      <name val="微软雅黑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B1F33"/>
        <bgColor rgb="FF15283D"/>
      </patternFill>
    </fill>
    <fill>
      <patternFill patternType="solid">
        <fgColor rgb="FF0F766E"/>
        <bgColor rgb="FF008080"/>
      </patternFill>
    </fill>
    <fill>
      <patternFill patternType="solid">
        <fgColor rgb="FFF8FAFC"/>
        <bgColor rgb="FFF9F9F9"/>
      </patternFill>
    </fill>
    <fill>
      <patternFill patternType="solid">
        <fgColor rgb="FF12324A"/>
        <bgColor rgb="FF15283D"/>
      </patternFill>
    </fill>
    <fill>
      <patternFill patternType="solid">
        <fgColor rgb="FFFFFFFF"/>
        <bgColor rgb="FFF8FAFC"/>
      </patternFill>
    </fill>
    <fill>
      <patternFill patternType="solid">
        <fgColor rgb="FFECFDF5"/>
        <bgColor rgb="FFEFF6FF"/>
      </patternFill>
    </fill>
    <fill>
      <patternFill patternType="solid">
        <fgColor rgb="FFFFFBEB"/>
        <bgColor rgb="FFF9F9F9"/>
      </patternFill>
    </fill>
    <fill>
      <patternFill patternType="solid">
        <fgColor rgb="FF1D4ED8"/>
        <bgColor rgb="FF40536A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FEF2F2"/>
        <bgColor rgb="FFF9F9F9"/>
      </patternFill>
    </fill>
    <fill>
      <patternFill patternType="solid">
        <fgColor rgb="FFFEF3C7"/>
        <bgColor rgb="FFFFFBEB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E2E9F1"/>
      </bottom>
      <diagonal/>
    </border>
    <border diagonalUp="false" diagonalDown="false">
      <left style="thin">
        <color rgb="FFE2E9F1"/>
      </left>
      <right style="thin">
        <color rgb="FFE2E9F1"/>
      </right>
      <top style="thin">
        <color rgb="FFE2E9F1"/>
      </top>
      <bottom style="thin">
        <color rgb="FFE2E9F1"/>
      </bottom>
      <diagonal/>
    </border>
    <border diagonalUp="false" diagonalDown="false">
      <left style="thin">
        <color rgb="FFE2E9F1"/>
      </left>
      <right/>
      <top style="thin">
        <color rgb="FFE2E9F1"/>
      </top>
      <bottom style="thin">
        <color rgb="FFE2E9F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0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0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4" fillId="1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5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5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2324A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0536A"/>
          <bgColor rgb="FF000000"/>
        </patternFill>
      </fill>
    </dxf>
    <dxf>
      <fill>
        <patternFill patternType="solid">
          <fgColor rgb="FF15283D"/>
          <bgColor rgb="FF000000"/>
        </patternFill>
      </fill>
    </dxf>
    <dxf>
      <fill>
        <patternFill patternType="solid">
          <fgColor rgb="FFECFDF5"/>
          <bgColor rgb="FF000000"/>
        </patternFill>
      </fill>
    </dxf>
    <dxf>
      <fill>
        <patternFill patternType="solid">
          <fgColor rgb="FFFFFBEB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ont>
        <name val="微软雅黑"/>
        <charset val="1"/>
        <family val="0"/>
        <b val="1"/>
        <color rgb="FFB91C1C"/>
        <sz val="9"/>
      </font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475569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FE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5D2DE"/>
      <rgbColor rgb="FF878787"/>
      <rgbColor rgb="FF8FA6BA"/>
      <rgbColor rgb="FFB45309"/>
      <rgbColor rgb="FFFEF3C7"/>
      <rgbColor rgb="FFECFDF5"/>
      <rgbColor rgb="FF660066"/>
      <rgbColor rgb="FFFF8080"/>
      <rgbColor rgb="FF1D4ED8"/>
      <rgbColor rgb="FFCBD5E1"/>
      <rgbColor rgb="FF000080"/>
      <rgbColor rgb="FFFF00FF"/>
      <rgbColor rgb="FFF1F5F9"/>
      <rgbColor rgb="FF00FFFF"/>
      <rgbColor rgb="FF800080"/>
      <rgbColor rgb="FF800000"/>
      <rgbColor rgb="FF008080"/>
      <rgbColor rgb="FF0000FF"/>
      <rgbColor rgb="FF00CCFF"/>
      <rgbColor rgb="FFEFF6FF"/>
      <rgbColor rgb="FFE2E9F1"/>
      <rgbColor rgb="FFFFFBEB"/>
      <rgbColor rgb="FF93C5FD"/>
      <rgbColor rgb="FFFEF2F2"/>
      <rgbColor rgb="FF8B5CF6"/>
      <rgbColor rgb="FFD9D9D9"/>
      <rgbColor rgb="FF4F81BD"/>
      <rgbColor rgb="FF5EEAD4"/>
      <rgbColor rgb="FF99CC00"/>
      <rgbColor rgb="FFF8FAFC"/>
      <rgbColor rgb="FFF59E0B"/>
      <rgbColor rgb="FFEF4444"/>
      <rgbColor rgb="FF718096"/>
      <rgbColor rgb="FF94A3B8"/>
      <rgbColor rgb="FF12324A"/>
      <rgbColor rgb="FF339966"/>
      <rgbColor rgb="FF0B1F33"/>
      <rgbColor rgb="FF475569"/>
      <rgbColor rgb="FFB91C1C"/>
      <rgbColor rgb="FF7C3AED"/>
      <rgbColor rgb="FF40536A"/>
      <rgbColor rgb="FF1528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区域产能：基准年 vs 2026E（万吨/年）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'03_区域汇总'!D6</c:f>
              <c:strCache>
                <c:ptCount val="1"/>
                <c:pt idx="0">
                  <c:v>基准年产能</c:v>
                </c:pt>
              </c:strCache>
            </c:strRef>
          </c:tx>
          <c:spPr>
            <a:solidFill>
              <a:srgbClr val="0F766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'03_区域汇总'!$A$7:$A$12</c:f>
              <c:strCache>
                <c:ptCount val="6"/>
                <c:pt idx="0">
                  <c:v>新疆</c:v>
                </c:pt>
                <c:pt idx="1">
                  <c:v>陕西</c:v>
                </c:pt>
                <c:pt idx="2">
                  <c:v>上海</c:v>
                </c:pt>
                <c:pt idx="3">
                  <c:v>四川</c:v>
                </c:pt>
                <c:pt idx="4">
                  <c:v>辽宁</c:v>
                </c:pt>
                <c:pt idx="5">
                  <c:v>山东</c:v>
                </c:pt>
              </c:strCache>
            </c:strRef>
          </c:cat>
          <c:val>
            <c:numRef>
              <c:f>'03_区域汇总'!$D$7:$D$12</c:f>
              <c:numCache>
                <c:formatCode>#,##0</c:formatCode>
                <c:ptCount val="6"/>
                <c:pt idx="0">
                  <c:v>360</c:v>
                </c:pt>
                <c:pt idx="1">
                  <c:v>110</c:v>
                </c:pt>
                <c:pt idx="2">
                  <c:v>72</c:v>
                </c:pt>
                <c:pt idx="3">
                  <c:v>55</c:v>
                </c:pt>
                <c:pt idx="4">
                  <c:v>45</c:v>
                </c:pt>
                <c:pt idx="5">
                  <c:v>40</c:v>
                </c:pt>
              </c:numCache>
            </c:numRef>
          </c:val>
        </c:ser>
        <c:ser>
          <c:idx val="1"/>
          <c:order val="1"/>
          <c:tx>
            <c:strRef>
              <c:f>'03_区域汇总'!F6</c:f>
              <c:strCache>
                <c:ptCount val="1"/>
                <c:pt idx="0">
                  <c:v>2026E产能</c:v>
                </c:pt>
              </c:strCache>
            </c:strRef>
          </c:tx>
          <c:spPr>
            <a:solidFill>
              <a:srgbClr val="93C5F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'03_区域汇总'!$A$7:$A$12</c:f>
              <c:strCache>
                <c:ptCount val="6"/>
                <c:pt idx="0">
                  <c:v>新疆</c:v>
                </c:pt>
                <c:pt idx="1">
                  <c:v>陕西</c:v>
                </c:pt>
                <c:pt idx="2">
                  <c:v>上海</c:v>
                </c:pt>
                <c:pt idx="3">
                  <c:v>四川</c:v>
                </c:pt>
                <c:pt idx="4">
                  <c:v>辽宁</c:v>
                </c:pt>
                <c:pt idx="5">
                  <c:v>山东</c:v>
                </c:pt>
              </c:strCache>
            </c:strRef>
          </c:cat>
          <c:val>
            <c:numRef>
              <c:f>'03_区域汇总'!$F$7:$F$12</c:f>
              <c:numCache>
                <c:formatCode>#,##0</c:formatCode>
                <c:ptCount val="6"/>
                <c:pt idx="0">
                  <c:v>360</c:v>
                </c:pt>
                <c:pt idx="1">
                  <c:v>110</c:v>
                </c:pt>
                <c:pt idx="2">
                  <c:v>72</c:v>
                </c:pt>
                <c:pt idx="3">
                  <c:v>55</c:v>
                </c:pt>
                <c:pt idx="4">
                  <c:v>45</c:v>
                </c:pt>
                <c:pt idx="5">
                  <c:v>40</c:v>
                </c:pt>
              </c:numCache>
            </c:numRef>
          </c:val>
        </c:ser>
        <c:gapWidth val="150"/>
        <c:overlap val="0"/>
        <c:axId val="1333229"/>
        <c:axId val="45713921"/>
      </c:barChart>
      <c:catAx>
        <c:axId val="13332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713921"/>
        <c:crosses val="autoZero"/>
        <c:auto val="1"/>
        <c:lblAlgn val="ctr"/>
        <c:lblOffset val="100"/>
        <c:noMultiLvlLbl val="0"/>
      </c:catAx>
      <c:valAx>
        <c:axId val="4571392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33229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基准年工艺结构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'04_工艺路线'!B6</c:f>
              <c:strCache>
                <c:ptCount val="1"/>
                <c:pt idx="0">
                  <c:v>基准年产能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D4ED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B4530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'04_工艺路线'!$A$7:$A$8</c:f>
              <c:strCache>
                <c:ptCount val="2"/>
                <c:pt idx="0">
                  <c:v>离子膜法</c:v>
                </c:pt>
                <c:pt idx="1">
                  <c:v>隔膜法</c:v>
                </c:pt>
              </c:strCache>
            </c:strRef>
          </c:cat>
          <c:val>
            <c:numRef>
              <c:f>'04_工艺路线'!$B$7:$B$8</c:f>
              <c:numCache>
                <c:formatCode>#,##0</c:formatCode>
                <c:ptCount val="2"/>
                <c:pt idx="0">
                  <c:v>4900</c:v>
                </c:pt>
                <c:pt idx="1">
                  <c:v>300</c:v>
                </c:pt>
              </c:numCache>
            </c:numRef>
          </c:val>
        </c:ser>
        <c:firstSliceAng val="0"/>
        <c:holeSize val="50"/>
      </c:doughnutChart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成本区间中值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F766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'04A_原料与成本'!$A$15:$A$16</c:f>
              <c:strCache>
                <c:ptCount val="2"/>
                <c:pt idx="0">
                  <c:v>离子膜法</c:v>
                </c:pt>
                <c:pt idx="1">
                  <c:v>隔膜法</c:v>
                </c:pt>
              </c:strCache>
            </c:strRef>
          </c:cat>
          <c:val>
            <c:numRef>
              <c:f>'04A_原料与成本'!$D$15:$D$16</c:f>
              <c:numCache>
                <c:formatCode>#,##0</c:formatCode>
                <c:ptCount val="2"/>
                <c:pt idx="0">
                  <c:v>2200</c:v>
                </c:pt>
                <c:pt idx="1">
                  <c:v>2600</c:v>
                </c:pt>
              </c:numCache>
            </c:numRef>
          </c:val>
        </c:ser>
        <c:gapWidth val="150"/>
        <c:overlap val="0"/>
        <c:axId val="687904"/>
        <c:axId val="89002968"/>
      </c:barChart>
      <c:catAx>
        <c:axId val="68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002968"/>
        <c:crosses val="autoZero"/>
        <c:auto val="1"/>
        <c:lblAlgn val="ctr"/>
        <c:lblOffset val="100"/>
        <c:noMultiLvlLbl val="0"/>
      </c:catAx>
      <c:valAx>
        <c:axId val="890029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7904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项目毛产能（万吨/年）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'05_新增项目'!F6</c:f>
              <c:strCache>
                <c:ptCount val="1"/>
                <c:pt idx="0">
                  <c:v>毛产能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B4530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B4530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1D4ED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1D4ED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B4530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'05_新增项目'!$B$7:$B$11</c:f>
              <c:strCache>
                <c:ptCount val="5"/>
                <c:pt idx="0">
                  <c:v>华东离子膜烧碱扩建（示例）</c:v>
                </c:pt>
                <c:pt idx="1">
                  <c:v>西北氯碱一体化二期（示例）</c:v>
                </c:pt>
                <c:pt idx="2">
                  <c:v>老隔膜装置退出（示例）</c:v>
                </c:pt>
                <c:pt idx="3">
                  <c:v>西南氯碱技改扩能（示例）</c:v>
                </c:pt>
                <c:pt idx="4">
                  <c:v>华北离子膜置换隔膜（示例）</c:v>
                </c:pt>
              </c:strCache>
            </c:strRef>
          </c:cat>
          <c:val>
            <c:numRef>
              <c:f>'05_新增项目'!$F$7:$F$11</c:f>
              <c:numCache>
                <c:formatCode>#,##0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0</c:v>
                </c:pt>
                <c:pt idx="3">
                  <c:v>15</c:v>
                </c:pt>
                <c:pt idx="4">
                  <c:v>30</c:v>
                </c:pt>
              </c:numCache>
            </c:numRef>
          </c:val>
        </c:ser>
        <c:gapWidth val="150"/>
        <c:overlap val="0"/>
        <c:axId val="56718900"/>
        <c:axId val="67524433"/>
      </c:barChart>
      <c:catAx>
        <c:axId val="567189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524433"/>
        <c:crosses val="autoZero"/>
        <c:auto val="1"/>
        <c:lblAlgn val="ctr"/>
        <c:lblOffset val="100"/>
        <c:noMultiLvlLbl val="0"/>
      </c:catAx>
      <c:valAx>
        <c:axId val="6752443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718900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年度价格中枢与区间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'06_价格历史'!B8</c:f>
              <c:strCache>
                <c:ptCount val="1"/>
                <c:pt idx="0">
                  <c:v>均价 / 中枢</c:v>
                </c:pt>
              </c:strCache>
            </c:strRef>
          </c:tx>
          <c:spPr>
            <a:ln w="29880">
              <a:solidFill>
                <a:srgbClr val="0F766E"/>
              </a:solidFill>
              <a:round/>
            </a:ln>
          </c:spPr>
          <c:marker>
            <c:symbol val="circle"/>
            <c:size val="7"/>
            <c:spPr>
              <a:solidFill>
                <a:srgbClr val="0F766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'06_价格历史'!$A$9:$A$12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'06_价格历史'!$B$9:$B$12</c:f>
              <c:numCache>
                <c:formatCode>#,##0</c:formatCode>
                <c:ptCount val="4"/>
                <c:pt idx="0">
                  <c:v>3600</c:v>
                </c:pt>
                <c:pt idx="1">
                  <c:v>2900</c:v>
                </c:pt>
                <c:pt idx="2">
                  <c:v>2700</c:v>
                </c:pt>
                <c:pt idx="3">
                  <c:v>2800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'06_价格历史'!C8</c:f>
              <c:strCache>
                <c:ptCount val="1"/>
                <c:pt idx="0">
                  <c:v>低点</c:v>
                </c:pt>
              </c:strCache>
            </c:strRef>
          </c:tx>
          <c:spPr>
            <a:ln w="15840">
              <a:solidFill>
                <a:srgbClr val="94A3B8"/>
              </a:solidFill>
              <a:round/>
            </a:ln>
          </c:spPr>
          <c:marker>
            <c:symbol val="circle"/>
            <c:size val="4"/>
            <c:spPr>
              <a:solidFill>
                <a:srgbClr val="94A3B8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'06_价格历史'!$A$9:$A$12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'06_价格历史'!$C$9:$C$12</c:f>
              <c:numCache>
                <c:formatCode>#,##0</c:formatCode>
                <c:ptCount val="4"/>
                <c:pt idx="0">
                  <c:v>2800</c:v>
                </c:pt>
                <c:pt idx="1">
                  <c:v>2200</c:v>
                </c:pt>
                <c:pt idx="2">
                  <c:v>2100</c:v>
                </c:pt>
                <c:pt idx="3">
                  <c:v>2300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'06_价格历史'!D8</c:f>
              <c:strCache>
                <c:ptCount val="1"/>
                <c:pt idx="0">
                  <c:v>高点</c:v>
                </c:pt>
              </c:strCache>
            </c:strRef>
          </c:tx>
          <c:spPr>
            <a:ln w="15840">
              <a:solidFill>
                <a:srgbClr val="CBD5E1"/>
              </a:solidFill>
              <a:round/>
            </a:ln>
          </c:spPr>
          <c:marker>
            <c:symbol val="circle"/>
            <c:size val="4"/>
            <c:spPr>
              <a:solidFill>
                <a:srgbClr val="CBD5E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'06_价格历史'!$A$9:$A$12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'06_价格历史'!$D$9:$D$12</c:f>
              <c:numCache>
                <c:formatCode>#,##0</c:formatCode>
                <c:ptCount val="4"/>
                <c:pt idx="0">
                  <c:v>5200</c:v>
                </c:pt>
                <c:pt idx="1">
                  <c:v>3800</c:v>
                </c:pt>
                <c:pt idx="2">
                  <c:v>3400</c:v>
                </c:pt>
                <c:pt idx="3">
                  <c:v>3600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3782251"/>
        <c:axId val="43148047"/>
      </c:lineChart>
      <c:catAx>
        <c:axId val="937822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148047"/>
        <c:crosses val="autoZero"/>
        <c:auto val="1"/>
        <c:lblAlgn val="ctr"/>
        <c:lblOffset val="100"/>
        <c:noMultiLvlLbl val="0"/>
      </c:catAx>
      <c:valAx>
        <c:axId val="431480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782251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建议采购组合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ln w="12600">
              <a:noFill/>
            </a:ln>
          </c:spPr>
          <c:explosion val="0"/>
          <c:dPt>
            <c:idx val="0"/>
            <c:spPr>
              <a:solidFill>
                <a:srgbClr val="0F766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D4ED8"/>
              </a:solidFill>
              <a:ln w="0">
                <a:noFill/>
              </a:ln>
            </c:spPr>
          </c:dPt>
          <c:dPt>
            <c:idx val="2"/>
            <c:spPr>
              <a:solidFill>
                <a:srgbClr val="B4530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94A3B8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'07A_采购策略'!$A$18:$A$21</c:f>
              <c:strCache>
                <c:ptCount val="4"/>
                <c:pt idx="0">
                  <c:v>半径内液碱主供</c:v>
                </c:pt>
                <c:pt idx="1">
                  <c:v>半径内第二源</c:v>
                </c:pt>
                <c:pt idx="2">
                  <c:v>片碱备份</c:v>
                </c:pt>
                <c:pt idx="3">
                  <c:v>贸易商现货</c:v>
                </c:pt>
              </c:strCache>
            </c:strRef>
          </c:cat>
          <c:val>
            <c:numRef>
              <c:f>'07A_采购策略'!$F$18:$F$21</c:f>
              <c:numCache>
                <c:formatCode>0%</c:formatCode>
                <c:ptCount val="4"/>
                <c:pt idx="0">
                  <c:v>0.6</c:v>
                </c:pt>
                <c:pt idx="1">
                  <c:v>0.2</c:v>
                </c:pt>
                <c:pt idx="2">
                  <c:v>0.12</c:v>
                </c:pt>
                <c:pt idx="3">
                  <c:v>0.08</c:v>
                </c:pt>
              </c:numCache>
            </c:numRef>
          </c:val>
        </c:ser>
        <c:firstSliceAng val="0"/>
      </c:pieChart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5</xdr:row>
      <xdr:rowOff>0</xdr:rowOff>
    </xdr:from>
    <xdr:to>
      <xdr:col>22</xdr:col>
      <xdr:colOff>364680</xdr:colOff>
      <xdr:row>15</xdr:row>
      <xdr:rowOff>302040</xdr:rowOff>
    </xdr:to>
    <xdr:graphicFrame>
      <xdr:nvGraphicFramePr>
        <xdr:cNvPr id="1" name="Chart 1"/>
        <xdr:cNvGraphicFramePr/>
      </xdr:nvGraphicFramePr>
      <xdr:xfrm>
        <a:off x="12453120" y="11620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5</xdr:row>
      <xdr:rowOff>0</xdr:rowOff>
    </xdr:from>
    <xdr:to>
      <xdr:col>18</xdr:col>
      <xdr:colOff>38880</xdr:colOff>
      <xdr:row>11</xdr:row>
      <xdr:rowOff>145080</xdr:rowOff>
    </xdr:to>
    <xdr:graphicFrame>
      <xdr:nvGraphicFramePr>
        <xdr:cNvPr id="2" name="Chart 1"/>
        <xdr:cNvGraphicFramePr/>
      </xdr:nvGraphicFramePr>
      <xdr:xfrm>
        <a:off x="18655560" y="116208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0</xdr:rowOff>
    </xdr:from>
    <xdr:to>
      <xdr:col>13</xdr:col>
      <xdr:colOff>38880</xdr:colOff>
      <xdr:row>15</xdr:row>
      <xdr:rowOff>165960</xdr:rowOff>
    </xdr:to>
    <xdr:graphicFrame>
      <xdr:nvGraphicFramePr>
        <xdr:cNvPr id="3" name="Chart 1"/>
        <xdr:cNvGraphicFramePr/>
      </xdr:nvGraphicFramePr>
      <xdr:xfrm>
        <a:off x="10902240" y="16574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5</xdr:row>
      <xdr:rowOff>0</xdr:rowOff>
    </xdr:from>
    <xdr:to>
      <xdr:col>24</xdr:col>
      <xdr:colOff>4680</xdr:colOff>
      <xdr:row>10</xdr:row>
      <xdr:rowOff>468720</xdr:rowOff>
    </xdr:to>
    <xdr:graphicFrame>
      <xdr:nvGraphicFramePr>
        <xdr:cNvPr id="4" name="Chart 1"/>
        <xdr:cNvGraphicFramePr/>
      </xdr:nvGraphicFramePr>
      <xdr:xfrm>
        <a:off x="15730920" y="11620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0</xdr:rowOff>
    </xdr:from>
    <xdr:to>
      <xdr:col>14</xdr:col>
      <xdr:colOff>101520</xdr:colOff>
      <xdr:row>18</xdr:row>
      <xdr:rowOff>153720</xdr:rowOff>
    </xdr:to>
    <xdr:graphicFrame>
      <xdr:nvGraphicFramePr>
        <xdr:cNvPr id="5" name="Chart 1"/>
        <xdr:cNvGraphicFramePr/>
      </xdr:nvGraphicFramePr>
      <xdr:xfrm>
        <a:off x="6977880" y="16574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7</xdr:row>
      <xdr:rowOff>0</xdr:rowOff>
    </xdr:from>
    <xdr:to>
      <xdr:col>12</xdr:col>
      <xdr:colOff>542160</xdr:colOff>
      <xdr:row>11</xdr:row>
      <xdr:rowOff>281520</xdr:rowOff>
    </xdr:to>
    <xdr:graphicFrame>
      <xdr:nvGraphicFramePr>
        <xdr:cNvPr id="6" name="Chart 1"/>
        <xdr:cNvGraphicFramePr/>
      </xdr:nvGraphicFramePr>
      <xdr:xfrm>
        <a:off x="9633600" y="165744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s://www.chyxx.com/industry/" TargetMode="External"/><Relationship Id="rId2" Type="http://schemas.openxmlformats.org/officeDocument/2006/relationships/hyperlink" Target="https://www.100ppi.com/" TargetMode="External"/><Relationship Id="rId3" Type="http://schemas.openxmlformats.org/officeDocument/2006/relationships/hyperlink" Target="https://www.100ppi.com/" TargetMode="External"/><Relationship Id="rId4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3"/>
    <pageSetUpPr fitToPage="true"/>
  </sheetPr>
  <dimension ref="A1:H4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0"/>
    <col collapsed="false" customWidth="true" hidden="false" outlineLevel="0" max="7" min="3" style="0" width="18"/>
    <col collapsed="false" customWidth="true" hidden="false" outlineLevel="0" max="8" min="8" style="0" width="2.5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1"/>
    </row>
    <row r="3" customFormat="false" ht="25.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1"/>
    </row>
    <row r="4" customFormat="false" ht="21.75" hidden="false" customHeight="true" outlineLevel="0" collapsed="false">
      <c r="A4" s="1"/>
      <c r="B4" s="4" t="s">
        <v>2</v>
      </c>
      <c r="C4" s="4"/>
      <c r="D4" s="4"/>
      <c r="E4" s="4"/>
      <c r="F4" s="4"/>
      <c r="G4" s="4"/>
      <c r="H4" s="1"/>
    </row>
    <row r="5" customFormat="false" ht="3.75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7" customFormat="false" ht="24" hidden="false" customHeight="true" outlineLevel="0" collapsed="false">
      <c r="A7" s="6" t="s">
        <v>3</v>
      </c>
      <c r="B7" s="6"/>
      <c r="C7" s="6"/>
      <c r="D7" s="6"/>
      <c r="E7" s="6"/>
      <c r="F7" s="6"/>
      <c r="G7" s="6"/>
      <c r="H7" s="6"/>
    </row>
    <row r="8" customFormat="false" ht="18" hidden="false" customHeight="true" outlineLevel="0" collapsed="false">
      <c r="A8" s="7" t="s">
        <v>4</v>
      </c>
      <c r="B8" s="7"/>
      <c r="C8" s="7"/>
      <c r="D8" s="7"/>
      <c r="E8" s="7"/>
      <c r="F8" s="7"/>
      <c r="G8" s="7"/>
      <c r="H8" s="7"/>
    </row>
    <row r="9" customFormat="false" ht="21.75" hidden="false" customHeight="true" outlineLevel="0" collapsed="false">
      <c r="B9" s="8" t="s">
        <v>5</v>
      </c>
      <c r="C9" s="9" t="s">
        <v>6</v>
      </c>
      <c r="D9" s="10" t="s">
        <v>7</v>
      </c>
      <c r="E9" s="10"/>
      <c r="F9" s="10"/>
      <c r="G9" s="10"/>
      <c r="H9" s="10"/>
    </row>
    <row r="10" customFormat="false" ht="21.75" hidden="false" customHeight="true" outlineLevel="0" collapsed="false">
      <c r="B10" s="8" t="s">
        <v>8</v>
      </c>
      <c r="C10" s="9" t="s">
        <v>9</v>
      </c>
      <c r="D10" s="10" t="s">
        <v>10</v>
      </c>
      <c r="E10" s="10"/>
      <c r="F10" s="10"/>
      <c r="G10" s="10"/>
      <c r="H10" s="10"/>
    </row>
    <row r="11" customFormat="false" ht="21.75" hidden="false" customHeight="true" outlineLevel="0" collapsed="false">
      <c r="B11" s="8" t="s">
        <v>11</v>
      </c>
      <c r="C11" s="9" t="s">
        <v>12</v>
      </c>
      <c r="D11" s="10" t="s">
        <v>13</v>
      </c>
      <c r="E11" s="10"/>
      <c r="F11" s="10"/>
      <c r="G11" s="10"/>
      <c r="H11" s="10"/>
    </row>
    <row r="12" customFormat="false" ht="21.75" hidden="false" customHeight="true" outlineLevel="0" collapsed="false">
      <c r="B12" s="8" t="s">
        <v>14</v>
      </c>
      <c r="C12" s="9" t="s">
        <v>15</v>
      </c>
      <c r="D12" s="10" t="s">
        <v>16</v>
      </c>
      <c r="E12" s="10"/>
      <c r="F12" s="10"/>
      <c r="G12" s="10"/>
      <c r="H12" s="10"/>
    </row>
    <row r="13" customFormat="false" ht="21.75" hidden="false" customHeight="true" outlineLevel="0" collapsed="false">
      <c r="B13" s="8" t="s">
        <v>17</v>
      </c>
      <c r="C13" s="9" t="s">
        <v>18</v>
      </c>
      <c r="D13" s="10" t="s">
        <v>19</v>
      </c>
      <c r="E13" s="10"/>
      <c r="F13" s="10"/>
      <c r="G13" s="10"/>
      <c r="H13" s="10"/>
    </row>
    <row r="14" customFormat="false" ht="21.75" hidden="false" customHeight="true" outlineLevel="0" collapsed="false">
      <c r="B14" s="8" t="s">
        <v>20</v>
      </c>
      <c r="C14" s="9" t="s">
        <v>21</v>
      </c>
      <c r="D14" s="10" t="s">
        <v>22</v>
      </c>
      <c r="E14" s="10"/>
      <c r="F14" s="10"/>
      <c r="G14" s="10"/>
      <c r="H14" s="10"/>
    </row>
    <row r="15" customFormat="false" ht="21.75" hidden="false" customHeight="true" outlineLevel="0" collapsed="false">
      <c r="B15" s="8" t="s">
        <v>23</v>
      </c>
      <c r="C15" s="9" t="s">
        <v>24</v>
      </c>
      <c r="D15" s="10" t="s">
        <v>25</v>
      </c>
      <c r="E15" s="10"/>
      <c r="F15" s="10"/>
      <c r="G15" s="10"/>
      <c r="H15" s="10"/>
    </row>
    <row r="16" customFormat="false" ht="21.75" hidden="false" customHeight="true" outlineLevel="0" collapsed="false">
      <c r="B16" s="8" t="s">
        <v>26</v>
      </c>
      <c r="C16" s="9" t="s">
        <v>27</v>
      </c>
      <c r="D16" s="10" t="s">
        <v>28</v>
      </c>
      <c r="E16" s="10"/>
      <c r="F16" s="10"/>
      <c r="G16" s="10"/>
      <c r="H16" s="10"/>
    </row>
    <row r="17" customFormat="false" ht="21.75" hidden="false" customHeight="true" outlineLevel="0" collapsed="false">
      <c r="B17" s="8" t="s">
        <v>29</v>
      </c>
      <c r="C17" s="9" t="s">
        <v>30</v>
      </c>
      <c r="D17" s="10" t="s">
        <v>31</v>
      </c>
      <c r="E17" s="10"/>
      <c r="F17" s="10"/>
      <c r="G17" s="10"/>
      <c r="H17" s="10"/>
    </row>
    <row r="18" customFormat="false" ht="21.75" hidden="false" customHeight="true" outlineLevel="0" collapsed="false">
      <c r="B18" s="8" t="s">
        <v>32</v>
      </c>
      <c r="C18" s="9" t="s">
        <v>33</v>
      </c>
      <c r="D18" s="10" t="s">
        <v>34</v>
      </c>
      <c r="E18" s="10"/>
      <c r="F18" s="10"/>
      <c r="G18" s="10"/>
      <c r="H18" s="10"/>
    </row>
    <row r="19" customFormat="false" ht="21.75" hidden="false" customHeight="true" outlineLevel="0" collapsed="false">
      <c r="B19" s="8" t="s">
        <v>35</v>
      </c>
      <c r="C19" s="9" t="s">
        <v>36</v>
      </c>
      <c r="D19" s="10" t="s">
        <v>37</v>
      </c>
      <c r="E19" s="10"/>
      <c r="F19" s="10"/>
      <c r="G19" s="10"/>
      <c r="H19" s="10"/>
    </row>
    <row r="20" customFormat="false" ht="21.75" hidden="false" customHeight="true" outlineLevel="0" collapsed="false">
      <c r="B20" s="8" t="s">
        <v>38</v>
      </c>
      <c r="C20" s="9" t="s">
        <v>39</v>
      </c>
      <c r="D20" s="10" t="s">
        <v>40</v>
      </c>
      <c r="E20" s="10"/>
      <c r="F20" s="10"/>
      <c r="G20" s="10"/>
      <c r="H20" s="10"/>
    </row>
    <row r="21" customFormat="false" ht="21.75" hidden="false" customHeight="true" outlineLevel="0" collapsed="false">
      <c r="B21" s="8" t="s">
        <v>41</v>
      </c>
      <c r="C21" s="9" t="s">
        <v>42</v>
      </c>
      <c r="D21" s="10" t="s">
        <v>43</v>
      </c>
      <c r="E21" s="10"/>
      <c r="F21" s="10"/>
      <c r="G21" s="10"/>
      <c r="H21" s="10"/>
    </row>
    <row r="22" customFormat="false" ht="21.75" hidden="false" customHeight="true" outlineLevel="0" collapsed="false">
      <c r="B22" s="8" t="s">
        <v>44</v>
      </c>
      <c r="C22" s="9" t="s">
        <v>45</v>
      </c>
      <c r="D22" s="10" t="s">
        <v>46</v>
      </c>
      <c r="E22" s="10"/>
      <c r="F22" s="10"/>
      <c r="G22" s="10"/>
      <c r="H22" s="10"/>
    </row>
    <row r="23" customFormat="false" ht="21.75" hidden="false" customHeight="true" outlineLevel="0" collapsed="false">
      <c r="B23" s="8" t="s">
        <v>47</v>
      </c>
      <c r="C23" s="9" t="s">
        <v>48</v>
      </c>
      <c r="D23" s="10" t="s">
        <v>49</v>
      </c>
      <c r="E23" s="10"/>
      <c r="F23" s="10"/>
      <c r="G23" s="10"/>
      <c r="H23" s="10"/>
    </row>
    <row r="26" customFormat="false" ht="24" hidden="false" customHeight="true" outlineLevel="0" collapsed="false">
      <c r="A26" s="6" t="s">
        <v>50</v>
      </c>
      <c r="B26" s="6"/>
      <c r="C26" s="6"/>
      <c r="D26" s="6"/>
      <c r="E26" s="6"/>
      <c r="F26" s="6"/>
      <c r="G26" s="6"/>
      <c r="H26" s="6"/>
    </row>
    <row r="28" customFormat="false" ht="16.5" hidden="false" customHeight="true" outlineLevel="0" collapsed="false">
      <c r="B28" s="11" t="s">
        <v>51</v>
      </c>
      <c r="C28" s="11"/>
      <c r="D28" s="11" t="s">
        <v>52</v>
      </c>
      <c r="E28" s="11"/>
      <c r="F28" s="11" t="s">
        <v>53</v>
      </c>
      <c r="G28" s="11"/>
    </row>
    <row r="29" customFormat="false" ht="27.75" hidden="false" customHeight="true" outlineLevel="0" collapsed="false">
      <c r="B29" s="12" t="s">
        <v>54</v>
      </c>
      <c r="C29" s="12"/>
      <c r="D29" s="12" t="s">
        <v>55</v>
      </c>
      <c r="E29" s="12"/>
      <c r="F29" s="12" t="s">
        <v>45</v>
      </c>
      <c r="G29" s="12"/>
    </row>
    <row r="30" customFormat="false" ht="24" hidden="false" customHeight="true" outlineLevel="0" collapsed="false">
      <c r="B30" s="13" t="s">
        <v>56</v>
      </c>
      <c r="C30" s="13"/>
      <c r="D30" s="13" t="s">
        <v>57</v>
      </c>
      <c r="E30" s="13"/>
      <c r="F30" s="13" t="s">
        <v>58</v>
      </c>
      <c r="G30" s="13"/>
    </row>
    <row r="31" customFormat="false" ht="16.5" hidden="false" customHeight="true" outlineLevel="0" collapsed="false">
      <c r="B31" s="11" t="s">
        <v>59</v>
      </c>
      <c r="C31" s="11"/>
      <c r="D31" s="11" t="s">
        <v>60</v>
      </c>
      <c r="E31" s="11"/>
      <c r="F31" s="11" t="s">
        <v>61</v>
      </c>
      <c r="G31" s="11"/>
    </row>
    <row r="32" customFormat="false" ht="27.75" hidden="false" customHeight="true" outlineLevel="0" collapsed="false">
      <c r="B32" s="12" t="s">
        <v>62</v>
      </c>
      <c r="C32" s="12"/>
      <c r="D32" s="12" t="s">
        <v>63</v>
      </c>
      <c r="E32" s="12"/>
      <c r="F32" s="12" t="s">
        <v>64</v>
      </c>
      <c r="G32" s="12"/>
    </row>
    <row r="33" customFormat="false" ht="24" hidden="false" customHeight="true" outlineLevel="0" collapsed="false">
      <c r="B33" s="13" t="s">
        <v>65</v>
      </c>
      <c r="C33" s="13"/>
      <c r="D33" s="13" t="s">
        <v>66</v>
      </c>
      <c r="E33" s="13"/>
      <c r="F33" s="13" t="s">
        <v>67</v>
      </c>
      <c r="G33" s="13"/>
    </row>
    <row r="36" customFormat="false" ht="24" hidden="false" customHeight="true" outlineLevel="0" collapsed="false">
      <c r="A36" s="6" t="s">
        <v>68</v>
      </c>
      <c r="B36" s="6"/>
      <c r="C36" s="6"/>
      <c r="D36" s="6"/>
      <c r="E36" s="6"/>
      <c r="F36" s="6"/>
      <c r="G36" s="6"/>
      <c r="H36" s="6"/>
    </row>
    <row r="38" customFormat="false" ht="24" hidden="false" customHeight="true" outlineLevel="0" collapsed="false">
      <c r="B38" s="14" t="s">
        <v>69</v>
      </c>
      <c r="C38" s="14"/>
      <c r="D38" s="14"/>
      <c r="E38" s="14"/>
      <c r="F38" s="14"/>
      <c r="G38" s="14"/>
      <c r="H38" s="14"/>
    </row>
    <row r="39" customFormat="false" ht="24" hidden="false" customHeight="true" outlineLevel="0" collapsed="false">
      <c r="B39" s="14" t="s">
        <v>70</v>
      </c>
      <c r="C39" s="14"/>
      <c r="D39" s="14"/>
      <c r="E39" s="14"/>
      <c r="F39" s="14"/>
      <c r="G39" s="14"/>
      <c r="H39" s="14"/>
    </row>
    <row r="40" customFormat="false" ht="24" hidden="false" customHeight="true" outlineLevel="0" collapsed="false">
      <c r="B40" s="14" t="s">
        <v>71</v>
      </c>
      <c r="C40" s="14"/>
      <c r="D40" s="14"/>
      <c r="E40" s="14"/>
      <c r="F40" s="14"/>
      <c r="G40" s="14"/>
      <c r="H40" s="14"/>
    </row>
    <row r="41" customFormat="false" ht="24" hidden="false" customHeight="true" outlineLevel="0" collapsed="false">
      <c r="B41" s="14" t="s">
        <v>72</v>
      </c>
      <c r="C41" s="14"/>
      <c r="D41" s="14"/>
      <c r="E41" s="14"/>
      <c r="F41" s="14"/>
      <c r="G41" s="14"/>
      <c r="H41" s="14"/>
    </row>
    <row r="42" customFormat="false" ht="24" hidden="false" customHeight="true" outlineLevel="0" collapsed="false">
      <c r="B42" s="14" t="s">
        <v>73</v>
      </c>
      <c r="C42" s="14"/>
      <c r="D42" s="14"/>
      <c r="E42" s="14"/>
      <c r="F42" s="14"/>
      <c r="G42" s="14"/>
      <c r="H42" s="14"/>
    </row>
    <row r="43" customFormat="false" ht="24" hidden="false" customHeight="true" outlineLevel="0" collapsed="false">
      <c r="B43" s="14" t="s">
        <v>74</v>
      </c>
      <c r="C43" s="14"/>
      <c r="D43" s="14"/>
      <c r="E43" s="14"/>
      <c r="F43" s="14"/>
      <c r="G43" s="14"/>
      <c r="H43" s="14"/>
    </row>
  </sheetData>
  <mergeCells count="46">
    <mergeCell ref="B2:G2"/>
    <mergeCell ref="B3:G3"/>
    <mergeCell ref="B4:G4"/>
    <mergeCell ref="A7:H7"/>
    <mergeCell ref="A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A26:H26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A36:H36"/>
    <mergeCell ref="B38:H38"/>
    <mergeCell ref="B39:H39"/>
    <mergeCell ref="B40:H40"/>
    <mergeCell ref="B41:H41"/>
    <mergeCell ref="B42:H42"/>
    <mergeCell ref="B43:H43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52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36" hidden="false" customHeight="true" outlineLevel="0" collapsed="false">
      <c r="A1" s="15" t="s">
        <v>6</v>
      </c>
      <c r="B1" s="15"/>
      <c r="C1" s="15"/>
      <c r="D1" s="15"/>
      <c r="E1" s="15"/>
      <c r="F1" s="15"/>
      <c r="G1" s="15"/>
    </row>
    <row r="2" customFormat="false" ht="19.5" hidden="false" customHeight="true" outlineLevel="0" collapsed="false">
      <c r="A2" s="16" t="s">
        <v>75</v>
      </c>
      <c r="B2" s="16"/>
      <c r="C2" s="16"/>
      <c r="D2" s="16"/>
      <c r="E2" s="16"/>
      <c r="F2" s="16"/>
      <c r="G2" s="16"/>
    </row>
    <row r="3" customFormat="false" ht="18" hidden="false" customHeight="true" outlineLevel="0" collapsed="false">
      <c r="A3" s="17" t="s">
        <v>76</v>
      </c>
      <c r="B3" s="17"/>
      <c r="C3" s="17"/>
      <c r="D3" s="17"/>
      <c r="E3" s="17"/>
      <c r="F3" s="17"/>
      <c r="G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</row>
    <row r="6" customFormat="false" ht="30" hidden="false" customHeight="true" outlineLevel="0" collapsed="false">
      <c r="A6" s="18" t="s">
        <v>77</v>
      </c>
      <c r="B6" s="18" t="s">
        <v>78</v>
      </c>
      <c r="C6" s="18" t="s">
        <v>79</v>
      </c>
      <c r="D6" s="18" t="s">
        <v>80</v>
      </c>
      <c r="E6" s="18" t="s">
        <v>81</v>
      </c>
      <c r="F6" s="18" t="s">
        <v>82</v>
      </c>
      <c r="G6" s="18" t="s">
        <v>83</v>
      </c>
    </row>
    <row r="7" customFormat="false" ht="61.5" hidden="false" customHeight="true" outlineLevel="0" collapsed="false">
      <c r="A7" s="19" t="s">
        <v>84</v>
      </c>
      <c r="B7" s="20" t="s">
        <v>85</v>
      </c>
      <c r="C7" s="21" t="s">
        <v>86</v>
      </c>
      <c r="D7" s="21" t="s">
        <v>87</v>
      </c>
      <c r="E7" s="22" t="s">
        <v>88</v>
      </c>
      <c r="F7" s="21" t="s">
        <v>89</v>
      </c>
      <c r="G7" s="21" t="s">
        <v>90</v>
      </c>
    </row>
    <row r="8" customFormat="false" ht="61.5" hidden="false" customHeight="true" outlineLevel="0" collapsed="false">
      <c r="A8" s="23" t="s">
        <v>91</v>
      </c>
      <c r="B8" s="24" t="s">
        <v>92</v>
      </c>
      <c r="C8" s="25" t="s">
        <v>93</v>
      </c>
      <c r="D8" s="25" t="s">
        <v>94</v>
      </c>
      <c r="E8" s="22" t="s">
        <v>95</v>
      </c>
      <c r="F8" s="25" t="s">
        <v>96</v>
      </c>
      <c r="G8" s="25" t="s">
        <v>97</v>
      </c>
    </row>
    <row r="9" customFormat="false" ht="61.5" hidden="false" customHeight="true" outlineLevel="0" collapsed="false">
      <c r="A9" s="19" t="s">
        <v>98</v>
      </c>
      <c r="B9" s="20" t="s">
        <v>99</v>
      </c>
      <c r="C9" s="21" t="s">
        <v>100</v>
      </c>
      <c r="D9" s="21" t="s">
        <v>101</v>
      </c>
      <c r="E9" s="26" t="s">
        <v>102</v>
      </c>
      <c r="F9" s="21" t="s">
        <v>96</v>
      </c>
      <c r="G9" s="21" t="s">
        <v>103</v>
      </c>
    </row>
    <row r="11" customFormat="false" ht="37.5" hidden="false" customHeight="true" outlineLevel="0" collapsed="false">
      <c r="A11" s="27" t="s">
        <v>104</v>
      </c>
      <c r="B11" s="27"/>
      <c r="C11" s="27"/>
      <c r="D11" s="27"/>
      <c r="E11" s="27"/>
      <c r="F11" s="27"/>
      <c r="G11" s="27"/>
    </row>
  </sheetData>
  <autoFilter ref="A6:G9"/>
  <mergeCells count="4">
    <mergeCell ref="A1:G1"/>
    <mergeCell ref="A2:G2"/>
    <mergeCell ref="A3:G3"/>
    <mergeCell ref="A11:G11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tru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8"/>
    <col collapsed="false" customWidth="true" hidden="false" outlineLevel="0" max="11" min="10" style="0" width="22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22"/>
    <col collapsed="false" customWidth="true" hidden="false" outlineLevel="0" max="15" min="15" style="0" width="46"/>
    <col collapsed="false" customWidth="true" hidden="false" outlineLevel="0" max="16" min="16" style="0" width="7"/>
  </cols>
  <sheetData>
    <row r="1" customFormat="false" ht="36" hidden="false" customHeight="true" outlineLevel="0" collapsed="false">
      <c r="A1" s="15" t="s">
        <v>105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customFormat="false" ht="19.5" hidden="false" customHeight="true" outlineLevel="0" collapsed="false">
      <c r="A2" s="16" t="s">
        <v>106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customFormat="false" ht="18" hidden="false" customHeight="true" outlineLevel="0" collapsed="false">
      <c r="A3" s="17" t="s">
        <v>107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6" customFormat="false" ht="30" hidden="false" customHeight="true" outlineLevel="0" collapsed="false">
      <c r="A6" s="18" t="s">
        <v>77</v>
      </c>
      <c r="B6" s="18" t="s">
        <v>108</v>
      </c>
      <c r="C6" s="18" t="s">
        <v>109</v>
      </c>
      <c r="D6" s="18" t="s">
        <v>110</v>
      </c>
      <c r="E6" s="18" t="s">
        <v>111</v>
      </c>
      <c r="F6" s="18" t="s">
        <v>112</v>
      </c>
      <c r="G6" s="18" t="s">
        <v>113</v>
      </c>
      <c r="H6" s="18" t="s">
        <v>114</v>
      </c>
      <c r="I6" s="18" t="s">
        <v>115</v>
      </c>
      <c r="J6" s="18" t="s">
        <v>116</v>
      </c>
      <c r="K6" s="18" t="s">
        <v>117</v>
      </c>
      <c r="L6" s="18" t="s">
        <v>118</v>
      </c>
      <c r="M6" s="18" t="s">
        <v>119</v>
      </c>
      <c r="N6" s="18" t="s">
        <v>120</v>
      </c>
      <c r="O6" s="18" t="s">
        <v>83</v>
      </c>
      <c r="P6" s="18" t="s">
        <v>81</v>
      </c>
    </row>
    <row r="7" customFormat="false" ht="33.75" hidden="false" customHeight="true" outlineLevel="0" collapsed="false">
      <c r="A7" s="19" t="n">
        <v>1</v>
      </c>
      <c r="B7" s="28" t="s">
        <v>121</v>
      </c>
      <c r="C7" s="21" t="s">
        <v>122</v>
      </c>
      <c r="D7" s="19" t="s">
        <v>123</v>
      </c>
      <c r="E7" s="19" t="s">
        <v>124</v>
      </c>
      <c r="F7" s="29" t="s">
        <v>125</v>
      </c>
      <c r="G7" s="30" t="n">
        <v>180</v>
      </c>
      <c r="H7" s="30" t="n">
        <v>180</v>
      </c>
      <c r="I7" s="31" t="n">
        <v>0</v>
      </c>
      <c r="J7" s="21" t="s">
        <v>126</v>
      </c>
      <c r="K7" s="21" t="s">
        <v>127</v>
      </c>
      <c r="L7" s="19" t="s">
        <v>128</v>
      </c>
      <c r="M7" s="19" t="s">
        <v>129</v>
      </c>
      <c r="N7" s="21" t="s">
        <v>130</v>
      </c>
      <c r="O7" s="21" t="s">
        <v>131</v>
      </c>
      <c r="P7" s="19" t="s">
        <v>102</v>
      </c>
    </row>
    <row r="8" customFormat="false" ht="33.75" hidden="false" customHeight="true" outlineLevel="0" collapsed="false">
      <c r="A8" s="23" t="n">
        <v>2</v>
      </c>
      <c r="B8" s="32" t="s">
        <v>121</v>
      </c>
      <c r="C8" s="25" t="s">
        <v>132</v>
      </c>
      <c r="D8" s="23" t="s">
        <v>123</v>
      </c>
      <c r="E8" s="23" t="s">
        <v>133</v>
      </c>
      <c r="F8" s="29" t="s">
        <v>125</v>
      </c>
      <c r="G8" s="33" t="n">
        <v>60</v>
      </c>
      <c r="H8" s="33" t="n">
        <v>60</v>
      </c>
      <c r="I8" s="34" t="n">
        <v>0</v>
      </c>
      <c r="J8" s="25" t="s">
        <v>134</v>
      </c>
      <c r="K8" s="25" t="s">
        <v>127</v>
      </c>
      <c r="L8" s="23" t="s">
        <v>128</v>
      </c>
      <c r="M8" s="23" t="s">
        <v>129</v>
      </c>
      <c r="N8" s="25" t="s">
        <v>130</v>
      </c>
      <c r="O8" s="25" t="s">
        <v>135</v>
      </c>
      <c r="P8" s="23" t="s">
        <v>102</v>
      </c>
    </row>
    <row r="9" customFormat="false" ht="33.75" hidden="false" customHeight="true" outlineLevel="0" collapsed="false">
      <c r="A9" s="19" t="n">
        <v>3</v>
      </c>
      <c r="B9" s="28" t="s">
        <v>136</v>
      </c>
      <c r="C9" s="21" t="s">
        <v>137</v>
      </c>
      <c r="D9" s="19" t="s">
        <v>138</v>
      </c>
      <c r="E9" s="19" t="s">
        <v>138</v>
      </c>
      <c r="F9" s="29" t="s">
        <v>125</v>
      </c>
      <c r="G9" s="30" t="n">
        <v>72</v>
      </c>
      <c r="H9" s="30" t="n">
        <v>72</v>
      </c>
      <c r="I9" s="31" t="n">
        <v>0</v>
      </c>
      <c r="J9" s="21" t="s">
        <v>139</v>
      </c>
      <c r="K9" s="21" t="s">
        <v>140</v>
      </c>
      <c r="L9" s="19" t="s">
        <v>128</v>
      </c>
      <c r="M9" s="19" t="s">
        <v>141</v>
      </c>
      <c r="N9" s="21" t="s">
        <v>130</v>
      </c>
      <c r="O9" s="21" t="s">
        <v>142</v>
      </c>
      <c r="P9" s="19" t="s">
        <v>102</v>
      </c>
    </row>
    <row r="10" customFormat="false" ht="33.75" hidden="false" customHeight="true" outlineLevel="0" collapsed="false">
      <c r="A10" s="23" t="n">
        <v>4</v>
      </c>
      <c r="B10" s="32" t="s">
        <v>143</v>
      </c>
      <c r="C10" s="25" t="s">
        <v>144</v>
      </c>
      <c r="D10" s="23" t="s">
        <v>123</v>
      </c>
      <c r="E10" s="23" t="s">
        <v>145</v>
      </c>
      <c r="F10" s="29" t="s">
        <v>125</v>
      </c>
      <c r="G10" s="33" t="n">
        <v>120</v>
      </c>
      <c r="H10" s="33" t="n">
        <v>120</v>
      </c>
      <c r="I10" s="34" t="n">
        <v>0</v>
      </c>
      <c r="J10" s="25" t="s">
        <v>134</v>
      </c>
      <c r="K10" s="25" t="s">
        <v>127</v>
      </c>
      <c r="L10" s="23" t="s">
        <v>128</v>
      </c>
      <c r="M10" s="23" t="s">
        <v>146</v>
      </c>
      <c r="N10" s="25" t="s">
        <v>130</v>
      </c>
      <c r="O10" s="25" t="s">
        <v>135</v>
      </c>
      <c r="P10" s="23" t="s">
        <v>102</v>
      </c>
    </row>
    <row r="11" customFormat="false" ht="33.75" hidden="false" customHeight="true" outlineLevel="0" collapsed="false">
      <c r="A11" s="19" t="n">
        <v>5</v>
      </c>
      <c r="B11" s="28" t="s">
        <v>147</v>
      </c>
      <c r="C11" s="21" t="s">
        <v>148</v>
      </c>
      <c r="D11" s="19" t="s">
        <v>149</v>
      </c>
      <c r="E11" s="19" t="s">
        <v>150</v>
      </c>
      <c r="F11" s="29" t="s">
        <v>125</v>
      </c>
      <c r="G11" s="30" t="n">
        <v>110</v>
      </c>
      <c r="H11" s="30" t="n">
        <v>110</v>
      </c>
      <c r="I11" s="31" t="n">
        <v>0</v>
      </c>
      <c r="J11" s="21" t="s">
        <v>126</v>
      </c>
      <c r="K11" s="21" t="s">
        <v>127</v>
      </c>
      <c r="L11" s="19" t="s">
        <v>128</v>
      </c>
      <c r="M11" s="19" t="s">
        <v>151</v>
      </c>
      <c r="N11" s="21" t="s">
        <v>130</v>
      </c>
      <c r="O11" s="21" t="s">
        <v>135</v>
      </c>
      <c r="P11" s="19" t="s">
        <v>102</v>
      </c>
    </row>
    <row r="12" customFormat="false" ht="33.75" hidden="false" customHeight="true" outlineLevel="0" collapsed="false">
      <c r="A12" s="23" t="n">
        <v>6</v>
      </c>
      <c r="B12" s="32" t="s">
        <v>152</v>
      </c>
      <c r="C12" s="25" t="s">
        <v>153</v>
      </c>
      <c r="D12" s="23" t="s">
        <v>154</v>
      </c>
      <c r="E12" s="23" t="s">
        <v>155</v>
      </c>
      <c r="F12" s="29" t="s">
        <v>125</v>
      </c>
      <c r="G12" s="33" t="n">
        <v>55</v>
      </c>
      <c r="H12" s="33" t="n">
        <v>55</v>
      </c>
      <c r="I12" s="34" t="n">
        <v>0</v>
      </c>
      <c r="J12" s="25" t="s">
        <v>126</v>
      </c>
      <c r="K12" s="25" t="s">
        <v>156</v>
      </c>
      <c r="L12" s="23" t="s">
        <v>128</v>
      </c>
      <c r="M12" s="23" t="s">
        <v>157</v>
      </c>
      <c r="N12" s="25" t="s">
        <v>130</v>
      </c>
      <c r="O12" s="25" t="s">
        <v>158</v>
      </c>
      <c r="P12" s="23" t="s">
        <v>102</v>
      </c>
    </row>
    <row r="13" customFormat="false" ht="33.75" hidden="false" customHeight="true" outlineLevel="0" collapsed="false">
      <c r="A13" s="19" t="n">
        <v>7</v>
      </c>
      <c r="B13" s="28" t="s">
        <v>159</v>
      </c>
      <c r="C13" s="21" t="s">
        <v>160</v>
      </c>
      <c r="D13" s="19" t="s">
        <v>161</v>
      </c>
      <c r="E13" s="19" t="s">
        <v>162</v>
      </c>
      <c r="F13" s="29" t="s">
        <v>125</v>
      </c>
      <c r="G13" s="30" t="n">
        <v>45</v>
      </c>
      <c r="H13" s="30" t="n">
        <v>45</v>
      </c>
      <c r="I13" s="31" t="n">
        <v>0</v>
      </c>
      <c r="J13" s="21" t="s">
        <v>134</v>
      </c>
      <c r="K13" s="21" t="s">
        <v>140</v>
      </c>
      <c r="L13" s="19" t="s">
        <v>128</v>
      </c>
      <c r="M13" s="19" t="s">
        <v>163</v>
      </c>
      <c r="N13" s="21" t="s">
        <v>130</v>
      </c>
      <c r="O13" s="21" t="s">
        <v>135</v>
      </c>
      <c r="P13" s="19" t="s">
        <v>102</v>
      </c>
    </row>
    <row r="14" customFormat="false" ht="33.75" hidden="false" customHeight="true" outlineLevel="0" collapsed="false">
      <c r="A14" s="23" t="n">
        <v>8</v>
      </c>
      <c r="B14" s="32" t="s">
        <v>164</v>
      </c>
      <c r="C14" s="25" t="s">
        <v>165</v>
      </c>
      <c r="D14" s="23" t="s">
        <v>166</v>
      </c>
      <c r="E14" s="23" t="s">
        <v>167</v>
      </c>
      <c r="F14" s="29" t="s">
        <v>125</v>
      </c>
      <c r="G14" s="33" t="n">
        <v>40</v>
      </c>
      <c r="H14" s="33" t="n">
        <v>40</v>
      </c>
      <c r="I14" s="34" t="n">
        <v>0</v>
      </c>
      <c r="J14" s="25" t="s">
        <v>168</v>
      </c>
      <c r="K14" s="25" t="s">
        <v>169</v>
      </c>
      <c r="L14" s="23" t="s">
        <v>128</v>
      </c>
      <c r="M14" s="23" t="s">
        <v>170</v>
      </c>
      <c r="N14" s="25" t="s">
        <v>130</v>
      </c>
      <c r="O14" s="25" t="s">
        <v>171</v>
      </c>
      <c r="P14" s="23" t="s">
        <v>102</v>
      </c>
    </row>
    <row r="15" customFormat="false" ht="25.5" hidden="false" customHeight="true" outlineLevel="0" collapsed="false">
      <c r="A15" s="35" t="s">
        <v>172</v>
      </c>
      <c r="B15" s="36"/>
      <c r="C15" s="36"/>
      <c r="D15" s="36"/>
      <c r="E15" s="36"/>
      <c r="F15" s="36"/>
      <c r="G15" s="37" t="n">
        <f aca="false">SUM(G7:G14)</f>
        <v>682</v>
      </c>
      <c r="H15" s="37" t="n">
        <f aca="false">SUM(H7:H14)</f>
        <v>682</v>
      </c>
      <c r="I15" s="38" t="n">
        <f aca="false">SUM(I7:I14)</f>
        <v>0</v>
      </c>
      <c r="J15" s="39" t="s">
        <v>173</v>
      </c>
      <c r="K15" s="36"/>
      <c r="L15" s="36"/>
      <c r="M15" s="36"/>
      <c r="N15" s="36"/>
      <c r="O15" s="36"/>
      <c r="P15" s="36"/>
    </row>
    <row r="17" customFormat="false" ht="55.5" hidden="false" customHeight="true" outlineLevel="0" collapsed="false">
      <c r="A17" s="27" t="s">
        <v>174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autoFilter ref="A6:P14"/>
  <mergeCells count="4">
    <mergeCell ref="A1:P1"/>
    <mergeCell ref="A2:P2"/>
    <mergeCell ref="A3:P3"/>
    <mergeCell ref="A17:P17"/>
  </mergeCells>
  <conditionalFormatting sqref="G7:H14">
    <cfRule type="dataBar" priority="2">
      <dataBar showValue="1" minLength="10" maxLength="90">
        <cfvo type="num" val="0"/>
        <cfvo type="max" val="0"/>
        <color rgb="FF5EEAD4"/>
      </dataBar>
      <extLst>
        <ext xmlns:x14="http://schemas.microsoft.com/office/spreadsheetml/2009/9/main" uri="{B025F937-C7B1-47D3-B67F-A62EFF666E3E}">
          <x14:id>{4610A3EB-FE22-4DA7-9763-20E87999ABD5}</x14:id>
        </ext>
      </extLst>
    </cfRule>
  </conditionalFormatting>
  <conditionalFormatting sqref="I7:I14">
    <cfRule type="cellIs" priority="3" operator="lessThan" aboveAverage="0" equalAverage="0" bottom="0" percent="0" rank="0" text="" dxfId="10">
      <formula>0</formula>
    </cfRule>
  </conditionalFormatting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10A3EB-FE22-4DA7-9763-20E87999ABD5}">
            <x14:dataBar minLength="10" maxLength="90" axisPosition="none" gradient="true">
              <x14:cfvo type="num">
                <xm:f>0</xm:f>
              </x14:cfvo>
              <x14:cfvo type="max"/>
              <x14:negativeFillColor rgb="FF5EEAD4"/>
              <x14:axisColor rgb="FF000000"/>
            </x14:dataBar>
          </x14:cfRule>
          <xm:sqref>G7:H14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38"/>
    <col collapsed="false" customWidth="true" hidden="false" outlineLevel="0" max="10" min="10" style="0" width="30"/>
    <col collapsed="false" customWidth="true" hidden="false" outlineLevel="0" max="11" min="11" style="0" width="24"/>
  </cols>
  <sheetData>
    <row r="1" customFormat="false" ht="36" hidden="false" customHeight="true" outlineLevel="0" collapsed="false">
      <c r="A1" s="15" t="s">
        <v>12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9.5" hidden="false" customHeight="true" outlineLevel="0" collapsed="false">
      <c r="A2" s="16" t="s">
        <v>175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customFormat="false" ht="18" hidden="false" customHeight="true" outlineLevel="0" collapsed="false">
      <c r="A3" s="17" t="s">
        <v>176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6" customFormat="false" ht="30" hidden="false" customHeight="true" outlineLevel="0" collapsed="false">
      <c r="A6" s="18" t="s">
        <v>110</v>
      </c>
      <c r="B6" s="18" t="s">
        <v>177</v>
      </c>
      <c r="C6" s="18" t="s">
        <v>178</v>
      </c>
      <c r="D6" s="18" t="s">
        <v>113</v>
      </c>
      <c r="E6" s="18" t="s">
        <v>179</v>
      </c>
      <c r="F6" s="18" t="s">
        <v>114</v>
      </c>
      <c r="G6" s="18" t="s">
        <v>180</v>
      </c>
      <c r="H6" s="18" t="s">
        <v>181</v>
      </c>
      <c r="I6" s="18" t="s">
        <v>182</v>
      </c>
      <c r="J6" s="18" t="s">
        <v>183</v>
      </c>
      <c r="K6" s="18" t="s">
        <v>184</v>
      </c>
    </row>
    <row r="7" customFormat="false" ht="33.75" hidden="false" customHeight="true" outlineLevel="0" collapsed="false">
      <c r="A7" s="40" t="s">
        <v>123</v>
      </c>
      <c r="B7" s="41" t="n">
        <v>2</v>
      </c>
      <c r="C7" s="41" t="n">
        <v>3</v>
      </c>
      <c r="D7" s="30" t="n">
        <v>360</v>
      </c>
      <c r="E7" s="42" t="n">
        <v>0.527859237536657</v>
      </c>
      <c r="F7" s="30" t="n">
        <v>360</v>
      </c>
      <c r="G7" s="42" t="n">
        <v>0.527859237536657</v>
      </c>
      <c r="H7" s="43" t="s">
        <v>185</v>
      </c>
      <c r="I7" s="21" t="s">
        <v>186</v>
      </c>
      <c r="J7" s="21" t="s">
        <v>187</v>
      </c>
      <c r="K7" s="21" t="s">
        <v>188</v>
      </c>
    </row>
    <row r="8" customFormat="false" ht="33.75" hidden="false" customHeight="true" outlineLevel="0" collapsed="false">
      <c r="A8" s="44" t="s">
        <v>149</v>
      </c>
      <c r="B8" s="45" t="n">
        <v>1</v>
      </c>
      <c r="C8" s="45" t="n">
        <v>1</v>
      </c>
      <c r="D8" s="33" t="n">
        <v>110</v>
      </c>
      <c r="E8" s="46" t="n">
        <v>0.161290322580645</v>
      </c>
      <c r="F8" s="33" t="n">
        <v>110</v>
      </c>
      <c r="G8" s="46" t="n">
        <v>0.161290322580645</v>
      </c>
      <c r="H8" s="43" t="s">
        <v>185</v>
      </c>
      <c r="I8" s="25" t="s">
        <v>189</v>
      </c>
      <c r="J8" s="25" t="s">
        <v>147</v>
      </c>
      <c r="K8" s="25" t="s">
        <v>150</v>
      </c>
    </row>
    <row r="9" customFormat="false" ht="33.75" hidden="false" customHeight="true" outlineLevel="0" collapsed="false">
      <c r="A9" s="40" t="s">
        <v>138</v>
      </c>
      <c r="B9" s="41" t="n">
        <v>1</v>
      </c>
      <c r="C9" s="41" t="n">
        <v>1</v>
      </c>
      <c r="D9" s="30" t="n">
        <v>72</v>
      </c>
      <c r="E9" s="42" t="n">
        <v>0.105571847507331</v>
      </c>
      <c r="F9" s="30" t="n">
        <v>72</v>
      </c>
      <c r="G9" s="42" t="n">
        <v>0.105571847507331</v>
      </c>
      <c r="H9" s="43" t="s">
        <v>45</v>
      </c>
      <c r="I9" s="21" t="s">
        <v>45</v>
      </c>
      <c r="J9" s="21" t="s">
        <v>136</v>
      </c>
      <c r="K9" s="21" t="s">
        <v>45</v>
      </c>
    </row>
    <row r="10" customFormat="false" ht="33.75" hidden="false" customHeight="true" outlineLevel="0" collapsed="false">
      <c r="A10" s="44" t="s">
        <v>154</v>
      </c>
      <c r="B10" s="45" t="n">
        <v>1</v>
      </c>
      <c r="C10" s="45" t="n">
        <v>1</v>
      </c>
      <c r="D10" s="33" t="n">
        <v>55</v>
      </c>
      <c r="E10" s="46" t="n">
        <v>0.0806451612903226</v>
      </c>
      <c r="F10" s="33" t="n">
        <v>55</v>
      </c>
      <c r="G10" s="46" t="n">
        <v>0.0806451612903226</v>
      </c>
      <c r="H10" s="47" t="s">
        <v>190</v>
      </c>
      <c r="I10" s="25" t="s">
        <v>191</v>
      </c>
      <c r="J10" s="25" t="s">
        <v>152</v>
      </c>
      <c r="K10" s="25" t="s">
        <v>192</v>
      </c>
    </row>
    <row r="11" customFormat="false" ht="33.75" hidden="false" customHeight="true" outlineLevel="0" collapsed="false">
      <c r="A11" s="40" t="s">
        <v>161</v>
      </c>
      <c r="B11" s="41" t="n">
        <v>1</v>
      </c>
      <c r="C11" s="41" t="n">
        <v>1</v>
      </c>
      <c r="D11" s="30" t="n">
        <v>45</v>
      </c>
      <c r="E11" s="42" t="n">
        <v>0.0659824046920821</v>
      </c>
      <c r="F11" s="30" t="n">
        <v>45</v>
      </c>
      <c r="G11" s="42" t="n">
        <v>0.0659824046920821</v>
      </c>
      <c r="H11" s="43" t="s">
        <v>45</v>
      </c>
      <c r="I11" s="21" t="s">
        <v>45</v>
      </c>
      <c r="J11" s="21" t="s">
        <v>159</v>
      </c>
      <c r="K11" s="21" t="s">
        <v>45</v>
      </c>
    </row>
    <row r="12" customFormat="false" ht="33.75" hidden="false" customHeight="true" outlineLevel="0" collapsed="false">
      <c r="A12" s="44" t="s">
        <v>166</v>
      </c>
      <c r="B12" s="45" t="n">
        <v>1</v>
      </c>
      <c r="C12" s="45" t="n">
        <v>1</v>
      </c>
      <c r="D12" s="33" t="n">
        <v>40</v>
      </c>
      <c r="E12" s="46" t="n">
        <v>0.0586510263929619</v>
      </c>
      <c r="F12" s="33" t="n">
        <v>40</v>
      </c>
      <c r="G12" s="46" t="n">
        <v>0.0586510263929619</v>
      </c>
      <c r="H12" s="22" t="s">
        <v>193</v>
      </c>
      <c r="I12" s="25" t="s">
        <v>194</v>
      </c>
      <c r="J12" s="25" t="s">
        <v>164</v>
      </c>
      <c r="K12" s="25" t="s">
        <v>195</v>
      </c>
    </row>
    <row r="13" customFormat="false" ht="25.5" hidden="false" customHeight="true" outlineLevel="0" collapsed="false">
      <c r="A13" s="35" t="s">
        <v>196</v>
      </c>
      <c r="B13" s="36"/>
      <c r="C13" s="36"/>
      <c r="D13" s="37" t="n">
        <f aca="false">SUM(D7:D12)</f>
        <v>682</v>
      </c>
      <c r="E13" s="48" t="n">
        <f aca="false">SUM(E7:E12)</f>
        <v>1</v>
      </c>
      <c r="F13" s="37" t="n">
        <f aca="false">SUM(F7:F12)</f>
        <v>682</v>
      </c>
      <c r="G13" s="48" t="n">
        <f aca="false">SUM(G7:G12)</f>
        <v>1</v>
      </c>
      <c r="H13" s="36"/>
      <c r="I13" s="39" t="s">
        <v>197</v>
      </c>
      <c r="J13" s="36"/>
      <c r="K13" s="36"/>
    </row>
    <row r="16" customFormat="false" ht="51.75" hidden="false" customHeight="true" outlineLevel="0" collapsed="false">
      <c r="A16" s="27" t="s">
        <v>198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</row>
  </sheetData>
  <autoFilter ref="A6:K12"/>
  <mergeCells count="4">
    <mergeCell ref="A1:K1"/>
    <mergeCell ref="A2:K2"/>
    <mergeCell ref="A3:K3"/>
    <mergeCell ref="A16:K16"/>
  </mergeCells>
  <conditionalFormatting sqref="D7:D12">
    <cfRule type="dataBar" priority="2">
      <dataBar showValue="1" minLength="10" maxLength="90">
        <cfvo type="num" val="0"/>
        <cfvo type="max" val="0"/>
        <color rgb="FF5EEAD4"/>
      </dataBar>
      <extLst>
        <ext xmlns:x14="http://schemas.microsoft.com/office/spreadsheetml/2009/9/main" uri="{B025F937-C7B1-47D3-B67F-A62EFF666E3E}">
          <x14:id>{1AA55694-3690-4DE8-9519-62F456285E2B}</x14:id>
        </ext>
      </extLst>
    </cfRule>
  </conditionalFormatting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A55694-3690-4DE8-9519-62F456285E2B}">
            <x14:dataBar minLength="10" maxLength="90" axisPosition="none" gradient="true">
              <x14:cfvo type="num">
                <xm:f>0</xm:f>
              </x14:cfvo>
              <x14:cfvo type="max"/>
              <x14:negativeFillColor rgb="FF5EEAD4"/>
              <x14:axisColor rgb="FF000000"/>
            </x14:dataBar>
          </x14:cfRule>
          <xm:sqref>D7:D12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4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10" min="9" style="0" width="40"/>
  </cols>
  <sheetData>
    <row r="1" customFormat="false" ht="36" hidden="false" customHeight="true" outlineLevel="0" collapsed="false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9.5" hidden="false" customHeight="true" outlineLevel="0" collapsed="false">
      <c r="A2" s="16" t="s">
        <v>199</v>
      </c>
      <c r="B2" s="16"/>
      <c r="C2" s="16"/>
      <c r="D2" s="16"/>
      <c r="E2" s="16"/>
      <c r="F2" s="16"/>
      <c r="G2" s="16"/>
      <c r="H2" s="16"/>
      <c r="I2" s="16"/>
      <c r="J2" s="16"/>
    </row>
    <row r="3" customFormat="false" ht="18" hidden="false" customHeight="true" outlineLevel="0" collapsed="false">
      <c r="A3" s="17" t="s">
        <v>200</v>
      </c>
      <c r="B3" s="17"/>
      <c r="C3" s="17"/>
      <c r="D3" s="17"/>
      <c r="E3" s="17"/>
      <c r="F3" s="17"/>
      <c r="G3" s="17"/>
      <c r="H3" s="17"/>
      <c r="I3" s="17"/>
      <c r="J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</row>
    <row r="6" customFormat="false" ht="30" hidden="false" customHeight="true" outlineLevel="0" collapsed="false">
      <c r="A6" s="18" t="s">
        <v>112</v>
      </c>
      <c r="B6" s="18" t="s">
        <v>113</v>
      </c>
      <c r="C6" s="18" t="s">
        <v>179</v>
      </c>
      <c r="D6" s="18" t="s">
        <v>201</v>
      </c>
      <c r="E6" s="18" t="s">
        <v>117</v>
      </c>
      <c r="F6" s="18" t="s">
        <v>202</v>
      </c>
      <c r="G6" s="18" t="s">
        <v>203</v>
      </c>
      <c r="H6" s="18" t="s">
        <v>204</v>
      </c>
      <c r="I6" s="18" t="s">
        <v>205</v>
      </c>
      <c r="J6" s="18" t="s">
        <v>206</v>
      </c>
    </row>
    <row r="7" customFormat="false" ht="57.75" hidden="false" customHeight="true" outlineLevel="0" collapsed="false">
      <c r="A7" s="49" t="s">
        <v>125</v>
      </c>
      <c r="B7" s="30" t="n">
        <v>4900</v>
      </c>
      <c r="C7" s="42" t="n">
        <v>0.94</v>
      </c>
      <c r="D7" s="21" t="s">
        <v>207</v>
      </c>
      <c r="E7" s="21" t="s">
        <v>208</v>
      </c>
      <c r="F7" s="21" t="s">
        <v>209</v>
      </c>
      <c r="G7" s="21" t="s">
        <v>210</v>
      </c>
      <c r="H7" s="19" t="s">
        <v>211</v>
      </c>
      <c r="I7" s="21" t="s">
        <v>212</v>
      </c>
      <c r="J7" s="21" t="s">
        <v>213</v>
      </c>
    </row>
    <row r="8" customFormat="false" ht="57.75" hidden="false" customHeight="true" outlineLevel="0" collapsed="false">
      <c r="A8" s="50" t="s">
        <v>214</v>
      </c>
      <c r="B8" s="33" t="n">
        <v>300</v>
      </c>
      <c r="C8" s="46" t="n">
        <v>0.06</v>
      </c>
      <c r="D8" s="25" t="s">
        <v>215</v>
      </c>
      <c r="E8" s="25" t="s">
        <v>216</v>
      </c>
      <c r="F8" s="25" t="s">
        <v>217</v>
      </c>
      <c r="G8" s="25" t="s">
        <v>218</v>
      </c>
      <c r="H8" s="23" t="s">
        <v>219</v>
      </c>
      <c r="I8" s="25" t="s">
        <v>220</v>
      </c>
      <c r="J8" s="25" t="s">
        <v>221</v>
      </c>
    </row>
    <row r="9" customFormat="false" ht="25.5" hidden="false" customHeight="true" outlineLevel="0" collapsed="false">
      <c r="A9" s="35" t="s">
        <v>222</v>
      </c>
      <c r="B9" s="37" t="n">
        <f aca="false">SUM(B7:B8)</f>
        <v>5200</v>
      </c>
      <c r="C9" s="48" t="n">
        <f aca="false">SUM(C7:C8)</f>
        <v>1</v>
      </c>
      <c r="D9" s="39" t="s">
        <v>223</v>
      </c>
      <c r="E9" s="36"/>
      <c r="F9" s="36"/>
      <c r="G9" s="36"/>
      <c r="H9" s="36"/>
      <c r="I9" s="36"/>
      <c r="J9" s="36"/>
    </row>
    <row r="11" customFormat="false" ht="43.5" hidden="false" customHeight="true" outlineLevel="0" collapsed="false">
      <c r="A11" s="27" t="s">
        <v>224</v>
      </c>
      <c r="B11" s="27"/>
      <c r="C11" s="27"/>
      <c r="D11" s="27"/>
      <c r="E11" s="27"/>
      <c r="F11" s="27"/>
      <c r="G11" s="27"/>
      <c r="H11" s="27"/>
      <c r="I11" s="27"/>
      <c r="J11" s="27"/>
    </row>
  </sheetData>
  <mergeCells count="4">
    <mergeCell ref="A1:J1"/>
    <mergeCell ref="A2:J2"/>
    <mergeCell ref="A3:J3"/>
    <mergeCell ref="A11:J11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44"/>
  </cols>
  <sheetData>
    <row r="1" customFormat="false" ht="36" hidden="false" customHeight="true" outlineLevel="0" collapsed="false">
      <c r="A1" s="15" t="s">
        <v>18</v>
      </c>
      <c r="B1" s="15"/>
      <c r="C1" s="15"/>
      <c r="D1" s="15"/>
      <c r="E1" s="15"/>
    </row>
    <row r="2" customFormat="false" ht="19.5" hidden="false" customHeight="true" outlineLevel="0" collapsed="false">
      <c r="A2" s="16" t="s">
        <v>225</v>
      </c>
      <c r="B2" s="16"/>
      <c r="C2" s="16"/>
      <c r="D2" s="16"/>
      <c r="E2" s="16"/>
    </row>
    <row r="3" customFormat="false" ht="18" hidden="false" customHeight="true" outlineLevel="0" collapsed="false">
      <c r="A3" s="17" t="s">
        <v>226</v>
      </c>
      <c r="B3" s="17"/>
      <c r="C3" s="17"/>
      <c r="D3" s="17"/>
      <c r="E3" s="17"/>
    </row>
    <row r="4" customFormat="false" ht="3" hidden="false" customHeight="true" outlineLevel="0" collapsed="false">
      <c r="A4" s="5"/>
      <c r="B4" s="5"/>
      <c r="C4" s="5"/>
      <c r="D4" s="5"/>
      <c r="E4" s="5"/>
    </row>
    <row r="6" customFormat="false" ht="24" hidden="false" customHeight="true" outlineLevel="0" collapsed="false">
      <c r="A6" s="6" t="s">
        <v>227</v>
      </c>
      <c r="B6" s="6"/>
      <c r="C6" s="6"/>
      <c r="D6" s="6"/>
      <c r="E6" s="6"/>
    </row>
    <row r="8" customFormat="false" ht="30" hidden="false" customHeight="true" outlineLevel="0" collapsed="false">
      <c r="A8" s="18" t="s">
        <v>228</v>
      </c>
      <c r="B8" s="18" t="s">
        <v>117</v>
      </c>
      <c r="C8" s="18" t="s">
        <v>229</v>
      </c>
      <c r="D8" s="18" t="s">
        <v>230</v>
      </c>
      <c r="E8" s="18" t="s">
        <v>231</v>
      </c>
    </row>
    <row r="9" customFormat="false" ht="30" hidden="false" customHeight="true" outlineLevel="0" collapsed="false">
      <c r="A9" s="40" t="s">
        <v>125</v>
      </c>
      <c r="B9" s="21" t="s">
        <v>208</v>
      </c>
      <c r="C9" s="21" t="s">
        <v>209</v>
      </c>
      <c r="D9" s="21" t="s">
        <v>232</v>
      </c>
      <c r="E9" s="21" t="s">
        <v>210</v>
      </c>
    </row>
    <row r="10" customFormat="false" ht="30" hidden="false" customHeight="true" outlineLevel="0" collapsed="false">
      <c r="A10" s="44" t="s">
        <v>214</v>
      </c>
      <c r="B10" s="25" t="s">
        <v>216</v>
      </c>
      <c r="C10" s="25" t="s">
        <v>217</v>
      </c>
      <c r="D10" s="25" t="s">
        <v>233</v>
      </c>
      <c r="E10" s="25" t="s">
        <v>218</v>
      </c>
    </row>
    <row r="12" customFormat="false" ht="24" hidden="false" customHeight="true" outlineLevel="0" collapsed="false">
      <c r="A12" s="6" t="s">
        <v>234</v>
      </c>
      <c r="B12" s="6"/>
      <c r="C12" s="6"/>
      <c r="D12" s="6"/>
      <c r="E12" s="6"/>
    </row>
    <row r="14" customFormat="false" ht="30" hidden="false" customHeight="true" outlineLevel="0" collapsed="false">
      <c r="A14" s="18" t="s">
        <v>112</v>
      </c>
      <c r="B14" s="18" t="s">
        <v>235</v>
      </c>
      <c r="C14" s="18" t="s">
        <v>236</v>
      </c>
      <c r="D14" s="18" t="s">
        <v>237</v>
      </c>
      <c r="E14" s="18" t="s">
        <v>238</v>
      </c>
    </row>
    <row r="15" customFormat="false" ht="25.5" hidden="false" customHeight="true" outlineLevel="0" collapsed="false">
      <c r="A15" s="51" t="s">
        <v>125</v>
      </c>
      <c r="B15" s="30" t="n">
        <v>1800</v>
      </c>
      <c r="C15" s="30" t="n">
        <v>2600</v>
      </c>
      <c r="D15" s="30" t="n">
        <f aca="false">AVERAGE(B15:C15)</f>
        <v>2200</v>
      </c>
      <c r="E15" s="21" t="s">
        <v>239</v>
      </c>
    </row>
    <row r="16" customFormat="false" ht="25.5" hidden="false" customHeight="true" outlineLevel="0" collapsed="false">
      <c r="A16" s="52" t="s">
        <v>214</v>
      </c>
      <c r="B16" s="33" t="n">
        <v>2200</v>
      </c>
      <c r="C16" s="33" t="n">
        <v>3000</v>
      </c>
      <c r="D16" s="33" t="n">
        <f aca="false">AVERAGE(B16:C16)</f>
        <v>2600</v>
      </c>
      <c r="E16" s="25" t="s">
        <v>240</v>
      </c>
    </row>
    <row r="18" customFormat="false" ht="45.75" hidden="false" customHeight="true" outlineLevel="0" collapsed="false">
      <c r="A18" s="27" t="s">
        <v>241</v>
      </c>
      <c r="B18" s="27"/>
      <c r="C18" s="27"/>
      <c r="D18" s="27"/>
      <c r="E18" s="27"/>
    </row>
  </sheetData>
  <mergeCells count="6">
    <mergeCell ref="A1:E1"/>
    <mergeCell ref="A2:E2"/>
    <mergeCell ref="A3:E3"/>
    <mergeCell ref="A6:E6"/>
    <mergeCell ref="A12:E12"/>
    <mergeCell ref="A18:E18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tru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30"/>
    <col collapsed="false" customWidth="true" hidden="false" outlineLevel="0" max="12" min="12" style="0" width="44"/>
    <col collapsed="false" customWidth="true" hidden="false" outlineLevel="0" max="13" min="13" style="0" width="24"/>
  </cols>
  <sheetData>
    <row r="1" customFormat="false" ht="36" hidden="false" customHeight="true" outlineLevel="0" collapsed="false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customFormat="false" ht="19.5" hidden="false" customHeight="true" outlineLevel="0" collapsed="false">
      <c r="A2" s="16" t="s">
        <v>242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customFormat="false" ht="18" hidden="false" customHeight="true" outlineLevel="0" collapsed="false">
      <c r="A3" s="17" t="s">
        <v>243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6" customFormat="false" ht="30" hidden="false" customHeight="true" outlineLevel="0" collapsed="false">
      <c r="A6" s="18" t="s">
        <v>77</v>
      </c>
      <c r="B6" s="18" t="s">
        <v>244</v>
      </c>
      <c r="C6" s="18" t="s">
        <v>108</v>
      </c>
      <c r="D6" s="18" t="s">
        <v>110</v>
      </c>
      <c r="E6" s="18" t="s">
        <v>112</v>
      </c>
      <c r="F6" s="18" t="s">
        <v>245</v>
      </c>
      <c r="G6" s="18" t="s">
        <v>246</v>
      </c>
      <c r="H6" s="18" t="s">
        <v>118</v>
      </c>
      <c r="I6" s="18" t="s">
        <v>247</v>
      </c>
      <c r="J6" s="18" t="s">
        <v>248</v>
      </c>
      <c r="K6" s="18" t="s">
        <v>249</v>
      </c>
      <c r="L6" s="18" t="s">
        <v>250</v>
      </c>
      <c r="M6" s="18" t="s">
        <v>82</v>
      </c>
    </row>
    <row r="7" customFormat="false" ht="43.5" hidden="false" customHeight="true" outlineLevel="0" collapsed="false">
      <c r="A7" s="19" t="n">
        <v>1</v>
      </c>
      <c r="B7" s="40" t="s">
        <v>251</v>
      </c>
      <c r="C7" s="21" t="s">
        <v>136</v>
      </c>
      <c r="D7" s="19" t="s">
        <v>138</v>
      </c>
      <c r="E7" s="19" t="s">
        <v>125</v>
      </c>
      <c r="F7" s="30" t="n">
        <v>20</v>
      </c>
      <c r="G7" s="19" t="s">
        <v>252</v>
      </c>
      <c r="H7" s="53" t="s">
        <v>253</v>
      </c>
      <c r="I7" s="19" t="s">
        <v>254</v>
      </c>
      <c r="J7" s="54" t="s">
        <v>255</v>
      </c>
      <c r="K7" s="21" t="s">
        <v>256</v>
      </c>
      <c r="L7" s="21" t="s">
        <v>257</v>
      </c>
      <c r="M7" s="21" t="s">
        <v>258</v>
      </c>
    </row>
    <row r="8" customFormat="false" ht="43.5" hidden="false" customHeight="true" outlineLevel="0" collapsed="false">
      <c r="A8" s="23" t="n">
        <v>2</v>
      </c>
      <c r="B8" s="44" t="s">
        <v>259</v>
      </c>
      <c r="C8" s="25" t="s">
        <v>143</v>
      </c>
      <c r="D8" s="23" t="s">
        <v>123</v>
      </c>
      <c r="E8" s="23" t="s">
        <v>125</v>
      </c>
      <c r="F8" s="33" t="n">
        <v>40</v>
      </c>
      <c r="G8" s="23" t="s">
        <v>260</v>
      </c>
      <c r="H8" s="55" t="s">
        <v>253</v>
      </c>
      <c r="I8" s="23" t="s">
        <v>261</v>
      </c>
      <c r="J8" s="56" t="s">
        <v>262</v>
      </c>
      <c r="K8" s="25" t="s">
        <v>263</v>
      </c>
      <c r="L8" s="25" t="s">
        <v>264</v>
      </c>
      <c r="M8" s="25" t="s">
        <v>258</v>
      </c>
    </row>
    <row r="9" customFormat="false" ht="43.5" hidden="false" customHeight="true" outlineLevel="0" collapsed="false">
      <c r="A9" s="19" t="n">
        <v>3</v>
      </c>
      <c r="B9" s="40" t="s">
        <v>265</v>
      </c>
      <c r="C9" s="21" t="s">
        <v>266</v>
      </c>
      <c r="D9" s="19" t="s">
        <v>267</v>
      </c>
      <c r="E9" s="19" t="s">
        <v>214</v>
      </c>
      <c r="F9" s="30" t="n">
        <v>0</v>
      </c>
      <c r="G9" s="19" t="s">
        <v>268</v>
      </c>
      <c r="H9" s="57" t="s">
        <v>269</v>
      </c>
      <c r="I9" s="19" t="s">
        <v>270</v>
      </c>
      <c r="J9" s="58" t="s">
        <v>271</v>
      </c>
      <c r="K9" s="21" t="s">
        <v>272</v>
      </c>
      <c r="L9" s="21" t="s">
        <v>273</v>
      </c>
      <c r="M9" s="21" t="s">
        <v>258</v>
      </c>
    </row>
    <row r="10" customFormat="false" ht="43.5" hidden="false" customHeight="true" outlineLevel="0" collapsed="false">
      <c r="A10" s="23" t="n">
        <v>4</v>
      </c>
      <c r="B10" s="44" t="s">
        <v>274</v>
      </c>
      <c r="C10" s="25" t="s">
        <v>152</v>
      </c>
      <c r="D10" s="23" t="s">
        <v>154</v>
      </c>
      <c r="E10" s="23" t="s">
        <v>125</v>
      </c>
      <c r="F10" s="33" t="n">
        <v>15</v>
      </c>
      <c r="G10" s="23" t="s">
        <v>275</v>
      </c>
      <c r="H10" s="59" t="s">
        <v>269</v>
      </c>
      <c r="I10" s="23" t="s">
        <v>276</v>
      </c>
      <c r="J10" s="56" t="s">
        <v>277</v>
      </c>
      <c r="K10" s="25" t="s">
        <v>278</v>
      </c>
      <c r="L10" s="25" t="s">
        <v>279</v>
      </c>
      <c r="M10" s="25" t="s">
        <v>258</v>
      </c>
    </row>
    <row r="11" customFormat="false" ht="43.5" hidden="false" customHeight="true" outlineLevel="0" collapsed="false">
      <c r="A11" s="19" t="n">
        <v>5</v>
      </c>
      <c r="B11" s="40" t="s">
        <v>280</v>
      </c>
      <c r="C11" s="21" t="s">
        <v>266</v>
      </c>
      <c r="D11" s="19" t="s">
        <v>267</v>
      </c>
      <c r="E11" s="19" t="s">
        <v>125</v>
      </c>
      <c r="F11" s="30" t="n">
        <v>30</v>
      </c>
      <c r="G11" s="19" t="s">
        <v>281</v>
      </c>
      <c r="H11" s="53" t="s">
        <v>253</v>
      </c>
      <c r="I11" s="19" t="s">
        <v>282</v>
      </c>
      <c r="J11" s="54" t="s">
        <v>283</v>
      </c>
      <c r="K11" s="21" t="s">
        <v>284</v>
      </c>
      <c r="L11" s="21" t="s">
        <v>285</v>
      </c>
      <c r="M11" s="21" t="s">
        <v>258</v>
      </c>
    </row>
    <row r="14" customFormat="false" ht="43.5" hidden="false" customHeight="true" outlineLevel="0" collapsed="false">
      <c r="A14" s="27" t="s">
        <v>286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</row>
  </sheetData>
  <autoFilter ref="A6:M11"/>
  <mergeCells count="4">
    <mergeCell ref="A1:M1"/>
    <mergeCell ref="A2:M2"/>
    <mergeCell ref="A3:M3"/>
    <mergeCell ref="A14:M14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  <col collapsed="false" customWidth="true" hidden="false" outlineLevel="0" max="5" min="5" style="0" width="58"/>
  </cols>
  <sheetData>
    <row r="1" customFormat="false" ht="36" hidden="false" customHeight="true" outlineLevel="0" collapsed="false">
      <c r="A1" s="15" t="s">
        <v>24</v>
      </c>
      <c r="B1" s="15"/>
      <c r="C1" s="15"/>
      <c r="D1" s="15"/>
      <c r="E1" s="15"/>
    </row>
    <row r="2" customFormat="false" ht="19.5" hidden="false" customHeight="true" outlineLevel="0" collapsed="false">
      <c r="A2" s="16" t="s">
        <v>287</v>
      </c>
      <c r="B2" s="16"/>
      <c r="C2" s="16"/>
      <c r="D2" s="16"/>
      <c r="E2" s="16"/>
    </row>
    <row r="3" customFormat="false" ht="18" hidden="false" customHeight="true" outlineLevel="0" collapsed="false">
      <c r="A3" s="17" t="s">
        <v>288</v>
      </c>
      <c r="B3" s="17"/>
      <c r="C3" s="17"/>
      <c r="D3" s="17"/>
      <c r="E3" s="17"/>
    </row>
    <row r="4" customFormat="false" ht="3" hidden="false" customHeight="true" outlineLevel="0" collapsed="false">
      <c r="A4" s="5"/>
      <c r="B4" s="5"/>
      <c r="C4" s="5"/>
      <c r="D4" s="5"/>
      <c r="E4" s="5"/>
    </row>
    <row r="6" customFormat="false" ht="30" hidden="false" customHeight="true" outlineLevel="0" collapsed="false">
      <c r="A6" s="18" t="s">
        <v>244</v>
      </c>
      <c r="B6" s="18" t="s">
        <v>245</v>
      </c>
      <c r="C6" s="18" t="s">
        <v>289</v>
      </c>
      <c r="D6" s="18" t="s">
        <v>248</v>
      </c>
      <c r="E6" s="18" t="s">
        <v>290</v>
      </c>
    </row>
    <row r="7" customFormat="false" ht="31.5" hidden="false" customHeight="true" outlineLevel="0" collapsed="false">
      <c r="A7" s="60" t="s">
        <v>251</v>
      </c>
      <c r="B7" s="30" t="n">
        <v>20</v>
      </c>
      <c r="C7" s="30" t="s">
        <v>291</v>
      </c>
      <c r="D7" s="61" t="s">
        <v>255</v>
      </c>
      <c r="E7" s="21" t="s">
        <v>257</v>
      </c>
    </row>
    <row r="8" customFormat="false" ht="31.5" hidden="false" customHeight="true" outlineLevel="0" collapsed="false">
      <c r="A8" s="62" t="s">
        <v>259</v>
      </c>
      <c r="B8" s="33" t="n">
        <v>40</v>
      </c>
      <c r="C8" s="33" t="s">
        <v>291</v>
      </c>
      <c r="D8" s="63" t="s">
        <v>262</v>
      </c>
      <c r="E8" s="25" t="s">
        <v>264</v>
      </c>
    </row>
    <row r="9" customFormat="false" ht="31.5" hidden="false" customHeight="true" outlineLevel="0" collapsed="false">
      <c r="A9" s="60" t="s">
        <v>265</v>
      </c>
      <c r="B9" s="30" t="n">
        <v>0</v>
      </c>
      <c r="C9" s="30" t="n">
        <v>30</v>
      </c>
      <c r="D9" s="64" t="s">
        <v>271</v>
      </c>
      <c r="E9" s="21" t="s">
        <v>273</v>
      </c>
    </row>
    <row r="10" customFormat="false" ht="31.5" hidden="false" customHeight="true" outlineLevel="0" collapsed="false">
      <c r="A10" s="62" t="s">
        <v>274</v>
      </c>
      <c r="B10" s="33" t="n">
        <v>15</v>
      </c>
      <c r="C10" s="33" t="s">
        <v>291</v>
      </c>
      <c r="D10" s="65" t="s">
        <v>277</v>
      </c>
      <c r="E10" s="25" t="s">
        <v>292</v>
      </c>
    </row>
    <row r="11" customFormat="false" ht="31.5" hidden="false" customHeight="true" outlineLevel="0" collapsed="false">
      <c r="A11" s="60" t="s">
        <v>280</v>
      </c>
      <c r="B11" s="30" t="n">
        <v>30</v>
      </c>
      <c r="C11" s="30" t="n">
        <v>30</v>
      </c>
      <c r="D11" s="61" t="s">
        <v>283</v>
      </c>
      <c r="E11" s="21" t="s">
        <v>285</v>
      </c>
    </row>
    <row r="13" customFormat="false" ht="24" hidden="false" customHeight="true" outlineLevel="0" collapsed="false">
      <c r="A13" s="6" t="s">
        <v>293</v>
      </c>
      <c r="B13" s="6"/>
      <c r="C13" s="6"/>
      <c r="D13" s="6"/>
      <c r="E13" s="6"/>
    </row>
    <row r="15" customFormat="false" ht="15" hidden="false" customHeight="true" outlineLevel="0" collapsed="false">
      <c r="A15" s="66" t="s">
        <v>294</v>
      </c>
      <c r="B15" s="66"/>
      <c r="C15" s="66"/>
      <c r="D15" s="66"/>
      <c r="E15" s="66"/>
    </row>
    <row r="16" customFormat="false" ht="15" hidden="false" customHeight="false" outlineLevel="0" collapsed="false">
      <c r="A16" s="66"/>
      <c r="B16" s="66"/>
      <c r="C16" s="66"/>
      <c r="D16" s="66"/>
      <c r="E16" s="66"/>
    </row>
    <row r="17" customFormat="false" ht="15" hidden="false" customHeight="false" outlineLevel="0" collapsed="false">
      <c r="A17" s="66"/>
      <c r="B17" s="66"/>
      <c r="C17" s="66"/>
      <c r="D17" s="66"/>
      <c r="E17" s="66"/>
    </row>
    <row r="18" customFormat="false" ht="15" hidden="false" customHeight="false" outlineLevel="0" collapsed="false">
      <c r="A18" s="66"/>
      <c r="B18" s="66"/>
      <c r="C18" s="66"/>
      <c r="D18" s="66"/>
      <c r="E18" s="66"/>
    </row>
    <row r="19" customFormat="false" ht="15" hidden="false" customHeight="false" outlineLevel="0" collapsed="false">
      <c r="A19" s="66"/>
      <c r="B19" s="66"/>
      <c r="C19" s="66"/>
      <c r="D19" s="66"/>
      <c r="E19" s="66"/>
    </row>
    <row r="21" customFormat="false" ht="31.5" hidden="false" customHeight="true" outlineLevel="0" collapsed="false">
      <c r="A21" s="27" t="s">
        <v>295</v>
      </c>
      <c r="B21" s="27"/>
      <c r="C21" s="27"/>
      <c r="D21" s="27"/>
      <c r="E21" s="27"/>
    </row>
  </sheetData>
  <mergeCells count="6">
    <mergeCell ref="A1:E1"/>
    <mergeCell ref="A2:E2"/>
    <mergeCell ref="A3:E3"/>
    <mergeCell ref="A13:E13"/>
    <mergeCell ref="A15:E19"/>
    <mergeCell ref="A21:E21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5" min="5" style="0" width="52"/>
    <col collapsed="false" customWidth="true" hidden="false" outlineLevel="0" max="6" min="6" style="0" width="2"/>
    <col collapsed="false" customWidth="true" hidden="false" outlineLevel="0" max="9" min="7" style="0" width="14"/>
  </cols>
  <sheetData>
    <row r="1" customFormat="false" ht="36" hidden="false" customHeight="true" outlineLevel="0" collapsed="false">
      <c r="A1" s="15" t="s">
        <v>27</v>
      </c>
      <c r="B1" s="15"/>
      <c r="C1" s="15"/>
      <c r="D1" s="15"/>
      <c r="E1" s="15"/>
      <c r="F1" s="15"/>
      <c r="G1" s="15"/>
      <c r="H1" s="15"/>
      <c r="I1" s="15"/>
    </row>
    <row r="2" customFormat="false" ht="19.5" hidden="false" customHeight="true" outlineLevel="0" collapsed="false">
      <c r="A2" s="16" t="s">
        <v>28</v>
      </c>
      <c r="B2" s="16"/>
      <c r="C2" s="16"/>
      <c r="D2" s="16"/>
      <c r="E2" s="16"/>
      <c r="F2" s="16"/>
      <c r="G2" s="16"/>
      <c r="H2" s="16"/>
      <c r="I2" s="16"/>
    </row>
    <row r="3" customFormat="false" ht="18" hidden="false" customHeight="true" outlineLevel="0" collapsed="false">
      <c r="A3" s="17" t="s">
        <v>296</v>
      </c>
      <c r="B3" s="17"/>
      <c r="C3" s="17"/>
      <c r="D3" s="17"/>
      <c r="E3" s="17"/>
      <c r="F3" s="17"/>
      <c r="G3" s="17"/>
      <c r="H3" s="17"/>
      <c r="I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</row>
    <row r="6" customFormat="false" ht="24" hidden="false" customHeight="true" outlineLevel="0" collapsed="false">
      <c r="A6" s="6" t="s">
        <v>297</v>
      </c>
      <c r="B6" s="6"/>
      <c r="C6" s="6"/>
      <c r="D6" s="6"/>
      <c r="E6" s="6"/>
      <c r="F6" s="6"/>
      <c r="G6" s="6"/>
      <c r="H6" s="6"/>
      <c r="I6" s="6"/>
    </row>
    <row r="8" customFormat="false" ht="30" hidden="false" customHeight="true" outlineLevel="0" collapsed="false">
      <c r="A8" s="18" t="s">
        <v>298</v>
      </c>
      <c r="B8" s="18" t="s">
        <v>299</v>
      </c>
      <c r="C8" s="18" t="s">
        <v>300</v>
      </c>
      <c r="D8" s="18" t="s">
        <v>301</v>
      </c>
      <c r="E8" s="18" t="s">
        <v>302</v>
      </c>
    </row>
    <row r="9" customFormat="false" ht="25.5" hidden="false" customHeight="true" outlineLevel="0" collapsed="false">
      <c r="A9" s="67" t="n">
        <v>2022</v>
      </c>
      <c r="B9" s="30" t="n">
        <v>3600</v>
      </c>
      <c r="C9" s="30" t="n">
        <v>2800</v>
      </c>
      <c r="D9" s="30" t="n">
        <v>5200</v>
      </c>
      <c r="E9" s="21" t="s">
        <v>303</v>
      </c>
    </row>
    <row r="10" customFormat="false" ht="25.5" hidden="false" customHeight="true" outlineLevel="0" collapsed="false">
      <c r="A10" s="68" t="n">
        <v>2023</v>
      </c>
      <c r="B10" s="33" t="n">
        <v>2900</v>
      </c>
      <c r="C10" s="33" t="n">
        <v>2200</v>
      </c>
      <c r="D10" s="33" t="n">
        <v>3800</v>
      </c>
      <c r="E10" s="25" t="s">
        <v>304</v>
      </c>
    </row>
    <row r="11" customFormat="false" ht="25.5" hidden="false" customHeight="true" outlineLevel="0" collapsed="false">
      <c r="A11" s="67" t="n">
        <v>2024</v>
      </c>
      <c r="B11" s="30" t="n">
        <v>2700</v>
      </c>
      <c r="C11" s="30" t="n">
        <v>2100</v>
      </c>
      <c r="D11" s="30" t="n">
        <v>3400</v>
      </c>
      <c r="E11" s="21" t="s">
        <v>305</v>
      </c>
    </row>
    <row r="12" customFormat="false" ht="25.5" hidden="false" customHeight="true" outlineLevel="0" collapsed="false">
      <c r="A12" s="68" t="n">
        <v>2025</v>
      </c>
      <c r="B12" s="33" t="n">
        <v>2800</v>
      </c>
      <c r="C12" s="33" t="n">
        <v>2300</v>
      </c>
      <c r="D12" s="33" t="n">
        <v>3600</v>
      </c>
      <c r="E12" s="25" t="s">
        <v>306</v>
      </c>
    </row>
    <row r="14" customFormat="false" ht="36" hidden="false" customHeight="true" outlineLevel="0" collapsed="false">
      <c r="A14" s="27" t="s">
        <v>307</v>
      </c>
      <c r="B14" s="27"/>
      <c r="C14" s="27"/>
      <c r="D14" s="27"/>
      <c r="E14" s="27"/>
      <c r="F14" s="27"/>
      <c r="G14" s="27"/>
      <c r="H14" s="27"/>
      <c r="I14" s="27"/>
    </row>
  </sheetData>
  <mergeCells count="5">
    <mergeCell ref="A1:I1"/>
    <mergeCell ref="A2:I2"/>
    <mergeCell ref="A3:I3"/>
    <mergeCell ref="A6:I6"/>
    <mergeCell ref="A14:I14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42"/>
    <col collapsed="false" customWidth="true" hidden="false" outlineLevel="0" max="8" min="8" style="0" width="20"/>
  </cols>
  <sheetData>
    <row r="1" customFormat="false" ht="36" hidden="false" customHeight="true" outlineLevel="0" collapsed="false">
      <c r="A1" s="15" t="s">
        <v>30</v>
      </c>
      <c r="B1" s="15"/>
      <c r="C1" s="15"/>
      <c r="D1" s="15"/>
      <c r="E1" s="15"/>
      <c r="F1" s="15"/>
      <c r="G1" s="15"/>
      <c r="H1" s="15"/>
    </row>
    <row r="2" customFormat="false" ht="19.5" hidden="false" customHeight="true" outlineLevel="0" collapsed="false">
      <c r="A2" s="16" t="s">
        <v>31</v>
      </c>
      <c r="B2" s="16"/>
      <c r="C2" s="16"/>
      <c r="D2" s="16"/>
      <c r="E2" s="16"/>
      <c r="F2" s="16"/>
      <c r="G2" s="16"/>
      <c r="H2" s="16"/>
    </row>
    <row r="3" customFormat="false" ht="18" hidden="false" customHeight="true" outlineLevel="0" collapsed="false">
      <c r="A3" s="17" t="s">
        <v>308</v>
      </c>
      <c r="B3" s="17"/>
      <c r="C3" s="17"/>
      <c r="D3" s="17"/>
      <c r="E3" s="17"/>
      <c r="F3" s="17"/>
      <c r="G3" s="17"/>
      <c r="H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6" customFormat="false" ht="24" hidden="false" customHeight="true" outlineLevel="0" collapsed="false">
      <c r="A6" s="6" t="s">
        <v>309</v>
      </c>
      <c r="B6" s="6"/>
      <c r="C6" s="6"/>
      <c r="D6" s="6"/>
      <c r="E6" s="6"/>
      <c r="F6" s="6"/>
      <c r="G6" s="6"/>
      <c r="H6" s="6"/>
    </row>
    <row r="8" customFormat="false" ht="30" hidden="false" customHeight="true" outlineLevel="0" collapsed="false">
      <c r="A8" s="18" t="s">
        <v>310</v>
      </c>
      <c r="B8" s="18" t="s">
        <v>247</v>
      </c>
      <c r="C8" s="18" t="s">
        <v>311</v>
      </c>
      <c r="D8" s="18" t="s">
        <v>312</v>
      </c>
      <c r="E8" s="18" t="s">
        <v>313</v>
      </c>
      <c r="F8" s="18" t="s">
        <v>314</v>
      </c>
      <c r="G8" s="18" t="s">
        <v>315</v>
      </c>
      <c r="H8" s="18" t="s">
        <v>82</v>
      </c>
    </row>
    <row r="9" customFormat="false" ht="39.75" hidden="false" customHeight="true" outlineLevel="0" collapsed="false">
      <c r="A9" s="40" t="s">
        <v>316</v>
      </c>
      <c r="B9" s="19" t="s">
        <v>317</v>
      </c>
      <c r="C9" s="19" t="s">
        <v>318</v>
      </c>
      <c r="D9" s="19" t="s">
        <v>319</v>
      </c>
      <c r="E9" s="19" t="s">
        <v>320</v>
      </c>
      <c r="F9" s="19" t="s">
        <v>321</v>
      </c>
      <c r="G9" s="21" t="s">
        <v>322</v>
      </c>
      <c r="H9" s="21" t="s">
        <v>96</v>
      </c>
    </row>
    <row r="10" customFormat="false" ht="39.75" hidden="false" customHeight="true" outlineLevel="0" collapsed="false">
      <c r="A10" s="44" t="s">
        <v>323</v>
      </c>
      <c r="B10" s="23" t="s">
        <v>324</v>
      </c>
      <c r="C10" s="23" t="s">
        <v>325</v>
      </c>
      <c r="D10" s="23" t="s">
        <v>326</v>
      </c>
      <c r="E10" s="23" t="s">
        <v>327</v>
      </c>
      <c r="F10" s="23" t="s">
        <v>328</v>
      </c>
      <c r="G10" s="25" t="s">
        <v>329</v>
      </c>
      <c r="H10" s="25" t="s">
        <v>96</v>
      </c>
    </row>
    <row r="11" customFormat="false" ht="39.75" hidden="false" customHeight="true" outlineLevel="0" collapsed="false">
      <c r="A11" s="40" t="s">
        <v>330</v>
      </c>
      <c r="B11" s="19" t="s">
        <v>331</v>
      </c>
      <c r="C11" s="19" t="s">
        <v>332</v>
      </c>
      <c r="D11" s="19" t="s">
        <v>333</v>
      </c>
      <c r="E11" s="19" t="s">
        <v>334</v>
      </c>
      <c r="F11" s="19" t="s">
        <v>335</v>
      </c>
      <c r="G11" s="21" t="s">
        <v>336</v>
      </c>
      <c r="H11" s="21" t="s">
        <v>96</v>
      </c>
    </row>
    <row r="13" customFormat="false" ht="24" hidden="false" customHeight="true" outlineLevel="0" collapsed="false">
      <c r="A13" s="6" t="s">
        <v>337</v>
      </c>
      <c r="B13" s="6"/>
      <c r="C13" s="6"/>
      <c r="D13" s="6"/>
      <c r="E13" s="6"/>
      <c r="F13" s="6"/>
      <c r="G13" s="6"/>
      <c r="H13" s="6"/>
    </row>
    <row r="15" customFormat="false" ht="30" hidden="false" customHeight="true" outlineLevel="0" collapsed="false">
      <c r="A15" s="18" t="s">
        <v>338</v>
      </c>
      <c r="B15" s="18" t="s">
        <v>339</v>
      </c>
      <c r="C15" s="18" t="s">
        <v>83</v>
      </c>
      <c r="D15" s="18"/>
      <c r="E15" s="18"/>
      <c r="F15" s="18"/>
      <c r="G15" s="18"/>
      <c r="H15" s="18"/>
    </row>
    <row r="16" customFormat="false" ht="25.5" hidden="false" customHeight="true" outlineLevel="0" collapsed="false">
      <c r="A16" s="51" t="s">
        <v>340</v>
      </c>
      <c r="B16" s="69" t="n">
        <v>2900</v>
      </c>
      <c r="C16" s="70" t="s">
        <v>341</v>
      </c>
      <c r="D16" s="70"/>
      <c r="E16" s="70"/>
      <c r="F16" s="70"/>
    </row>
    <row r="17" customFormat="false" ht="25.5" hidden="false" customHeight="true" outlineLevel="0" collapsed="false">
      <c r="A17" s="52" t="s">
        <v>342</v>
      </c>
      <c r="B17" s="71" t="n">
        <v>2350</v>
      </c>
      <c r="C17" s="72" t="s">
        <v>343</v>
      </c>
      <c r="D17" s="72"/>
      <c r="E17" s="72"/>
      <c r="F17" s="72"/>
    </row>
    <row r="18" customFormat="false" ht="25.5" hidden="false" customHeight="true" outlineLevel="0" collapsed="false">
      <c r="A18" s="51" t="s">
        <v>344</v>
      </c>
      <c r="B18" s="69" t="n">
        <v>2750</v>
      </c>
      <c r="C18" s="70" t="s">
        <v>345</v>
      </c>
      <c r="D18" s="70"/>
      <c r="E18" s="70"/>
      <c r="F18" s="70"/>
    </row>
    <row r="19" customFormat="false" ht="25.5" hidden="false" customHeight="true" outlineLevel="0" collapsed="false">
      <c r="A19" s="52" t="s">
        <v>346</v>
      </c>
      <c r="B19" s="71" t="n">
        <v>3150</v>
      </c>
      <c r="C19" s="72" t="s">
        <v>347</v>
      </c>
      <c r="D19" s="72"/>
      <c r="E19" s="72"/>
      <c r="F19" s="72"/>
    </row>
    <row r="20" customFormat="false" ht="25.5" hidden="false" customHeight="true" outlineLevel="0" collapsed="false">
      <c r="A20" s="51" t="s">
        <v>348</v>
      </c>
      <c r="B20" s="69" t="n">
        <v>3050</v>
      </c>
      <c r="C20" s="70" t="s">
        <v>349</v>
      </c>
      <c r="D20" s="70"/>
      <c r="E20" s="70"/>
      <c r="F20" s="70"/>
    </row>
    <row r="22" customFormat="false" ht="24" hidden="false" customHeight="true" outlineLevel="0" collapsed="false">
      <c r="A22" s="6" t="s">
        <v>350</v>
      </c>
      <c r="B22" s="6"/>
      <c r="C22" s="6"/>
      <c r="D22" s="6"/>
      <c r="E22" s="6"/>
      <c r="F22" s="6"/>
      <c r="G22" s="6"/>
      <c r="H22" s="6"/>
    </row>
    <row r="24" customFormat="false" ht="15" hidden="false" customHeight="true" outlineLevel="0" collapsed="false">
      <c r="A24" s="66" t="s">
        <v>351</v>
      </c>
      <c r="B24" s="66"/>
      <c r="C24" s="66"/>
      <c r="D24" s="66"/>
      <c r="E24" s="66"/>
      <c r="F24" s="66"/>
    </row>
    <row r="25" customFormat="false" ht="15" hidden="false" customHeight="false" outlineLevel="0" collapsed="false">
      <c r="A25" s="66"/>
      <c r="B25" s="66"/>
      <c r="C25" s="66"/>
      <c r="D25" s="66"/>
      <c r="E25" s="66"/>
      <c r="F25" s="66"/>
    </row>
    <row r="26" customFormat="false" ht="15" hidden="false" customHeight="false" outlineLevel="0" collapsed="false">
      <c r="A26" s="66"/>
      <c r="B26" s="66"/>
      <c r="C26" s="66"/>
      <c r="D26" s="66"/>
      <c r="E26" s="66"/>
      <c r="F26" s="66"/>
    </row>
    <row r="27" customFormat="false" ht="15" hidden="false" customHeight="false" outlineLevel="0" collapsed="false">
      <c r="A27" s="66"/>
      <c r="B27" s="66"/>
      <c r="C27" s="66"/>
      <c r="D27" s="66"/>
      <c r="E27" s="66"/>
      <c r="F27" s="66"/>
    </row>
    <row r="28" customFormat="false" ht="15" hidden="false" customHeight="false" outlineLevel="0" collapsed="false">
      <c r="A28" s="66"/>
      <c r="B28" s="66"/>
      <c r="C28" s="66"/>
      <c r="D28" s="66"/>
      <c r="E28" s="66"/>
      <c r="F28" s="66"/>
    </row>
    <row r="30" customFormat="false" ht="30" hidden="false" customHeight="true" outlineLevel="0" collapsed="false">
      <c r="A30" s="27" t="s">
        <v>352</v>
      </c>
      <c r="B30" s="27"/>
      <c r="C30" s="27"/>
      <c r="D30" s="27"/>
      <c r="E30" s="27"/>
      <c r="F30" s="27"/>
      <c r="G30" s="27"/>
      <c r="H30" s="27"/>
    </row>
  </sheetData>
  <mergeCells count="14">
    <mergeCell ref="A1:H1"/>
    <mergeCell ref="A2:H2"/>
    <mergeCell ref="A3:H3"/>
    <mergeCell ref="A6:H6"/>
    <mergeCell ref="A13:H13"/>
    <mergeCell ref="C15:F15"/>
    <mergeCell ref="C16:F16"/>
    <mergeCell ref="C17:F17"/>
    <mergeCell ref="C18:F18"/>
    <mergeCell ref="C19:F19"/>
    <mergeCell ref="C20:F20"/>
    <mergeCell ref="A22:H22"/>
    <mergeCell ref="A24:F28"/>
    <mergeCell ref="A30:H30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8"/>
    <col collapsed="false" customWidth="true" hidden="false" outlineLevel="0" max="6" min="5" style="0" width="50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6" hidden="false" customHeight="true" outlineLevel="0" collapsed="false">
      <c r="A1" s="15" t="s">
        <v>33</v>
      </c>
      <c r="B1" s="15"/>
      <c r="C1" s="15"/>
      <c r="D1" s="15"/>
      <c r="E1" s="15"/>
      <c r="F1" s="15"/>
      <c r="G1" s="15"/>
      <c r="H1" s="15"/>
    </row>
    <row r="2" customFormat="false" ht="19.5" hidden="false" customHeight="true" outlineLevel="0" collapsed="false">
      <c r="A2" s="16" t="s">
        <v>353</v>
      </c>
      <c r="B2" s="16"/>
      <c r="C2" s="16"/>
      <c r="D2" s="16"/>
      <c r="E2" s="16"/>
      <c r="F2" s="16"/>
      <c r="G2" s="16"/>
      <c r="H2" s="16"/>
    </row>
    <row r="3" customFormat="false" ht="18" hidden="false" customHeight="true" outlineLevel="0" collapsed="false">
      <c r="A3" s="17" t="s">
        <v>354</v>
      </c>
      <c r="B3" s="17"/>
      <c r="C3" s="17"/>
      <c r="D3" s="17"/>
      <c r="E3" s="17"/>
      <c r="F3" s="17"/>
      <c r="G3" s="17"/>
      <c r="H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6" customFormat="false" ht="24" hidden="false" customHeight="true" outlineLevel="0" collapsed="false">
      <c r="A6" s="6" t="s">
        <v>355</v>
      </c>
      <c r="B6" s="6"/>
      <c r="C6" s="6"/>
      <c r="D6" s="6"/>
      <c r="E6" s="6"/>
      <c r="F6" s="6"/>
      <c r="G6" s="6"/>
      <c r="H6" s="6"/>
    </row>
    <row r="8" customFormat="false" ht="30" hidden="false" customHeight="true" outlineLevel="0" collapsed="false">
      <c r="A8" s="18" t="s">
        <v>206</v>
      </c>
      <c r="B8" s="18" t="s">
        <v>356</v>
      </c>
      <c r="C8" s="18" t="s">
        <v>357</v>
      </c>
      <c r="D8" s="18" t="s">
        <v>358</v>
      </c>
      <c r="E8" s="18" t="s">
        <v>359</v>
      </c>
      <c r="F8" s="18" t="s">
        <v>360</v>
      </c>
      <c r="G8" s="18" t="s">
        <v>361</v>
      </c>
      <c r="H8" s="18" t="s">
        <v>247</v>
      </c>
    </row>
    <row r="9" customFormat="false" ht="45.75" hidden="false" customHeight="true" outlineLevel="0" collapsed="false">
      <c r="A9" s="60" t="s">
        <v>362</v>
      </c>
      <c r="B9" s="19" t="s">
        <v>88</v>
      </c>
      <c r="C9" s="19" t="s">
        <v>88</v>
      </c>
      <c r="D9" s="73" t="s">
        <v>88</v>
      </c>
      <c r="E9" s="21" t="s">
        <v>363</v>
      </c>
      <c r="F9" s="21" t="s">
        <v>364</v>
      </c>
      <c r="G9" s="19" t="s">
        <v>365</v>
      </c>
      <c r="H9" s="19" t="s">
        <v>45</v>
      </c>
    </row>
    <row r="10" customFormat="false" ht="45.75" hidden="false" customHeight="true" outlineLevel="0" collapsed="false">
      <c r="A10" s="62" t="s">
        <v>366</v>
      </c>
      <c r="B10" s="23" t="s">
        <v>88</v>
      </c>
      <c r="C10" s="23" t="s">
        <v>88</v>
      </c>
      <c r="D10" s="73" t="s">
        <v>88</v>
      </c>
      <c r="E10" s="25" t="s">
        <v>367</v>
      </c>
      <c r="F10" s="25" t="s">
        <v>368</v>
      </c>
      <c r="G10" s="23" t="s">
        <v>365</v>
      </c>
      <c r="H10" s="23" t="s">
        <v>45</v>
      </c>
    </row>
    <row r="11" customFormat="false" ht="45.75" hidden="false" customHeight="true" outlineLevel="0" collapsed="false">
      <c r="A11" s="60" t="s">
        <v>369</v>
      </c>
      <c r="B11" s="19" t="s">
        <v>95</v>
      </c>
      <c r="C11" s="19" t="s">
        <v>88</v>
      </c>
      <c r="D11" s="26" t="s">
        <v>95</v>
      </c>
      <c r="E11" s="21" t="s">
        <v>370</v>
      </c>
      <c r="F11" s="21" t="s">
        <v>371</v>
      </c>
      <c r="G11" s="19" t="s">
        <v>365</v>
      </c>
      <c r="H11" s="19" t="s">
        <v>45</v>
      </c>
    </row>
    <row r="12" customFormat="false" ht="45.75" hidden="false" customHeight="true" outlineLevel="0" collapsed="false">
      <c r="A12" s="62" t="s">
        <v>372</v>
      </c>
      <c r="B12" s="23" t="s">
        <v>95</v>
      </c>
      <c r="C12" s="23" t="s">
        <v>102</v>
      </c>
      <c r="D12" s="26" t="s">
        <v>95</v>
      </c>
      <c r="E12" s="25" t="s">
        <v>373</v>
      </c>
      <c r="F12" s="25" t="s">
        <v>374</v>
      </c>
      <c r="G12" s="23" t="s">
        <v>365</v>
      </c>
      <c r="H12" s="23" t="s">
        <v>45</v>
      </c>
    </row>
    <row r="13" customFormat="false" ht="45.75" hidden="false" customHeight="true" outlineLevel="0" collapsed="false">
      <c r="A13" s="60" t="s">
        <v>375</v>
      </c>
      <c r="B13" s="19" t="s">
        <v>102</v>
      </c>
      <c r="C13" s="19" t="s">
        <v>102</v>
      </c>
      <c r="D13" s="43" t="s">
        <v>102</v>
      </c>
      <c r="E13" s="21" t="s">
        <v>376</v>
      </c>
      <c r="F13" s="21" t="s">
        <v>377</v>
      </c>
      <c r="G13" s="19" t="s">
        <v>365</v>
      </c>
      <c r="H13" s="19" t="s">
        <v>45</v>
      </c>
    </row>
    <row r="14" customFormat="false" ht="45.75" hidden="false" customHeight="true" outlineLevel="0" collapsed="false">
      <c r="A14" s="62" t="s">
        <v>378</v>
      </c>
      <c r="B14" s="23" t="s">
        <v>102</v>
      </c>
      <c r="C14" s="23" t="s">
        <v>102</v>
      </c>
      <c r="D14" s="43" t="s">
        <v>102</v>
      </c>
      <c r="E14" s="25" t="s">
        <v>379</v>
      </c>
      <c r="F14" s="25" t="s">
        <v>380</v>
      </c>
      <c r="G14" s="23" t="s">
        <v>365</v>
      </c>
      <c r="H14" s="23" t="s">
        <v>45</v>
      </c>
    </row>
    <row r="16" customFormat="false" ht="33.75" hidden="false" customHeight="true" outlineLevel="0" collapsed="false">
      <c r="A16" s="27" t="s">
        <v>381</v>
      </c>
      <c r="B16" s="27"/>
      <c r="C16" s="27"/>
      <c r="D16" s="27"/>
      <c r="E16" s="27"/>
      <c r="F16" s="27"/>
      <c r="G16" s="27"/>
      <c r="H16" s="27"/>
    </row>
  </sheetData>
  <mergeCells count="5">
    <mergeCell ref="A1:H1"/>
    <mergeCell ref="A2:H2"/>
    <mergeCell ref="A3:H3"/>
    <mergeCell ref="A6:H6"/>
    <mergeCell ref="A16:H16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tru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25"/>
    <col collapsed="false" customWidth="true" hidden="false" outlineLevel="0" max="6" min="6" style="0" width="22"/>
  </cols>
  <sheetData>
    <row r="1" customFormat="false" ht="36" hidden="false" customHeight="true" outlineLevel="0" collapsed="false">
      <c r="A1" s="15" t="s">
        <v>36</v>
      </c>
      <c r="B1" s="15"/>
      <c r="C1" s="15"/>
      <c r="D1" s="15"/>
      <c r="E1" s="15"/>
      <c r="F1" s="15"/>
    </row>
    <row r="2" customFormat="false" ht="19.5" hidden="false" customHeight="true" outlineLevel="0" collapsed="false">
      <c r="A2" s="16" t="s">
        <v>382</v>
      </c>
      <c r="B2" s="16"/>
      <c r="C2" s="16"/>
      <c r="D2" s="16"/>
      <c r="E2" s="16"/>
      <c r="F2" s="16"/>
    </row>
    <row r="3" customFormat="false" ht="18" hidden="false" customHeight="true" outlineLevel="0" collapsed="false">
      <c r="A3" s="17" t="s">
        <v>383</v>
      </c>
      <c r="B3" s="17"/>
      <c r="C3" s="17"/>
      <c r="D3" s="17"/>
      <c r="E3" s="17"/>
      <c r="F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</row>
    <row r="6" customFormat="false" ht="24" hidden="false" customHeight="true" outlineLevel="0" collapsed="false">
      <c r="A6" s="6" t="s">
        <v>36</v>
      </c>
      <c r="B6" s="6"/>
      <c r="C6" s="6"/>
      <c r="D6" s="6"/>
      <c r="E6" s="6"/>
      <c r="F6" s="6"/>
    </row>
    <row r="8" customFormat="false" ht="27.75" hidden="false" customHeight="true" outlineLevel="0" collapsed="false">
      <c r="A8" s="18" t="s">
        <v>384</v>
      </c>
      <c r="B8" s="74" t="s">
        <v>385</v>
      </c>
      <c r="C8" s="74"/>
      <c r="D8" s="74" t="s">
        <v>386</v>
      </c>
      <c r="E8" s="74"/>
      <c r="F8" s="18" t="s">
        <v>387</v>
      </c>
    </row>
    <row r="9" customFormat="false" ht="49.5" hidden="false" customHeight="true" outlineLevel="0" collapsed="false">
      <c r="A9" s="75" t="s">
        <v>388</v>
      </c>
      <c r="B9" s="70" t="s">
        <v>389</v>
      </c>
      <c r="C9" s="70"/>
      <c r="D9" s="70" t="s">
        <v>390</v>
      </c>
      <c r="E9" s="70"/>
      <c r="F9" s="70" t="s">
        <v>391</v>
      </c>
    </row>
    <row r="10" customFormat="false" ht="49.5" hidden="false" customHeight="true" outlineLevel="0" collapsed="false">
      <c r="A10" s="76" t="s">
        <v>392</v>
      </c>
      <c r="B10" s="72" t="s">
        <v>393</v>
      </c>
      <c r="C10" s="72"/>
      <c r="D10" s="72" t="s">
        <v>394</v>
      </c>
      <c r="E10" s="72"/>
      <c r="F10" s="72" t="s">
        <v>395</v>
      </c>
    </row>
    <row r="11" customFormat="false" ht="49.5" hidden="false" customHeight="true" outlineLevel="0" collapsed="false">
      <c r="A11" s="75" t="s">
        <v>396</v>
      </c>
      <c r="B11" s="70" t="s">
        <v>397</v>
      </c>
      <c r="C11" s="70"/>
      <c r="D11" s="70" t="s">
        <v>398</v>
      </c>
      <c r="E11" s="70"/>
      <c r="F11" s="70" t="s">
        <v>399</v>
      </c>
    </row>
    <row r="12" customFormat="false" ht="49.5" hidden="false" customHeight="true" outlineLevel="0" collapsed="false">
      <c r="A12" s="76" t="s">
        <v>400</v>
      </c>
      <c r="B12" s="72" t="s">
        <v>401</v>
      </c>
      <c r="C12" s="72"/>
      <c r="D12" s="72" t="s">
        <v>402</v>
      </c>
      <c r="E12" s="72"/>
      <c r="F12" s="72" t="s">
        <v>403</v>
      </c>
    </row>
    <row r="15" customFormat="false" ht="24" hidden="false" customHeight="true" outlineLevel="0" collapsed="false">
      <c r="A15" s="6" t="s">
        <v>404</v>
      </c>
      <c r="B15" s="6"/>
      <c r="C15" s="6"/>
      <c r="D15" s="6"/>
      <c r="E15" s="6"/>
      <c r="F15" s="6"/>
    </row>
    <row r="17" customFormat="false" ht="27.75" hidden="false" customHeight="true" outlineLevel="0" collapsed="false">
      <c r="A17" s="18" t="s">
        <v>405</v>
      </c>
      <c r="B17" s="74" t="s">
        <v>406</v>
      </c>
      <c r="C17" s="74"/>
      <c r="D17" s="74" t="s">
        <v>407</v>
      </c>
      <c r="E17" s="74"/>
      <c r="F17" s="18" t="s">
        <v>179</v>
      </c>
    </row>
    <row r="18" customFormat="false" ht="25.5" hidden="false" customHeight="true" outlineLevel="0" collapsed="false">
      <c r="A18" s="51" t="s">
        <v>408</v>
      </c>
      <c r="B18" s="70" t="s">
        <v>409</v>
      </c>
      <c r="C18" s="70"/>
      <c r="D18" s="70" t="s">
        <v>410</v>
      </c>
      <c r="E18" s="70"/>
      <c r="F18" s="77" t="n">
        <v>0.6</v>
      </c>
    </row>
    <row r="19" customFormat="false" ht="25.5" hidden="false" customHeight="true" outlineLevel="0" collapsed="false">
      <c r="A19" s="52" t="s">
        <v>411</v>
      </c>
      <c r="B19" s="72" t="s">
        <v>412</v>
      </c>
      <c r="C19" s="72"/>
      <c r="D19" s="72" t="s">
        <v>413</v>
      </c>
      <c r="E19" s="72"/>
      <c r="F19" s="78" t="n">
        <v>0.2</v>
      </c>
    </row>
    <row r="20" customFormat="false" ht="25.5" hidden="false" customHeight="true" outlineLevel="0" collapsed="false">
      <c r="A20" s="51" t="s">
        <v>414</v>
      </c>
      <c r="B20" s="70" t="s">
        <v>415</v>
      </c>
      <c r="C20" s="70"/>
      <c r="D20" s="70" t="s">
        <v>416</v>
      </c>
      <c r="E20" s="70"/>
      <c r="F20" s="77" t="n">
        <v>0.12</v>
      </c>
    </row>
    <row r="21" customFormat="false" ht="25.5" hidden="false" customHeight="true" outlineLevel="0" collapsed="false">
      <c r="A21" s="52" t="s">
        <v>417</v>
      </c>
      <c r="B21" s="72" t="s">
        <v>418</v>
      </c>
      <c r="C21" s="72"/>
      <c r="D21" s="72" t="s">
        <v>419</v>
      </c>
      <c r="E21" s="72"/>
      <c r="F21" s="78" t="n">
        <v>0.08</v>
      </c>
    </row>
    <row r="23" customFormat="false" ht="24" hidden="false" customHeight="true" outlineLevel="0" collapsed="false">
      <c r="A23" s="6" t="s">
        <v>420</v>
      </c>
      <c r="B23" s="6"/>
      <c r="C23" s="6"/>
      <c r="D23" s="6"/>
      <c r="E23" s="6"/>
      <c r="F23" s="6"/>
    </row>
    <row r="25" customFormat="false" ht="15" hidden="false" customHeight="true" outlineLevel="0" collapsed="false">
      <c r="A25" s="18" t="s">
        <v>421</v>
      </c>
      <c r="B25" s="18" t="s">
        <v>422</v>
      </c>
      <c r="C25" s="18" t="s">
        <v>423</v>
      </c>
      <c r="D25" s="74" t="s">
        <v>302</v>
      </c>
      <c r="E25" s="74"/>
      <c r="F25" s="74"/>
    </row>
    <row r="26" customFormat="false" ht="25.5" hidden="false" customHeight="true" outlineLevel="0" collapsed="false">
      <c r="A26" s="79" t="s">
        <v>424</v>
      </c>
      <c r="B26" s="80" t="n">
        <v>5</v>
      </c>
      <c r="C26" s="81" t="s">
        <v>425</v>
      </c>
      <c r="D26" s="81" t="s">
        <v>426</v>
      </c>
      <c r="E26" s="81"/>
      <c r="F26" s="81"/>
    </row>
    <row r="27" customFormat="false" ht="25.5" hidden="false" customHeight="true" outlineLevel="0" collapsed="false">
      <c r="A27" s="79" t="s">
        <v>427</v>
      </c>
      <c r="B27" s="80" t="n">
        <v>2900</v>
      </c>
      <c r="C27" s="81" t="s">
        <v>66</v>
      </c>
      <c r="D27" s="81" t="s">
        <v>428</v>
      </c>
      <c r="E27" s="81"/>
      <c r="F27" s="81"/>
    </row>
    <row r="28" customFormat="false" ht="25.5" hidden="false" customHeight="true" outlineLevel="0" collapsed="false">
      <c r="A28" s="79" t="s">
        <v>429</v>
      </c>
      <c r="B28" s="80" t="n">
        <v>120</v>
      </c>
      <c r="C28" s="81" t="s">
        <v>66</v>
      </c>
      <c r="D28" s="81" t="s">
        <v>430</v>
      </c>
      <c r="E28" s="81"/>
      <c r="F28" s="81"/>
    </row>
    <row r="29" customFormat="false" ht="25.5" hidden="false" customHeight="true" outlineLevel="0" collapsed="false">
      <c r="A29" s="79" t="s">
        <v>431</v>
      </c>
      <c r="B29" s="80" t="n">
        <v>20</v>
      </c>
      <c r="C29" s="81" t="s">
        <v>432</v>
      </c>
      <c r="D29" s="81" t="s">
        <v>433</v>
      </c>
      <c r="E29" s="81"/>
      <c r="F29" s="81"/>
    </row>
    <row r="31" customFormat="false" ht="27.75" hidden="false" customHeight="true" outlineLevel="0" collapsed="false">
      <c r="A31" s="82" t="s">
        <v>434</v>
      </c>
      <c r="B31" s="83" t="n">
        <f aca="false">B26*10000*(B27+B28)/10000</f>
        <v>15100</v>
      </c>
      <c r="C31" s="84" t="s">
        <v>435</v>
      </c>
      <c r="D31" s="84" t="s">
        <v>436</v>
      </c>
      <c r="E31" s="84"/>
      <c r="F31" s="84"/>
    </row>
    <row r="32" customFormat="false" ht="27.75" hidden="false" customHeight="true" outlineLevel="0" collapsed="false">
      <c r="A32" s="51" t="s">
        <v>437</v>
      </c>
      <c r="B32" s="85" t="n">
        <f aca="false">B26*10000/12</f>
        <v>4166.66666666667</v>
      </c>
      <c r="C32" s="70" t="s">
        <v>438</v>
      </c>
      <c r="D32" s="70" t="s">
        <v>439</v>
      </c>
      <c r="E32" s="70"/>
      <c r="F32" s="70"/>
    </row>
    <row r="33" customFormat="false" ht="27.75" hidden="false" customHeight="true" outlineLevel="0" collapsed="false">
      <c r="A33" s="51" t="s">
        <v>440</v>
      </c>
      <c r="B33" s="85" t="n">
        <f aca="false">B26*10000*B29/365</f>
        <v>2739.72602739726</v>
      </c>
      <c r="C33" s="70" t="s">
        <v>438</v>
      </c>
      <c r="D33" s="70" t="s">
        <v>441</v>
      </c>
      <c r="E33" s="70"/>
      <c r="F33" s="70"/>
    </row>
    <row r="34" customFormat="false" ht="27.75" hidden="false" customHeight="true" outlineLevel="0" collapsed="false">
      <c r="A34" s="51" t="s">
        <v>442</v>
      </c>
      <c r="B34" s="85" t="n">
        <f aca="false">B26*100</f>
        <v>500</v>
      </c>
      <c r="C34" s="70" t="s">
        <v>443</v>
      </c>
      <c r="D34" s="70" t="s">
        <v>444</v>
      </c>
      <c r="E34" s="70"/>
      <c r="F34" s="70"/>
    </row>
    <row r="36" customFormat="false" ht="37.5" hidden="false" customHeight="true" outlineLevel="0" collapsed="false">
      <c r="A36" s="27" t="s">
        <v>445</v>
      </c>
      <c r="B36" s="27"/>
      <c r="C36" s="27"/>
      <c r="D36" s="27"/>
      <c r="E36" s="27"/>
      <c r="F36" s="27"/>
    </row>
  </sheetData>
  <mergeCells count="36">
    <mergeCell ref="A1:F1"/>
    <mergeCell ref="A2:F2"/>
    <mergeCell ref="A3:F3"/>
    <mergeCell ref="A6:F6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A15:F15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A23:F23"/>
    <mergeCell ref="D25:F25"/>
    <mergeCell ref="D26:F26"/>
    <mergeCell ref="D27:F27"/>
    <mergeCell ref="D28:F28"/>
    <mergeCell ref="D29:F29"/>
    <mergeCell ref="D31:F31"/>
    <mergeCell ref="D32:F32"/>
    <mergeCell ref="D33:F33"/>
    <mergeCell ref="D34:F34"/>
    <mergeCell ref="A36:F36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tru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0"/>
    <col collapsed="false" customWidth="true" hidden="false" outlineLevel="0" max="3" min="3" style="0" width="64"/>
    <col collapsed="false" customWidth="true" hidden="false" outlineLevel="0" max="4" min="4" style="0" width="32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22"/>
  </cols>
  <sheetData>
    <row r="1" customFormat="false" ht="36" hidden="false" customHeight="true" outlineLevel="0" collapsed="false">
      <c r="A1" s="15" t="s">
        <v>446</v>
      </c>
      <c r="B1" s="15"/>
      <c r="C1" s="15"/>
      <c r="D1" s="15"/>
      <c r="E1" s="15"/>
      <c r="F1" s="15"/>
      <c r="G1" s="15"/>
      <c r="H1" s="15"/>
    </row>
    <row r="2" customFormat="false" ht="19.5" hidden="false" customHeight="true" outlineLevel="0" collapsed="false">
      <c r="A2" s="16" t="s">
        <v>447</v>
      </c>
      <c r="B2" s="16"/>
      <c r="C2" s="16"/>
      <c r="D2" s="16"/>
      <c r="E2" s="16"/>
      <c r="F2" s="16"/>
      <c r="G2" s="16"/>
      <c r="H2" s="16"/>
    </row>
    <row r="3" customFormat="false" ht="18" hidden="false" customHeight="true" outlineLevel="0" collapsed="false">
      <c r="A3" s="17" t="s">
        <v>448</v>
      </c>
      <c r="B3" s="17"/>
      <c r="C3" s="17"/>
      <c r="D3" s="17"/>
      <c r="E3" s="17"/>
      <c r="F3" s="17"/>
      <c r="G3" s="17"/>
      <c r="H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6" customFormat="false" ht="30" hidden="false" customHeight="true" outlineLevel="0" collapsed="false">
      <c r="A6" s="18" t="s">
        <v>77</v>
      </c>
      <c r="B6" s="18" t="s">
        <v>449</v>
      </c>
      <c r="C6" s="18" t="s">
        <v>450</v>
      </c>
      <c r="D6" s="18" t="s">
        <v>451</v>
      </c>
      <c r="E6" s="18" t="s">
        <v>452</v>
      </c>
      <c r="F6" s="18" t="s">
        <v>453</v>
      </c>
      <c r="G6" s="18" t="s">
        <v>454</v>
      </c>
      <c r="H6" s="18" t="s">
        <v>83</v>
      </c>
    </row>
    <row r="7" customFormat="false" ht="31.5" hidden="false" customHeight="true" outlineLevel="0" collapsed="false">
      <c r="A7" s="19" t="n">
        <v>1</v>
      </c>
      <c r="B7" s="86" t="s">
        <v>455</v>
      </c>
      <c r="C7" s="21" t="s">
        <v>456</v>
      </c>
      <c r="D7" s="21" t="s">
        <v>457</v>
      </c>
      <c r="E7" s="41" t="n">
        <v>8</v>
      </c>
      <c r="F7" s="87"/>
      <c r="G7" s="88" t="n">
        <f aca="false">E7*F7</f>
        <v>0</v>
      </c>
      <c r="H7" s="21"/>
    </row>
    <row r="8" customFormat="false" ht="31.5" hidden="false" customHeight="true" outlineLevel="0" collapsed="false">
      <c r="A8" s="23" t="n">
        <v>2</v>
      </c>
      <c r="B8" s="89" t="s">
        <v>455</v>
      </c>
      <c r="C8" s="25" t="s">
        <v>458</v>
      </c>
      <c r="D8" s="25" t="s">
        <v>457</v>
      </c>
      <c r="E8" s="45" t="n">
        <v>8</v>
      </c>
      <c r="F8" s="87"/>
      <c r="G8" s="90" t="n">
        <f aca="false">E8*F8</f>
        <v>0</v>
      </c>
      <c r="H8" s="25"/>
    </row>
    <row r="9" customFormat="false" ht="31.5" hidden="false" customHeight="true" outlineLevel="0" collapsed="false">
      <c r="A9" s="19" t="n">
        <v>3</v>
      </c>
      <c r="B9" s="86" t="s">
        <v>455</v>
      </c>
      <c r="C9" s="21" t="s">
        <v>459</v>
      </c>
      <c r="D9" s="21" t="s">
        <v>457</v>
      </c>
      <c r="E9" s="41" t="n">
        <v>8</v>
      </c>
      <c r="F9" s="87"/>
      <c r="G9" s="88" t="n">
        <f aca="false">E9*F9</f>
        <v>0</v>
      </c>
      <c r="H9" s="21"/>
    </row>
    <row r="10" customFormat="false" ht="31.5" hidden="false" customHeight="true" outlineLevel="0" collapsed="false">
      <c r="A10" s="23" t="n">
        <v>4</v>
      </c>
      <c r="B10" s="89" t="s">
        <v>455</v>
      </c>
      <c r="C10" s="25" t="s">
        <v>460</v>
      </c>
      <c r="D10" s="25" t="s">
        <v>457</v>
      </c>
      <c r="E10" s="45" t="n">
        <v>8</v>
      </c>
      <c r="F10" s="87"/>
      <c r="G10" s="90" t="n">
        <f aca="false">E10*F10</f>
        <v>0</v>
      </c>
      <c r="H10" s="25"/>
    </row>
    <row r="11" customFormat="false" ht="31.5" hidden="false" customHeight="true" outlineLevel="0" collapsed="false">
      <c r="A11" s="19" t="n">
        <v>5</v>
      </c>
      <c r="B11" s="86" t="s">
        <v>461</v>
      </c>
      <c r="C11" s="21" t="s">
        <v>462</v>
      </c>
      <c r="D11" s="21" t="s">
        <v>463</v>
      </c>
      <c r="E11" s="41" t="n">
        <v>8</v>
      </c>
      <c r="F11" s="87"/>
      <c r="G11" s="88" t="n">
        <f aca="false">E11*F11</f>
        <v>0</v>
      </c>
      <c r="H11" s="21"/>
    </row>
    <row r="12" customFormat="false" ht="31.5" hidden="false" customHeight="true" outlineLevel="0" collapsed="false">
      <c r="A12" s="23" t="n">
        <v>6</v>
      </c>
      <c r="B12" s="89" t="s">
        <v>461</v>
      </c>
      <c r="C12" s="25" t="s">
        <v>464</v>
      </c>
      <c r="D12" s="25" t="s">
        <v>463</v>
      </c>
      <c r="E12" s="45" t="n">
        <v>8</v>
      </c>
      <c r="F12" s="87"/>
      <c r="G12" s="90" t="n">
        <f aca="false">E12*F12</f>
        <v>0</v>
      </c>
      <c r="H12" s="25"/>
    </row>
    <row r="13" customFormat="false" ht="31.5" hidden="false" customHeight="true" outlineLevel="0" collapsed="false">
      <c r="A13" s="19" t="n">
        <v>7</v>
      </c>
      <c r="B13" s="86" t="s">
        <v>465</v>
      </c>
      <c r="C13" s="21" t="s">
        <v>466</v>
      </c>
      <c r="D13" s="21" t="s">
        <v>467</v>
      </c>
      <c r="E13" s="41" t="n">
        <v>8</v>
      </c>
      <c r="F13" s="87"/>
      <c r="G13" s="88" t="n">
        <f aca="false">E13*F13</f>
        <v>0</v>
      </c>
      <c r="H13" s="21"/>
    </row>
    <row r="14" customFormat="false" ht="31.5" hidden="false" customHeight="true" outlineLevel="0" collapsed="false">
      <c r="A14" s="23" t="n">
        <v>8</v>
      </c>
      <c r="B14" s="89" t="s">
        <v>465</v>
      </c>
      <c r="C14" s="25" t="s">
        <v>468</v>
      </c>
      <c r="D14" s="25" t="s">
        <v>467</v>
      </c>
      <c r="E14" s="45" t="n">
        <v>8</v>
      </c>
      <c r="F14" s="87"/>
      <c r="G14" s="90" t="n">
        <f aca="false">E14*F14</f>
        <v>0</v>
      </c>
      <c r="H14" s="25"/>
    </row>
    <row r="15" customFormat="false" ht="31.5" hidden="false" customHeight="true" outlineLevel="0" collapsed="false">
      <c r="A15" s="19" t="n">
        <v>9</v>
      </c>
      <c r="B15" s="86" t="s">
        <v>465</v>
      </c>
      <c r="C15" s="21" t="s">
        <v>469</v>
      </c>
      <c r="D15" s="21" t="s">
        <v>467</v>
      </c>
      <c r="E15" s="41" t="n">
        <v>8</v>
      </c>
      <c r="F15" s="87"/>
      <c r="G15" s="88" t="n">
        <f aca="false">E15*F15</f>
        <v>0</v>
      </c>
      <c r="H15" s="21"/>
    </row>
    <row r="16" customFormat="false" ht="31.5" hidden="false" customHeight="true" outlineLevel="0" collapsed="false">
      <c r="A16" s="23" t="n">
        <v>10</v>
      </c>
      <c r="B16" s="89" t="s">
        <v>470</v>
      </c>
      <c r="C16" s="25" t="s">
        <v>471</v>
      </c>
      <c r="D16" s="25" t="s">
        <v>472</v>
      </c>
      <c r="E16" s="45" t="n">
        <v>8</v>
      </c>
      <c r="F16" s="87"/>
      <c r="G16" s="90" t="n">
        <f aca="false">E16*F16</f>
        <v>0</v>
      </c>
      <c r="H16" s="25"/>
    </row>
    <row r="17" customFormat="false" ht="31.5" hidden="false" customHeight="true" outlineLevel="0" collapsed="false">
      <c r="A17" s="19" t="n">
        <v>11</v>
      </c>
      <c r="B17" s="86" t="s">
        <v>470</v>
      </c>
      <c r="C17" s="21" t="s">
        <v>473</v>
      </c>
      <c r="D17" s="21" t="s">
        <v>472</v>
      </c>
      <c r="E17" s="41" t="n">
        <v>8</v>
      </c>
      <c r="F17" s="87"/>
      <c r="G17" s="88" t="n">
        <f aca="false">E17*F17</f>
        <v>0</v>
      </c>
      <c r="H17" s="21"/>
    </row>
    <row r="18" customFormat="false" ht="31.5" hidden="false" customHeight="true" outlineLevel="0" collapsed="false">
      <c r="A18" s="23" t="n">
        <v>12</v>
      </c>
      <c r="B18" s="89" t="s">
        <v>474</v>
      </c>
      <c r="C18" s="25" t="s">
        <v>475</v>
      </c>
      <c r="D18" s="25" t="s">
        <v>476</v>
      </c>
      <c r="E18" s="45" t="n">
        <v>8</v>
      </c>
      <c r="F18" s="87"/>
      <c r="G18" s="90" t="n">
        <f aca="false">E18*F18</f>
        <v>0</v>
      </c>
      <c r="H18" s="25"/>
    </row>
    <row r="19" customFormat="false" ht="31.5" hidden="false" customHeight="true" outlineLevel="0" collapsed="false">
      <c r="A19" s="19" t="n">
        <v>13</v>
      </c>
      <c r="B19" s="86" t="s">
        <v>474</v>
      </c>
      <c r="C19" s="21" t="s">
        <v>477</v>
      </c>
      <c r="D19" s="21" t="s">
        <v>476</v>
      </c>
      <c r="E19" s="41" t="n">
        <v>8</v>
      </c>
      <c r="F19" s="87"/>
      <c r="G19" s="88" t="n">
        <f aca="false">E19*F19</f>
        <v>0</v>
      </c>
      <c r="H19" s="21"/>
    </row>
    <row r="20" customFormat="false" ht="31.5" hidden="false" customHeight="true" outlineLevel="0" collapsed="false">
      <c r="A20" s="23" t="n">
        <v>14</v>
      </c>
      <c r="B20" s="89" t="s">
        <v>478</v>
      </c>
      <c r="C20" s="25" t="s">
        <v>479</v>
      </c>
      <c r="D20" s="25" t="s">
        <v>480</v>
      </c>
      <c r="E20" s="45" t="n">
        <v>8</v>
      </c>
      <c r="F20" s="87"/>
      <c r="G20" s="90" t="n">
        <f aca="false">E20*F20</f>
        <v>0</v>
      </c>
      <c r="H20" s="25"/>
    </row>
    <row r="21" customFormat="false" ht="31.5" hidden="false" customHeight="true" outlineLevel="0" collapsed="false">
      <c r="A21" s="19" t="n">
        <v>15</v>
      </c>
      <c r="B21" s="86" t="s">
        <v>478</v>
      </c>
      <c r="C21" s="21" t="s">
        <v>481</v>
      </c>
      <c r="D21" s="21" t="s">
        <v>480</v>
      </c>
      <c r="E21" s="41" t="n">
        <v>8</v>
      </c>
      <c r="F21" s="87"/>
      <c r="G21" s="88" t="n">
        <f aca="false">E21*F21</f>
        <v>0</v>
      </c>
      <c r="H21" s="21"/>
    </row>
    <row r="22" customFormat="false" ht="31.5" hidden="false" customHeight="true" outlineLevel="0" collapsed="false">
      <c r="A22" s="23" t="n">
        <v>16</v>
      </c>
      <c r="B22" s="89" t="s">
        <v>482</v>
      </c>
      <c r="C22" s="25" t="s">
        <v>483</v>
      </c>
      <c r="D22" s="25" t="s">
        <v>484</v>
      </c>
      <c r="E22" s="45" t="n">
        <v>8</v>
      </c>
      <c r="F22" s="87"/>
      <c r="G22" s="90" t="n">
        <f aca="false">E22*F22</f>
        <v>0</v>
      </c>
      <c r="H22" s="25"/>
    </row>
    <row r="23" customFormat="false" ht="25.5" hidden="false" customHeight="true" outlineLevel="0" collapsed="false">
      <c r="A23" s="35" t="s">
        <v>485</v>
      </c>
      <c r="B23" s="36"/>
      <c r="C23" s="36"/>
      <c r="D23" s="36"/>
      <c r="E23" s="36"/>
      <c r="F23" s="36"/>
      <c r="G23" s="91" t="n">
        <f aca="false">SUM(G7:G22)</f>
        <v>0</v>
      </c>
      <c r="H23" s="39" t="s">
        <v>486</v>
      </c>
    </row>
    <row r="25" customFormat="false" ht="37.5" hidden="false" customHeight="true" outlineLevel="0" collapsed="false">
      <c r="A25" s="27" t="s">
        <v>487</v>
      </c>
      <c r="B25" s="27"/>
      <c r="C25" s="27"/>
      <c r="D25" s="27"/>
      <c r="E25" s="27"/>
      <c r="F25" s="27"/>
      <c r="G25" s="27"/>
      <c r="H25" s="27"/>
    </row>
  </sheetData>
  <autoFilter ref="A6:H22"/>
  <mergeCells count="4">
    <mergeCell ref="A1:H1"/>
    <mergeCell ref="A2:H2"/>
    <mergeCell ref="A3:H3"/>
    <mergeCell ref="A25:H25"/>
  </mergeCells>
  <conditionalFormatting sqref="G7:G22">
    <cfRule type="colorScale" priority="2">
      <colorScale>
        <cfvo type="min" val="0"/>
        <cfvo type="percentile" val="50"/>
        <cfvo type="max" val="0"/>
        <color rgb="FFFEE2E2"/>
        <color rgb="FFFEF3C7"/>
        <color rgb="FFCCFBF1"/>
      </colorScale>
    </cfRule>
  </conditionalFormatting>
  <dataValidations count="1">
    <dataValidation allowBlank="true" error="请输入 1–5 的整数" errorStyle="stop" errorTitle="评分范围" operator="between" showDropDown="false" showErrorMessage="false" showInputMessage="false" sqref="F7:F22" type="whole">
      <formula1>1</formula1>
      <formula2>5</formula2>
    </dataValidation>
  </dataValidation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58"/>
    <col collapsed="false" customWidth="true" hidden="false" outlineLevel="0" max="7" min="4" style="0" width="13"/>
  </cols>
  <sheetData>
    <row r="1" customFormat="false" ht="36" hidden="false" customHeight="true" outlineLevel="0" collapsed="false">
      <c r="A1" s="15" t="s">
        <v>488</v>
      </c>
      <c r="B1" s="15"/>
      <c r="C1" s="15"/>
      <c r="D1" s="15"/>
      <c r="E1" s="15"/>
      <c r="F1" s="15"/>
      <c r="G1" s="15"/>
    </row>
    <row r="2" customFormat="false" ht="19.5" hidden="false" customHeight="true" outlineLevel="0" collapsed="false">
      <c r="A2" s="16" t="s">
        <v>489</v>
      </c>
      <c r="B2" s="16"/>
      <c r="C2" s="16"/>
      <c r="D2" s="16"/>
      <c r="E2" s="16"/>
      <c r="F2" s="16"/>
      <c r="G2" s="16"/>
    </row>
    <row r="3" customFormat="false" ht="18" hidden="false" customHeight="true" outlineLevel="0" collapsed="false">
      <c r="A3" s="17" t="s">
        <v>490</v>
      </c>
      <c r="B3" s="17"/>
      <c r="C3" s="17"/>
      <c r="D3" s="17"/>
      <c r="E3" s="17"/>
      <c r="F3" s="17"/>
      <c r="G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</row>
    <row r="6" customFormat="false" ht="30" hidden="false" customHeight="true" outlineLevel="0" collapsed="false">
      <c r="A6" s="18" t="s">
        <v>491</v>
      </c>
      <c r="B6" s="18" t="s">
        <v>452</v>
      </c>
      <c r="C6" s="18" t="s">
        <v>492</v>
      </c>
      <c r="D6" s="18" t="s">
        <v>493</v>
      </c>
      <c r="E6" s="18" t="s">
        <v>494</v>
      </c>
      <c r="F6" s="18" t="s">
        <v>495</v>
      </c>
      <c r="G6" s="18" t="s">
        <v>496</v>
      </c>
    </row>
    <row r="7" customFormat="false" ht="30" hidden="false" customHeight="true" outlineLevel="0" collapsed="false">
      <c r="A7" s="60" t="s">
        <v>455</v>
      </c>
      <c r="B7" s="41" t="n">
        <v>22</v>
      </c>
      <c r="C7" s="21" t="s">
        <v>497</v>
      </c>
      <c r="D7" s="87"/>
      <c r="E7" s="87"/>
      <c r="F7" s="87"/>
      <c r="G7" s="87"/>
    </row>
    <row r="8" customFormat="false" ht="30" hidden="false" customHeight="true" outlineLevel="0" collapsed="false">
      <c r="A8" s="62" t="s">
        <v>498</v>
      </c>
      <c r="B8" s="45" t="n">
        <v>18</v>
      </c>
      <c r="C8" s="25" t="s">
        <v>499</v>
      </c>
      <c r="D8" s="87"/>
      <c r="E8" s="87"/>
      <c r="F8" s="87"/>
      <c r="G8" s="87"/>
    </row>
    <row r="9" customFormat="false" ht="30" hidden="false" customHeight="true" outlineLevel="0" collapsed="false">
      <c r="A9" s="60" t="s">
        <v>500</v>
      </c>
      <c r="B9" s="41" t="n">
        <v>18</v>
      </c>
      <c r="C9" s="21" t="s">
        <v>501</v>
      </c>
      <c r="D9" s="87"/>
      <c r="E9" s="87"/>
      <c r="F9" s="87"/>
      <c r="G9" s="87"/>
    </row>
    <row r="10" customFormat="false" ht="30" hidden="false" customHeight="true" outlineLevel="0" collapsed="false">
      <c r="A10" s="62" t="s">
        <v>502</v>
      </c>
      <c r="B10" s="45" t="n">
        <v>17</v>
      </c>
      <c r="C10" s="25" t="s">
        <v>503</v>
      </c>
      <c r="D10" s="87"/>
      <c r="E10" s="87"/>
      <c r="F10" s="87"/>
      <c r="G10" s="87"/>
    </row>
    <row r="11" customFormat="false" ht="30" hidden="false" customHeight="true" outlineLevel="0" collapsed="false">
      <c r="A11" s="60" t="s">
        <v>504</v>
      </c>
      <c r="B11" s="41" t="n">
        <v>10</v>
      </c>
      <c r="C11" s="21" t="s">
        <v>505</v>
      </c>
      <c r="D11" s="87"/>
      <c r="E11" s="87"/>
      <c r="F11" s="87"/>
      <c r="G11" s="87"/>
    </row>
    <row r="12" customFormat="false" ht="30" hidden="false" customHeight="true" outlineLevel="0" collapsed="false">
      <c r="A12" s="62" t="s">
        <v>506</v>
      </c>
      <c r="B12" s="45" t="n">
        <v>8</v>
      </c>
      <c r="C12" s="25" t="s">
        <v>507</v>
      </c>
      <c r="D12" s="87"/>
      <c r="E12" s="87"/>
      <c r="F12" s="87"/>
      <c r="G12" s="87"/>
    </row>
    <row r="13" customFormat="false" ht="30" hidden="false" customHeight="true" outlineLevel="0" collapsed="false">
      <c r="A13" s="60" t="s">
        <v>508</v>
      </c>
      <c r="B13" s="41" t="n">
        <v>7</v>
      </c>
      <c r="C13" s="21" t="s">
        <v>509</v>
      </c>
      <c r="D13" s="87"/>
      <c r="E13" s="87"/>
      <c r="F13" s="87"/>
      <c r="G13" s="87"/>
    </row>
    <row r="14" customFormat="false" ht="27.75" hidden="false" customHeight="true" outlineLevel="0" collapsed="false">
      <c r="A14" s="35" t="s">
        <v>510</v>
      </c>
      <c r="B14" s="92" t="n">
        <f aca="false">SUM(B7:B13)</f>
        <v>100</v>
      </c>
      <c r="C14" s="36"/>
      <c r="D14" s="93" t="n">
        <f aca="false">SUMPRODUCT($B$7:$B$13,D7:D13)/SUM($B$7:$B$13)</f>
        <v>0</v>
      </c>
      <c r="E14" s="93" t="n">
        <f aca="false">SUMPRODUCT($B$7:$B$13,E7:E13)/SUM($B$7:$B$13)</f>
        <v>0</v>
      </c>
      <c r="F14" s="93" t="n">
        <f aca="false">SUMPRODUCT($B$7:$B$13,F7:F13)/SUM($B$7:$B$13)</f>
        <v>0</v>
      </c>
      <c r="G14" s="93" t="n">
        <f aca="false">SUMPRODUCT($B$7:$B$13,G7:G13)/SUM($B$7:$B$13)</f>
        <v>0</v>
      </c>
    </row>
    <row r="16" customFormat="false" ht="33.75" hidden="false" customHeight="true" outlineLevel="0" collapsed="false">
      <c r="A16" s="27" t="s">
        <v>511</v>
      </c>
      <c r="B16" s="27"/>
      <c r="C16" s="27"/>
      <c r="D16" s="27"/>
      <c r="E16" s="27"/>
      <c r="F16" s="27"/>
      <c r="G16" s="27"/>
    </row>
  </sheetData>
  <mergeCells count="4">
    <mergeCell ref="A1:G1"/>
    <mergeCell ref="A2:G2"/>
    <mergeCell ref="A3:G3"/>
    <mergeCell ref="A16:G16"/>
  </mergeCells>
  <dataValidations count="1">
    <dataValidation allowBlank="true" error="请输入 1–5 的整数" errorStyle="stop" errorTitle="评分范围" operator="between" showDropDown="false" showErrorMessage="false" showInputMessage="false" sqref="D7:G13" type="whole">
      <formula1>1</formula1>
      <formula2>5</formula2>
    </dataValidation>
  </dataValidation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58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36" hidden="false" customHeight="true" outlineLevel="0" collapsed="false">
      <c r="A1" s="15" t="s">
        <v>45</v>
      </c>
      <c r="B1" s="15"/>
      <c r="C1" s="15"/>
      <c r="D1" s="15"/>
      <c r="E1" s="15"/>
      <c r="F1" s="15"/>
      <c r="G1" s="15"/>
    </row>
    <row r="2" customFormat="false" ht="19.5" hidden="false" customHeight="true" outlineLevel="0" collapsed="false">
      <c r="A2" s="16" t="s">
        <v>512</v>
      </c>
      <c r="B2" s="16"/>
      <c r="C2" s="16"/>
      <c r="D2" s="16"/>
      <c r="E2" s="16"/>
      <c r="F2" s="16"/>
      <c r="G2" s="16"/>
    </row>
    <row r="3" customFormat="false" ht="18" hidden="false" customHeight="true" outlineLevel="0" collapsed="false">
      <c r="A3" s="17" t="s">
        <v>513</v>
      </c>
      <c r="B3" s="17"/>
      <c r="C3" s="17"/>
      <c r="D3" s="17"/>
      <c r="E3" s="17"/>
      <c r="F3" s="17"/>
      <c r="G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</row>
    <row r="6" customFormat="false" ht="30" hidden="false" customHeight="true" outlineLevel="0" collapsed="false">
      <c r="A6" s="18" t="s">
        <v>514</v>
      </c>
      <c r="B6" s="18" t="s">
        <v>357</v>
      </c>
      <c r="C6" s="18" t="s">
        <v>515</v>
      </c>
      <c r="D6" s="18" t="s">
        <v>516</v>
      </c>
      <c r="E6" s="18" t="s">
        <v>517</v>
      </c>
      <c r="F6" s="18" t="s">
        <v>518</v>
      </c>
      <c r="G6" s="18" t="s">
        <v>519</v>
      </c>
    </row>
    <row r="7" customFormat="false" ht="39.75" hidden="false" customHeight="true" outlineLevel="0" collapsed="false">
      <c r="A7" s="60" t="s">
        <v>520</v>
      </c>
      <c r="B7" s="21" t="s">
        <v>521</v>
      </c>
      <c r="C7" s="21" t="s">
        <v>522</v>
      </c>
      <c r="D7" s="21" t="s">
        <v>523</v>
      </c>
      <c r="E7" s="73" t="s">
        <v>88</v>
      </c>
      <c r="F7" s="19" t="s">
        <v>524</v>
      </c>
      <c r="G7" s="19" t="s">
        <v>45</v>
      </c>
    </row>
    <row r="8" customFormat="false" ht="39.75" hidden="false" customHeight="true" outlineLevel="0" collapsed="false">
      <c r="A8" s="62" t="s">
        <v>525</v>
      </c>
      <c r="B8" s="25" t="s">
        <v>526</v>
      </c>
      <c r="C8" s="25" t="s">
        <v>527</v>
      </c>
      <c r="D8" s="25" t="s">
        <v>528</v>
      </c>
      <c r="E8" s="73" t="s">
        <v>88</v>
      </c>
      <c r="F8" s="23" t="s">
        <v>524</v>
      </c>
      <c r="G8" s="23" t="s">
        <v>45</v>
      </c>
    </row>
    <row r="9" customFormat="false" ht="39.75" hidden="false" customHeight="true" outlineLevel="0" collapsed="false">
      <c r="A9" s="60" t="s">
        <v>529</v>
      </c>
      <c r="B9" s="21" t="s">
        <v>530</v>
      </c>
      <c r="C9" s="21" t="s">
        <v>531</v>
      </c>
      <c r="D9" s="21" t="s">
        <v>532</v>
      </c>
      <c r="E9" s="73" t="s">
        <v>88</v>
      </c>
      <c r="F9" s="19" t="s">
        <v>524</v>
      </c>
      <c r="G9" s="19" t="s">
        <v>45</v>
      </c>
    </row>
    <row r="10" customFormat="false" ht="39.75" hidden="false" customHeight="true" outlineLevel="0" collapsed="false">
      <c r="A10" s="62" t="s">
        <v>533</v>
      </c>
      <c r="B10" s="25" t="s">
        <v>534</v>
      </c>
      <c r="C10" s="25" t="s">
        <v>535</v>
      </c>
      <c r="D10" s="25" t="s">
        <v>536</v>
      </c>
      <c r="E10" s="26" t="s">
        <v>95</v>
      </c>
      <c r="F10" s="23" t="s">
        <v>524</v>
      </c>
      <c r="G10" s="23" t="s">
        <v>45</v>
      </c>
    </row>
    <row r="11" customFormat="false" ht="39.75" hidden="false" customHeight="true" outlineLevel="0" collapsed="false">
      <c r="A11" s="60" t="s">
        <v>537</v>
      </c>
      <c r="B11" s="21" t="s">
        <v>538</v>
      </c>
      <c r="C11" s="21" t="s">
        <v>531</v>
      </c>
      <c r="D11" s="21" t="s">
        <v>539</v>
      </c>
      <c r="E11" s="26" t="s">
        <v>95</v>
      </c>
      <c r="F11" s="19" t="s">
        <v>524</v>
      </c>
      <c r="G11" s="19" t="s">
        <v>45</v>
      </c>
    </row>
    <row r="12" customFormat="false" ht="39.75" hidden="false" customHeight="true" outlineLevel="0" collapsed="false">
      <c r="A12" s="62" t="s">
        <v>540</v>
      </c>
      <c r="B12" s="25" t="s">
        <v>541</v>
      </c>
      <c r="C12" s="25" t="s">
        <v>542</v>
      </c>
      <c r="D12" s="25" t="s">
        <v>543</v>
      </c>
      <c r="E12" s="43" t="s">
        <v>102</v>
      </c>
      <c r="F12" s="23" t="s">
        <v>524</v>
      </c>
      <c r="G12" s="23" t="s">
        <v>45</v>
      </c>
    </row>
    <row r="14" customFormat="false" ht="42" hidden="false" customHeight="true" outlineLevel="0" collapsed="false">
      <c r="A14" s="27" t="s">
        <v>544</v>
      </c>
      <c r="B14" s="27"/>
      <c r="C14" s="27"/>
      <c r="D14" s="27"/>
      <c r="E14" s="27"/>
      <c r="F14" s="27"/>
      <c r="G14" s="27"/>
    </row>
  </sheetData>
  <autoFilter ref="A6:G12"/>
  <mergeCells count="4">
    <mergeCell ref="A1:G1"/>
    <mergeCell ref="A2:G2"/>
    <mergeCell ref="A3:G3"/>
    <mergeCell ref="A14:G14"/>
  </mergeCell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tru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20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56"/>
    <col collapsed="false" customWidth="true" hidden="false" outlineLevel="0" max="6" min="6" style="0" width="46"/>
    <col collapsed="false" customWidth="true" hidden="false" outlineLevel="0" max="7" min="7" style="0" width="8"/>
  </cols>
  <sheetData>
    <row r="1" customFormat="false" ht="36" hidden="false" customHeight="true" outlineLevel="0" collapsed="false">
      <c r="A1" s="15" t="s">
        <v>48</v>
      </c>
      <c r="B1" s="15"/>
      <c r="C1" s="15"/>
      <c r="D1" s="15"/>
      <c r="E1" s="15"/>
      <c r="F1" s="15"/>
      <c r="G1" s="15"/>
    </row>
    <row r="2" customFormat="false" ht="19.5" hidden="false" customHeight="true" outlineLevel="0" collapsed="false">
      <c r="A2" s="16" t="s">
        <v>545</v>
      </c>
      <c r="B2" s="16"/>
      <c r="C2" s="16"/>
      <c r="D2" s="16"/>
      <c r="E2" s="16"/>
      <c r="F2" s="16"/>
      <c r="G2" s="16"/>
    </row>
    <row r="3" customFormat="false" ht="18" hidden="false" customHeight="true" outlineLevel="0" collapsed="false">
      <c r="A3" s="17" t="s">
        <v>546</v>
      </c>
      <c r="B3" s="17"/>
      <c r="C3" s="17"/>
      <c r="D3" s="17"/>
      <c r="E3" s="17"/>
      <c r="F3" s="17"/>
      <c r="G3" s="17"/>
    </row>
    <row r="4" customFormat="false" ht="3" hidden="false" customHeight="true" outlineLevel="0" collapsed="false">
      <c r="A4" s="5"/>
      <c r="B4" s="5"/>
      <c r="C4" s="5"/>
      <c r="D4" s="5"/>
      <c r="E4" s="5"/>
      <c r="F4" s="5"/>
      <c r="G4" s="5"/>
    </row>
    <row r="6" customFormat="false" ht="24" hidden="false" customHeight="true" outlineLevel="0" collapsed="false">
      <c r="A6" s="6" t="s">
        <v>547</v>
      </c>
      <c r="B6" s="6"/>
      <c r="C6" s="6"/>
      <c r="D6" s="6"/>
      <c r="E6" s="6"/>
      <c r="F6" s="6"/>
      <c r="G6" s="6"/>
    </row>
    <row r="8" customFormat="false" ht="30" hidden="false" customHeight="true" outlineLevel="0" collapsed="false">
      <c r="A8" s="18" t="s">
        <v>244</v>
      </c>
      <c r="B8" s="18" t="s">
        <v>548</v>
      </c>
      <c r="C8" s="18" t="s">
        <v>549</v>
      </c>
      <c r="D8" s="18" t="s">
        <v>550</v>
      </c>
    </row>
    <row r="9" customFormat="false" ht="30" hidden="false" customHeight="true" outlineLevel="0" collapsed="false">
      <c r="A9" s="40" t="s">
        <v>551</v>
      </c>
      <c r="B9" s="21" t="s">
        <v>552</v>
      </c>
      <c r="C9" s="21" t="s">
        <v>553</v>
      </c>
      <c r="D9" s="21" t="s">
        <v>554</v>
      </c>
    </row>
    <row r="10" customFormat="false" ht="30" hidden="false" customHeight="true" outlineLevel="0" collapsed="false">
      <c r="A10" s="44" t="s">
        <v>555</v>
      </c>
      <c r="B10" s="25" t="s">
        <v>556</v>
      </c>
      <c r="C10" s="25" t="s">
        <v>557</v>
      </c>
      <c r="D10" s="25" t="s">
        <v>558</v>
      </c>
    </row>
    <row r="11" customFormat="false" ht="30" hidden="false" customHeight="true" outlineLevel="0" collapsed="false">
      <c r="A11" s="40" t="s">
        <v>559</v>
      </c>
      <c r="B11" s="21" t="s">
        <v>54</v>
      </c>
      <c r="C11" s="21" t="s">
        <v>560</v>
      </c>
      <c r="D11" s="21" t="s">
        <v>561</v>
      </c>
    </row>
    <row r="12" customFormat="false" ht="30" hidden="false" customHeight="true" outlineLevel="0" collapsed="false">
      <c r="A12" s="44" t="s">
        <v>61</v>
      </c>
      <c r="B12" s="25" t="s">
        <v>64</v>
      </c>
      <c r="C12" s="25" t="s">
        <v>562</v>
      </c>
      <c r="D12" s="25" t="s">
        <v>563</v>
      </c>
    </row>
    <row r="13" customFormat="false" ht="30" hidden="false" customHeight="true" outlineLevel="0" collapsed="false">
      <c r="A13" s="40" t="s">
        <v>564</v>
      </c>
      <c r="B13" s="21" t="s">
        <v>45</v>
      </c>
      <c r="C13" s="21" t="s">
        <v>565</v>
      </c>
      <c r="D13" s="21" t="s">
        <v>566</v>
      </c>
    </row>
    <row r="14" customFormat="false" ht="19.5" hidden="false" customHeight="true" outlineLevel="0" collapsed="false">
      <c r="A14" s="7" t="s">
        <v>567</v>
      </c>
      <c r="B14" s="7"/>
      <c r="C14" s="7"/>
      <c r="D14" s="7"/>
    </row>
    <row r="15" customFormat="false" ht="19.5" hidden="false" customHeight="true" outlineLevel="0" collapsed="false">
      <c r="A15" s="7" t="s">
        <v>568</v>
      </c>
      <c r="B15" s="7"/>
      <c r="C15" s="7"/>
      <c r="D15" s="7"/>
    </row>
    <row r="16" customFormat="false" ht="19.5" hidden="false" customHeight="true" outlineLevel="0" collapsed="false">
      <c r="A16" s="7" t="s">
        <v>569</v>
      </c>
      <c r="B16" s="7"/>
      <c r="C16" s="7"/>
      <c r="D16" s="7"/>
    </row>
    <row r="18" customFormat="false" ht="24" hidden="false" customHeight="true" outlineLevel="0" collapsed="false">
      <c r="A18" s="6" t="s">
        <v>570</v>
      </c>
      <c r="B18" s="6"/>
      <c r="C18" s="6"/>
      <c r="D18" s="6"/>
      <c r="E18" s="6"/>
      <c r="F18" s="6"/>
      <c r="G18" s="6"/>
    </row>
    <row r="20" customFormat="false" ht="30" hidden="false" customHeight="true" outlineLevel="0" collapsed="false">
      <c r="A20" s="18" t="s">
        <v>571</v>
      </c>
      <c r="B20" s="18" t="s">
        <v>572</v>
      </c>
      <c r="C20" s="18" t="s">
        <v>573</v>
      </c>
      <c r="D20" s="18" t="s">
        <v>574</v>
      </c>
      <c r="E20" s="18" t="s">
        <v>575</v>
      </c>
      <c r="F20" s="18" t="s">
        <v>576</v>
      </c>
      <c r="G20" s="18" t="s">
        <v>81</v>
      </c>
    </row>
    <row r="21" customFormat="false" ht="33.75" hidden="false" customHeight="true" outlineLevel="0" collapsed="false">
      <c r="A21" s="86" t="s">
        <v>577</v>
      </c>
      <c r="B21" s="51" t="s">
        <v>578</v>
      </c>
      <c r="C21" s="21" t="s">
        <v>579</v>
      </c>
      <c r="D21" s="19" t="s">
        <v>580</v>
      </c>
      <c r="E21" s="94" t="s">
        <v>581</v>
      </c>
      <c r="F21" s="21" t="s">
        <v>582</v>
      </c>
      <c r="G21" s="19" t="s">
        <v>102</v>
      </c>
    </row>
    <row r="22" customFormat="false" ht="33.75" hidden="false" customHeight="true" outlineLevel="0" collapsed="false">
      <c r="A22" s="89" t="s">
        <v>89</v>
      </c>
      <c r="B22" s="52" t="s">
        <v>583</v>
      </c>
      <c r="C22" s="25" t="s">
        <v>584</v>
      </c>
      <c r="D22" s="23" t="s">
        <v>585</v>
      </c>
      <c r="E22" s="95" t="s">
        <v>586</v>
      </c>
      <c r="F22" s="25" t="s">
        <v>587</v>
      </c>
      <c r="G22" s="23" t="s">
        <v>102</v>
      </c>
    </row>
    <row r="23" customFormat="false" ht="33.75" hidden="false" customHeight="true" outlineLevel="0" collapsed="false">
      <c r="A23" s="86" t="s">
        <v>96</v>
      </c>
      <c r="B23" s="51" t="s">
        <v>588</v>
      </c>
      <c r="C23" s="21" t="s">
        <v>589</v>
      </c>
      <c r="D23" s="19" t="s">
        <v>590</v>
      </c>
      <c r="E23" s="94" t="s">
        <v>586</v>
      </c>
      <c r="F23" s="21" t="s">
        <v>591</v>
      </c>
      <c r="G23" s="19" t="s">
        <v>102</v>
      </c>
    </row>
    <row r="25" customFormat="false" ht="42" hidden="false" customHeight="true" outlineLevel="0" collapsed="false">
      <c r="A25" s="27" t="s">
        <v>592</v>
      </c>
      <c r="B25" s="27"/>
      <c r="C25" s="27"/>
      <c r="D25" s="27"/>
      <c r="E25" s="27"/>
      <c r="F25" s="27"/>
      <c r="G25" s="27"/>
    </row>
  </sheetData>
  <autoFilter ref="A20:G23"/>
  <mergeCells count="9">
    <mergeCell ref="A1:G1"/>
    <mergeCell ref="A2:G2"/>
    <mergeCell ref="A3:G3"/>
    <mergeCell ref="A6:G6"/>
    <mergeCell ref="A14:D14"/>
    <mergeCell ref="A15:D15"/>
    <mergeCell ref="A16:D16"/>
    <mergeCell ref="A18:G18"/>
    <mergeCell ref="A25:G25"/>
  </mergeCells>
  <hyperlinks>
    <hyperlink ref="E21" r:id="rId1" display="https://www.chyxx.com/industry/"/>
    <hyperlink ref="E22" r:id="rId2" display="https://www.100ppi.com/"/>
    <hyperlink ref="E23" r:id="rId3" display="https://www.100ppi.com/"/>
  </hyperlinks>
  <printOptions headings="false" gridLines="false" gridLinesSet="true" horizontalCentered="tru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2026-10-19T07:30:10Z</dcterms:created>
  <dc:creator>chemical-supply-market-map</dc:creator>
  <dc:description>数据截止 2026-10-19；公开信息整理，缺口明确标注。</dc:description>
  <dc:language>en-US</dc:language>
  <cp:lastModifiedBy/>
  <dcterms:modified xsi:type="dcterms:W3CDTF">2026-10-19T15:30:43Z</dcterms:modified>
  <cp:revision>1</cp:revision>
  <dc:subject>采购视角：产能、区域、工艺、项目、价格与风险</dc:subject>
  <dc:title>烧碱供应格局数据包 2025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
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封面" sheetId="1" state="visible" r:id="rId3"/>
    <sheet name="01_核心结论" sheetId="2" state="visible" r:id="rId4"/>
    <sheet name="02_企业产能" sheetId="3" state="visible" r:id="rId5"/>
    <sheet name="03_区域汇总" sheetId="4" state="visible" r:id="rId6"/>
    <sheet name="04_工艺路线" sheetId="5" state="visible" r:id="rId7"/>
    <sheet name="04A_原料与成本" sheetId="6" state="visible" r:id="rId8"/>
    <sheet name="05_新增项目" sheetId="7" state="visible" r:id="rId9"/>
    <sheet name="05A_净增还原" sheetId="8" state="visible" r:id="rId10"/>
    <sheet name="06_价格历史" sheetId="9" state="visible" r:id="rId11"/>
    <sheet name="06A_价格周期" sheetId="10" state="visible" r:id="rId12"/>
    <sheet name="07_采购关注" sheetId="11" state="visible" r:id="rId13"/>
    <sheet name="07A_采购策略" sheetId="12" state="visible" r:id="rId14"/>
    <sheet name="08_尽调清单" sheetId="13" state="visible" r:id="rId15"/>
    <sheet name="09_供应商评分" sheetId="14" state="visible" r:id="rId16"/>
    <sheet name="10_数据缺口" sheetId="15" state="visible" r:id="rId17"/>
    <sheet name="11_来源与口径" sheetId="16" state="visible" r:id="rId18"/>
  </sheets>
  <definedNames>
    <definedName function="false" hidden="false" localSheetId="0" name="_xlnm.Print_Area" vbProcedure="false">'00_封面'!$A$1:$H$45</definedName>
    <definedName function="false" hidden="false" localSheetId="0" name="_xlnm.Print_Titles" vbProcedure="false">'00_封面'!$1:$5</definedName>
    <definedName function="false" hidden="false" localSheetId="1" name="_xlnm.Print_Titles" vbProcedure="false">'01_核心结论'!$1:$6</definedName>
    <definedName function="false" hidden="true" localSheetId="1" name="_xlnm._FilterDatabase" vbProcedure="false">'01_核心结论'!$A$6:$G$12</definedName>
    <definedName function="false" hidden="false" localSheetId="2" name="_xlnm.Print_Area" vbProcedure="false">'02_企业产能'!$A$1:$P$43</definedName>
    <definedName function="false" hidden="false" localSheetId="2" name="_xlnm.Print_Titles" vbProcedure="false">'02_企业产能'!$1:$6</definedName>
    <definedName function="false" hidden="true" localSheetId="2" name="_xlnm._FilterDatabase" vbProcedure="false">'02_企业产能'!$A$6:$P$38</definedName>
    <definedName function="false" hidden="false" localSheetId="3" name="_xlnm.Print_Area" vbProcedure="false">'03_区域汇总'!$A$1:$K$27</definedName>
    <definedName function="false" hidden="false" localSheetId="3" name="_xlnm.Print_Titles" vbProcedure="false">'03_区域汇总'!$1:$6</definedName>
    <definedName function="false" hidden="true" localSheetId="3" name="_xlnm._FilterDatabase" vbProcedure="false">'03_区域汇总'!$A$6:$K$21</definedName>
    <definedName function="false" hidden="false" localSheetId="4" name="_xlnm.Print_Area" vbProcedure="false">'04_工艺路线'!$A$1:$J$14</definedName>
    <definedName function="false" hidden="false" localSheetId="4" name="_xlnm.Print_Titles" vbProcedure="false">'04_工艺路线'!$1:$6</definedName>
    <definedName function="false" hidden="false" localSheetId="5" name="_xlnm.Print_Area" vbProcedure="false">'04A_原料与成本'!$A$1:$E$22</definedName>
    <definedName function="false" hidden="false" localSheetId="5" name="_xlnm.Print_Titles" vbProcedure="false">'04A_原料与成本'!$1:$6</definedName>
    <definedName function="false" hidden="false" localSheetId="6" name="_xlnm.Print_Area" vbProcedure="false">'05_新增项目'!$A$1:$M$20</definedName>
    <definedName function="false" hidden="false" localSheetId="6" name="_xlnm.Print_Titles" vbProcedure="false">'05_新增项目'!$1:$6</definedName>
    <definedName function="false" hidden="true" localSheetId="6" name="_xlnm._FilterDatabase" vbProcedure="false">'05_新增项目'!$A$6:$M$15</definedName>
    <definedName function="false" hidden="false" localSheetId="7" name="_xlnm.Print_Area" vbProcedure="false">'05A_净增还原'!$A$1:$E$27</definedName>
    <definedName function="false" hidden="false" localSheetId="7" name="_xlnm.Print_Titles" vbProcedure="false">'05A_净增还原'!$1:$6</definedName>
    <definedName function="false" hidden="false" localSheetId="8" name="_xlnm.Print_Area" vbProcedure="false">'06_价格历史'!$A$1:$I$18</definedName>
    <definedName function="false" hidden="false" localSheetId="8" name="_xlnm.Print_Titles" vbProcedure="false">'06_价格历史'!$1:$8</definedName>
    <definedName function="false" hidden="false" localSheetId="9" name="_xlnm.Print_Area" vbProcedure="false">'06A_价格周期'!$A$1:$H$35</definedName>
    <definedName function="false" hidden="false" localSheetId="9" name="_xlnm.Print_Titles" vbProcedure="false">'06A_价格周期'!$1:$8</definedName>
    <definedName function="false" hidden="false" localSheetId="10" name="_xlnm.Print_Area" vbProcedure="false">'07_采购关注'!$A$1:$H$20</definedName>
    <definedName function="false" hidden="false" localSheetId="10" name="_xlnm.Print_Titles" vbProcedure="false">'07_采购关注'!$1:$8</definedName>
    <definedName function="false" hidden="false" localSheetId="11" name="_xlnm.Print_Area" vbProcedure="false">'07A_采购策略'!$A$1:$F$38</definedName>
    <definedName function="false" hidden="false" localSheetId="11" name="_xlnm.Print_Titles" vbProcedure="false">'07A_采购策略'!$1:$8</definedName>
    <definedName function="false" hidden="false" localSheetId="12" name="_xlnm.Print_Titles" vbProcedure="false">'08_尽调清单'!$1:$6</definedName>
    <definedName function="false" hidden="true" localSheetId="12" name="_xlnm._FilterDatabase" vbProcedure="false">'08_尽调清单'!$A$6:$H$36</definedName>
    <definedName function="false" hidden="false" localSheetId="13" name="_xlnm.Print_Titles" vbProcedure="false">'09_供应商评分'!$1:$6</definedName>
    <definedName function="false" hidden="false" localSheetId="14" name="_xlnm.Print_Titles" vbProcedure="false">'10_数据缺口'!$1:$6</definedName>
    <definedName function="false" hidden="true" localSheetId="14" name="_xlnm._FilterDatabase" vbProcedure="false">'10_数据缺口'!$A$6:$G$14</definedName>
    <definedName function="false" hidden="false" localSheetId="15" name="_xlnm.Print_Titles" vbProcedure="false">'11_来源与口径'!$1:$6</definedName>
    <definedName function="false" hidden="true" localSheetId="15" name="_xlnm._FilterDatabase" vbProcedure="false">'11_来源与口径'!$A$20:$G$50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<sst xmlns="http://schemas.openxmlformats.org/spreadsheetml/2006/main" count="1558" uniqueCount="994">
  <si>
    <t xml:space="preserve">纯碱 · 中国供应市场全景</t>
  </si>
  <si>
    <t xml:space="preserve">采购视角 · 产能 / 区域 / 工艺 / 项目 / 价格 / 风险</t>
  </si>
  <si>
    <t xml:space="preserve">数据截止 2026-10-19  ·  基准年 2025  ·  覆盖 中国大陆  ·  产能：万吨/年  ·  价格：元/吨（含税）</t>
  </si>
  <si>
    <t xml:space="preserve">本工作簿包含</t>
  </si>
  <si>
    <t xml:space="preserve">从全景到可执行清单：先看结论，再看企业/区域/项目，最后用尽调与评分模板落地。</t>
  </si>
  <si>
    <t xml:space="preserve">01</t>
  </si>
  <si>
    <t xml:space="preserve">核心结论</t>
  </si>
  <si>
    <t xml:space="preserve">6 条判断 + 证据 + 采购含义 + 置信度</t>
  </si>
  <si>
    <t xml:space="preserve">02</t>
  </si>
  <si>
    <t xml:space="preserve">企业产能</t>
  </si>
  <si>
    <t xml:space="preserve">24 集团 / 32 基地，基准年与 2026E 产能</t>
  </si>
  <si>
    <t xml:space="preserve">03</t>
  </si>
  <si>
    <t xml:space="preserve">区域汇总</t>
  </si>
  <si>
    <t xml:space="preserve">15 个生产省份的产能、集中度与贸易活跃度</t>
  </si>
  <si>
    <t xml:space="preserve">04</t>
  </si>
  <si>
    <t xml:space="preserve">工艺路线</t>
  </si>
  <si>
    <t xml:space="preserve">工艺产能、原料、成本区间与风险</t>
  </si>
  <si>
    <t xml:space="preserve">04A</t>
  </si>
  <si>
    <t xml:space="preserve">原料与成本</t>
  </si>
  <si>
    <t xml:space="preserve">原料单耗、副产、成本区间与当前价格位置</t>
  </si>
  <si>
    <t xml:space="preserve">05</t>
  </si>
  <si>
    <t xml:space="preserve">新增项目</t>
  </si>
  <si>
    <t xml:space="preserve">9 个项目：毛产能、置换、净影响与时间</t>
  </si>
  <si>
    <t xml:space="preserve">05A</t>
  </si>
  <si>
    <t xml:space="preserve">净增还原</t>
  </si>
  <si>
    <t xml:space="preserve">毛产能 ≠ 净新增，逐项还原</t>
  </si>
  <si>
    <t xml:space="preserve">06</t>
  </si>
  <si>
    <t xml:space="preserve">价格历史</t>
  </si>
  <si>
    <t xml:space="preserve">年度价格、成本带与当前价位</t>
  </si>
  <si>
    <t xml:space="preserve">06A</t>
  </si>
  <si>
    <t xml:space="preserve">价格周期</t>
  </si>
  <si>
    <t xml:space="preserve">阶段复盘、区域价差与未来判断</t>
  </si>
  <si>
    <t xml:space="preserve">07</t>
  </si>
  <si>
    <t xml:space="preserve">采购关注</t>
  </si>
  <si>
    <t xml:space="preserve">8 项风险：证据与动作</t>
  </si>
  <si>
    <t xml:space="preserve">07A</t>
  </si>
  <si>
    <t xml:space="preserve">采购策略</t>
  </si>
  <si>
    <t xml:space="preserve">双源/指数/库存策略、供应商组合与采购量模拟器</t>
  </si>
  <si>
    <t xml:space="preserve">08</t>
  </si>
  <si>
    <t xml:space="preserve">尽调清单</t>
  </si>
  <si>
    <t xml:space="preserve">30 个问题，可直接用于现场审核</t>
  </si>
  <si>
    <t xml:space="preserve">09</t>
  </si>
  <si>
    <t xml:space="preserve">供应商评分</t>
  </si>
  <si>
    <t xml:space="preserve">7 维度权重模板，可直接打分</t>
  </si>
  <si>
    <t xml:space="preserve">10</t>
  </si>
  <si>
    <t xml:space="preserve">数据缺口</t>
  </si>
  <si>
    <t xml:space="preserve">8 项缺口、影响、补齐方式与优先级</t>
  </si>
  <si>
    <t xml:space="preserve">11</t>
  </si>
  <si>
    <t xml:space="preserve">来源与口径</t>
  </si>
  <si>
    <t xml:space="preserve">30 条来源、口径差异与使用限制</t>
  </si>
  <si>
    <t xml:space="preserve">关键数字</t>
  </si>
  <si>
    <t xml:space="preserve">2025 年全国产能</t>
  </si>
  <si>
    <t xml:space="preserve">产量</t>
  </si>
  <si>
    <t xml:space="preserve">CR5</t>
  </si>
  <si>
    <t xml:space="preserve">4,468</t>
  </si>
  <si>
    <t xml:space="preserve">3,957</t>
  </si>
  <si>
    <t xml:space="preserve">45.4%</t>
  </si>
  <si>
    <t xml:space="preserve">万吨/年；来源 S1</t>
  </si>
  <si>
    <t xml:space="preserve">开工率 88.6%</t>
  </si>
  <si>
    <t xml:space="preserve">2026E 48.6–51.8%</t>
  </si>
  <si>
    <t xml:space="preserve">2026E 名义产能</t>
  </si>
  <si>
    <t xml:space="preserve">重碱现货（2026-10-19，生意社）</t>
  </si>
  <si>
    <t xml:space="preserve">样本覆盖</t>
  </si>
  <si>
    <t xml:space="preserve">4,750</t>
  </si>
  <si>
    <t xml:space="preserve">1,063</t>
  </si>
  <si>
    <t xml:space="preserve">79.9%</t>
  </si>
  <si>
    <t xml:space="preserve">名义产能</t>
  </si>
  <si>
    <t xml:space="preserve">元/吨（含税）</t>
  </si>
  <si>
    <t xml:space="preserve">24 集团 / 32 基地 / 3,570 万吨/年</t>
  </si>
  <si>
    <t xml:space="preserve">口径与使用限制</t>
  </si>
  <si>
    <t xml:space="preserve">1. 产能为名义/设计能力，不等于可售量；实际可用量受检修、环保、能耗、原料与订单影响。</t>
  </si>
  <si>
    <t xml:space="preserve">2. 2025 年全国产能存在 4,078 / 4,305 / 4,393 / 4,450 / 4,468 多套口径，并列展示，不取平均。</t>
  </si>
  <si>
    <t xml:space="preserve">3. 样本为公开披露的重点集团/基地，合计 3,570 万吨，占全国 79.9%；未披露的小型企业未分摊。</t>
  </si>
  <si>
    <t xml:space="preserve">4. 本工作簿为公开信息研究，不含任何企业的非公开成本、合同价、库存与客户数据。</t>
  </si>
  <si>
    <t xml:space="preserve">5. 产能为名义/设计能力，实际可用量受检修、环保、能耗、原料与订单影响。</t>
  </si>
  <si>
    <t xml:space="preserve">6. 缺失项一律标注「数据缺口」，不做估算；报告不构成投资建议。</t>
  </si>
  <si>
    <t xml:space="preserve">6 条最关键的判断：证据、含义与置信度</t>
  </si>
  <si>
    <t xml:space="preserve">数据截止 2026-10-19  ·  置信度：高 / 中高 / 中 / 中低 / 低</t>
  </si>
  <si>
    <t xml:space="preserve">#</t>
  </si>
  <si>
    <t xml:space="preserve">结论</t>
  </si>
  <si>
    <t xml:space="preserve">关键证据</t>
  </si>
  <si>
    <t xml:space="preserve">采购含义</t>
  </si>
  <si>
    <t xml:space="preserve">置信度</t>
  </si>
  <si>
    <t xml:space="preserve">来源</t>
  </si>
  <si>
    <t xml:space="preserve">备注</t>
  </si>
  <si>
    <t xml:space="preserve">V1</t>
  </si>
  <si>
    <t xml:space="preserve">产能峰值已至，价格由边际成本定价</t>
  </si>
  <si>
    <t xml:space="preserve">2025 年总产能 4,468 万吨，2026E 名义 4,750 万吨；2025 年已落地毛新增约 550 万吨。当前重碱 942–1,250 元/吨，低于联碱/氨碱成本，天然碱仍有利润。</t>
  </si>
  <si>
    <t xml:space="preserve">高成本供应商可谈价，但要防其减产后断供；年度框架锁量不锁死价，保留 10%–20% 现货。</t>
  </si>
  <si>
    <t xml:space="preserve">高</t>
  </si>
  <si>
    <t xml:space="preserve">S1/S12/S14</t>
  </si>
  <si>
    <t xml:space="preserve">2025 年产能口径存在 4,078–4,500 多套数字</t>
  </si>
  <si>
    <t xml:space="preserve">V2</t>
  </si>
  <si>
    <t xml:space="preserve">低成本供给比总产能更集中</t>
  </si>
  <si>
    <t xml:space="preserve">天然碱 970 万吨，博源 680 万吨占 70.1%；天然碱 HHI 约 5,642，远高于行业整体 535。CR5 45.4% 低估了「可替代低成本量」的集中度。</t>
  </si>
  <si>
    <t xml:space="preserve">主供可集中，但备供必须提前认证；不要把 CR5 当作供应安全指标。</t>
  </si>
  <si>
    <t xml:space="preserve">S2/S20</t>
  </si>
  <si>
    <t xml:space="preserve">HHI 按样本测算</t>
  </si>
  <si>
    <t xml:space="preserve">V3</t>
  </si>
  <si>
    <t xml:space="preserve">名义新增与净新增正在背离</t>
  </si>
  <si>
    <t xml:space="preserve">金山潜江 150 为搬迁、雪天衡阳 100 置换 80、海化 100 置换 120、连云港 110 置换 130；2028 年中盐通辽 500 才是下一轮大增量。</t>
  </si>
  <si>
    <t xml:space="preserve">不要按「名义新增」做 2027–2028 供应规划；签约前要求披露老装置关停时点。</t>
  </si>
  <si>
    <t xml:space="preserve">中高</t>
  </si>
  <si>
    <t xml:space="preserve">S11/S26/S27</t>
  </si>
  <si>
    <t xml:space="preserve">金山潜江净增仍待确认</t>
  </si>
  <si>
    <t xml:space="preserve">V4</t>
  </si>
  <si>
    <t xml:space="preserve">区域集中叠加长距离物流</t>
  </si>
  <si>
    <t xml:space="preserve">河南/内蒙古/山东/江苏/青海合计约 71% 样本产能；消费集中在河北/广东/华东。2019 年青海/江苏/河南/山东调出占全国 94%。</t>
  </si>
  <si>
    <t xml:space="preserve">优先 500km 内或具备铁路/水运的供应商；到厂价结算；消费地保持 30 天库存。</t>
  </si>
  <si>
    <t xml:space="preserve">S22/S23</t>
  </si>
  <si>
    <t xml:space="preserve">贸易流向为历史格局 + 当前判断</t>
  </si>
  <si>
    <t xml:space="preserve">V5</t>
  </si>
  <si>
    <t xml:space="preserve">需求端玻璃承压，轻碱更有韧性</t>
  </si>
  <si>
    <t xml:space="preserve">2025 年表观消费 3,740 万吨（-1.4%）；浮法/光伏玻璃承压，轻碱受碳酸锂、味精、洗涤剂支撑；出口 219.4 万吨（+79.7%）创历史新高。</t>
  </si>
  <si>
    <t xml:space="preserve">重碱供应商需看玻璃客户结构；轻碱供应商需看新能源/消费订单；出口是过剩泄压阀。</t>
  </si>
  <si>
    <t xml:space="preserve">S10/S3/S14</t>
  </si>
  <si>
    <t xml:space="preserve">表观消费为测算值</t>
  </si>
  <si>
    <t xml:space="preserve">V6</t>
  </si>
  <si>
    <t xml:space="preserve">2028 年才是下一轮大变量</t>
  </si>
  <si>
    <t xml:space="preserve">2027 年无大型新增；2028 年中盐通辽 500 + 海化 100（净减 20）。若需求温和修复，2027 年可能出现阶段性紧平衡。</t>
  </si>
  <si>
    <t xml:space="preserve">2026–2027 年以存量博弈为主；2028 年前逐步引入新源、锁定低成本量。</t>
  </si>
  <si>
    <t xml:space="preserve">中</t>
  </si>
  <si>
    <t xml:space="preserve">S11/S24/S27</t>
  </si>
  <si>
    <t xml:space="preserve">项目投产存在延期风险</t>
  </si>
  <si>
    <t xml:space="preserve">读法：置信度「高」= 有年报/公告直接支撑；「中高」= 多来源交叉；「中」= 方向明确但时点/净增存在不确定性。证据列中的 S 编号对应「11_来源与口径」。</t>
  </si>
  <si>
    <t xml:space="preserve">企业产能表</t>
  </si>
  <si>
    <t xml:space="preserve">24 集团 / 32 基地：集团、基地、工艺与产能</t>
  </si>
  <si>
    <t xml:space="preserve">单位：万吨/年  ·  基准年样本合计 3,570（覆盖 79.9%）</t>
  </si>
  <si>
    <t xml:space="preserve">集团</t>
  </si>
  <si>
    <t xml:space="preserve">生产基地</t>
  </si>
  <si>
    <t xml:space="preserve">省份</t>
  </si>
  <si>
    <t xml:space="preserve">城市</t>
  </si>
  <si>
    <t xml:space="preserve">工艺</t>
  </si>
  <si>
    <t xml:space="preserve">基准年产能</t>
  </si>
  <si>
    <t xml:space="preserve">2026E产能</t>
  </si>
  <si>
    <t xml:space="preserve">变化</t>
  </si>
  <si>
    <t xml:space="preserve">产品</t>
  </si>
  <si>
    <t xml:space="preserve">主要原料</t>
  </si>
  <si>
    <t xml:space="preserve">状态</t>
  </si>
  <si>
    <t xml:space="preserve">上市代码</t>
  </si>
  <si>
    <t xml:space="preserve">数据来源</t>
  </si>
  <si>
    <t xml:space="preserve">博源化工</t>
  </si>
  <si>
    <t xml:space="preserve">阿拉善塔木素</t>
  </si>
  <si>
    <t xml:space="preserve">内蒙古</t>
  </si>
  <si>
    <t xml:space="preserve">阿拉善盟</t>
  </si>
  <si>
    <t xml:space="preserve">天然碱</t>
  </si>
  <si>
    <t xml:space="preserve">重碱 / 轻碱 / 小苏打</t>
  </si>
  <si>
    <t xml:space="preserve">天然碱矿</t>
  </si>
  <si>
    <t xml:space="preserve">在产</t>
  </si>
  <si>
    <t xml:space="preserve">000683</t>
  </si>
  <si>
    <t xml:space="preserve">博源化工2025年报</t>
  </si>
  <si>
    <t xml:space="preserve">二期280万吨2025-12投料，2026年爬坡；规划纯碱780万吨+小苏打80万吨</t>
  </si>
  <si>
    <t xml:space="preserve">桐柏安棚/吴城</t>
  </si>
  <si>
    <t xml:space="preserve">河南</t>
  </si>
  <si>
    <t xml:space="preserve">南阳市</t>
  </si>
  <si>
    <t xml:space="preserve">中源化学；与阿拉善合计在产680万吨，二期后960万吨</t>
  </si>
  <si>
    <t xml:space="preserve">中盐化工</t>
  </si>
  <si>
    <t xml:space="preserve">德令哈</t>
  </si>
  <si>
    <t xml:space="preserve">青海</t>
  </si>
  <si>
    <t xml:space="preserve">海西州</t>
  </si>
  <si>
    <t xml:space="preserve">氨碱</t>
  </si>
  <si>
    <t xml:space="preserve">重碱 / 轻碱</t>
  </si>
  <si>
    <t xml:space="preserve">原盐 / 石灰石 / 焦炭</t>
  </si>
  <si>
    <t xml:space="preserve">600328</t>
  </si>
  <si>
    <t xml:space="preserve">中盐化工2025年报</t>
  </si>
  <si>
    <t xml:space="preserve">昆仑碱业155 + 发投碱业140；2025年产能利用率107%–108%</t>
  </si>
  <si>
    <t xml:space="preserve">吉兰泰</t>
  </si>
  <si>
    <t xml:space="preserve">盐碱分公司；2025年产能利用率133.8%</t>
  </si>
  <si>
    <t xml:space="preserve">昆山</t>
  </si>
  <si>
    <t xml:space="preserve">江苏</t>
  </si>
  <si>
    <t xml:space="preserve">苏州市</t>
  </si>
  <si>
    <t xml:space="preserve">联碱</t>
  </si>
  <si>
    <t xml:space="preserve">重碱 / 轻碱 / 氯化铵</t>
  </si>
  <si>
    <t xml:space="preserve">原盐 / 合成氨</t>
  </si>
  <si>
    <t xml:space="preserve">中盐昆山；2025年产能利用率132.6%</t>
  </si>
  <si>
    <t xml:space="preserve">金山化工</t>
  </si>
  <si>
    <t xml:space="preserve">舞阳</t>
  </si>
  <si>
    <t xml:space="preserve">漯河市</t>
  </si>
  <si>
    <t xml:space="preserve">未上市</t>
  </si>
  <si>
    <t xml:space="preserve">公开报道/行业报告</t>
  </si>
  <si>
    <t xml:space="preserve">孟州、获嘉厂区2024年退出；340万吨为公开口径，含金大地等基地</t>
  </si>
  <si>
    <t xml:space="preserve">三友化工</t>
  </si>
  <si>
    <t xml:space="preserve">唐山南堡</t>
  </si>
  <si>
    <t xml:space="preserve">河北</t>
  </si>
  <si>
    <t xml:space="preserve">唐山市</t>
  </si>
  <si>
    <t xml:space="preserve">600409</t>
  </si>
  <si>
    <t xml:space="preserve">三友化工2025年报</t>
  </si>
  <si>
    <t xml:space="preserve">本部230万吨；产能利用率85.4%</t>
  </si>
  <si>
    <t xml:space="preserve">青海五彩</t>
  </si>
  <si>
    <t xml:space="preserve">青海五彩碱业110万吨；2025年利用率111.5%</t>
  </si>
  <si>
    <t xml:space="preserve">山东海化</t>
  </si>
  <si>
    <t xml:space="preserve">潍坊</t>
  </si>
  <si>
    <t xml:space="preserve">山东</t>
  </si>
  <si>
    <t xml:space="preserve">潍坊市</t>
  </si>
  <si>
    <t xml:space="preserve">000822</t>
  </si>
  <si>
    <t xml:space="preserve">山东海化2025年报</t>
  </si>
  <si>
    <t xml:space="preserve">产能利用率97.3%；2026-2028年氨碱改联碱，净减20万吨</t>
  </si>
  <si>
    <t xml:space="preserve">和邦生物</t>
  </si>
  <si>
    <t xml:space="preserve">乐山</t>
  </si>
  <si>
    <t xml:space="preserve">四川</t>
  </si>
  <si>
    <t xml:space="preserve">乐山市</t>
  </si>
  <si>
    <t xml:space="preserve">原盐 / 天然气 / 合成氨</t>
  </si>
  <si>
    <t xml:space="preserve">603077</t>
  </si>
  <si>
    <t xml:space="preserve">和邦生物2025年报</t>
  </si>
  <si>
    <t xml:space="preserve">125万吨/年联碱（纯碱+氯化铵）</t>
  </si>
  <si>
    <t xml:space="preserve">云图控股</t>
  </si>
  <si>
    <t xml:space="preserve">应城</t>
  </si>
  <si>
    <t xml:space="preserve">湖北</t>
  </si>
  <si>
    <t xml:space="preserve">孝感市</t>
  </si>
  <si>
    <t xml:space="preserve">井盐 / 合成氨</t>
  </si>
  <si>
    <t xml:space="preserve">爬坡</t>
  </si>
  <si>
    <t xml:space="preserve">002539</t>
  </si>
  <si>
    <t xml:space="preserve">云图控股2025年报</t>
  </si>
  <si>
    <t xml:space="preserve">60万双吨；应城70万吨新装置2025-12点火，2026年爬坡，公司年报尚未计入，口径待确认</t>
  </si>
  <si>
    <t xml:space="preserve">金晶科技</t>
  </si>
  <si>
    <t xml:space="preserve">潍坊海天</t>
  </si>
  <si>
    <t xml:space="preserve">600586</t>
  </si>
  <si>
    <t xml:space="preserve">金晶科技2025年报</t>
  </si>
  <si>
    <t xml:space="preserve">山东海天生物化工150万吨；部分自用玻璃，部分外销</t>
  </si>
  <si>
    <t xml:space="preserve">雪天盐业</t>
  </si>
  <si>
    <t xml:space="preserve">重庆万州</t>
  </si>
  <si>
    <t xml:space="preserve">重庆</t>
  </si>
  <si>
    <t xml:space="preserve">重庆市</t>
  </si>
  <si>
    <t xml:space="preserve">600929</t>
  </si>
  <si>
    <t xml:space="preserve">雪天盐业2025年报</t>
  </si>
  <si>
    <t xml:space="preserve">湘渝盐化100万吨；2025年产量101.68万吨</t>
  </si>
  <si>
    <t xml:space="preserve">衡阳衡东</t>
  </si>
  <si>
    <t xml:space="preserve">湖南</t>
  </si>
  <si>
    <t xml:space="preserve">衡阳市</t>
  </si>
  <si>
    <t xml:space="preserve">在建</t>
  </si>
  <si>
    <t xml:space="preserve">公司公告/衡阳工信局</t>
  </si>
  <si>
    <t xml:space="preserve">100万吨联碱；置换80万吨旧产能，净增约20万吨；投产时间存在延期</t>
  </si>
  <si>
    <t xml:space="preserve">苏盐井神</t>
  </si>
  <si>
    <t xml:space="preserve">淮安</t>
  </si>
  <si>
    <t xml:space="preserve">淮安市</t>
  </si>
  <si>
    <t xml:space="preserve">603299</t>
  </si>
  <si>
    <t xml:space="preserve">70万吨/年；盐碱一体化</t>
  </si>
  <si>
    <t xml:space="preserve">华昌化工</t>
  </si>
  <si>
    <t xml:space="preserve">张家港</t>
  </si>
  <si>
    <t xml:space="preserve">煤 / 原盐 / 合成氨</t>
  </si>
  <si>
    <t xml:space="preserve">002274</t>
  </si>
  <si>
    <t xml:space="preserve">华昌化工2025年报</t>
  </si>
  <si>
    <t xml:space="preserve">70万吨；2025年产能利用率97%</t>
  </si>
  <si>
    <t xml:space="preserve">双环科技</t>
  </si>
  <si>
    <t xml:space="preserve">000707</t>
  </si>
  <si>
    <t xml:space="preserve">双环科技2025年报</t>
  </si>
  <si>
    <t xml:space="preserve">110万吨；2025年利用率108.4%；30万吨扩能口径未单列</t>
  </si>
  <si>
    <t xml:space="preserve">湖北宜化</t>
  </si>
  <si>
    <t xml:space="preserve">宜昌</t>
  </si>
  <si>
    <t xml:space="preserve">宜昌市</t>
  </si>
  <si>
    <t xml:space="preserve">000422</t>
  </si>
  <si>
    <t xml:space="preserve">110万吨/年；宜化集团</t>
  </si>
  <si>
    <t xml:space="preserve">连云港碱业</t>
  </si>
  <si>
    <t xml:space="preserve">连云港</t>
  </si>
  <si>
    <t xml:space="preserve">连云港市</t>
  </si>
  <si>
    <t xml:space="preserve">公开报道/生意社</t>
  </si>
  <si>
    <t xml:space="preserve">2025-05投产；搬迁置换旧氨碱130万吨，净减20万吨</t>
  </si>
  <si>
    <t xml:space="preserve">江苏德邦</t>
  </si>
  <si>
    <t xml:space="preserve">2025-03投产；60万吨新增联碱</t>
  </si>
  <si>
    <t xml:space="preserve">渤化永利</t>
  </si>
  <si>
    <t xml:space="preserve">天津滨海</t>
  </si>
  <si>
    <t xml:space="preserve">天津</t>
  </si>
  <si>
    <t xml:space="preserve">天津市</t>
  </si>
  <si>
    <t xml:space="preserve">红三角品牌；老厂，成本与环保压力较大</t>
  </si>
  <si>
    <t xml:space="preserve">实联化工</t>
  </si>
  <si>
    <t xml:space="preserve">110万吨/年；台资背景</t>
  </si>
  <si>
    <t xml:space="preserve">江西晶昊</t>
  </si>
  <si>
    <t xml:space="preserve">樟树</t>
  </si>
  <si>
    <t xml:space="preserve">江西</t>
  </si>
  <si>
    <t xml:space="preserve">宜春市</t>
  </si>
  <si>
    <t xml:space="preserve">65万吨/年；江盐集团</t>
  </si>
  <si>
    <t xml:space="preserve">南方碱业</t>
  </si>
  <si>
    <t xml:space="preserve">广州</t>
  </si>
  <si>
    <t xml:space="preserve">广东</t>
  </si>
  <si>
    <t xml:space="preserve">广州市</t>
  </si>
  <si>
    <t xml:space="preserve">卤水 / 石灰石 / 煤</t>
  </si>
  <si>
    <t xml:space="preserve">60万吨/年；可能受雪天衡阳整合影响，需跟踪</t>
  </si>
  <si>
    <t xml:space="preserve">大化集团</t>
  </si>
  <si>
    <t xml:space="preserve">大连</t>
  </si>
  <si>
    <t xml:space="preserve">辽宁</t>
  </si>
  <si>
    <t xml:space="preserve">大连市</t>
  </si>
  <si>
    <t xml:space="preserve">60万吨/年；老厂</t>
  </si>
  <si>
    <t xml:space="preserve">山东新龙</t>
  </si>
  <si>
    <t xml:space="preserve">60万吨/年；寿光/潍坊区域</t>
  </si>
  <si>
    <t xml:space="preserve">中天碱业</t>
  </si>
  <si>
    <t xml:space="preserve">桐柏</t>
  </si>
  <si>
    <t xml:space="preserve">30万吨纯碱+10万吨小苏打；桐柏天然碱矿</t>
  </si>
  <si>
    <t xml:space="preserve">河南骏化</t>
  </si>
  <si>
    <t xml:space="preserve">驻马店</t>
  </si>
  <si>
    <t xml:space="preserve">驻马店市</t>
  </si>
  <si>
    <t xml:space="preserve">80万吨/年；昊华骏化</t>
  </si>
  <si>
    <t xml:space="preserve">中盐红四方</t>
  </si>
  <si>
    <t xml:space="preserve">合肥</t>
  </si>
  <si>
    <t xml:space="preserve">安徽</t>
  </si>
  <si>
    <t xml:space="preserve">合肥市</t>
  </si>
  <si>
    <t xml:space="preserve">公开报道/募集说明书</t>
  </si>
  <si>
    <t xml:space="preserve">30万吨/年；中盐集团旗下</t>
  </si>
  <si>
    <t xml:space="preserve">潜江</t>
  </si>
  <si>
    <t xml:space="preserve">潜江市</t>
  </si>
  <si>
    <t xml:space="preserve">公司公告/公开报道</t>
  </si>
  <si>
    <t xml:space="preserve">150万吨纯碱（搬迁产能），2026H2；净增取决于河南老装置退出，不能按150万吨净增理解</t>
  </si>
  <si>
    <t xml:space="preserve">通辽奈曼</t>
  </si>
  <si>
    <t xml:space="preserve">通辽市</t>
  </si>
  <si>
    <t xml:space="preserve">拟建</t>
  </si>
  <si>
    <t xml:space="preserve">公司公告</t>
  </si>
  <si>
    <t xml:space="preserve">500万吨/年；2026年开工，建设期24个月，目标2028年投产、2029年达产；3×120重碱+1×120轻碱+20小苏打</t>
  </si>
  <si>
    <t xml:space="preserve">潍坊改造</t>
  </si>
  <si>
    <t xml:space="preserve">公司公告/行业报道</t>
  </si>
  <si>
    <t xml:space="preserve">100万吨联碱置换120万吨氨碱，2026-10开工，2028-10投产，净减20万吨</t>
  </si>
  <si>
    <t xml:space="preserve">样本合计 / 覆盖率</t>
  </si>
  <si>
    <t xml:space="preserve">覆盖 79.9%</t>
  </si>
  <si>
    <t xml:space="preserve">口径：① 本表为公开披露的企业/基地样本，上方合计行为实际加总；覆盖率 = 样本合计 ÷ 全国 4,468 万吨/年 = 79.9%；未披露的小型企业未分摊。② 产能为名义/设计能力，不等于可售量。③「变化」= 预测年产能 − 基准年产能，正数为扩产，负数为退出/置换减少。④ 来源为空时标「未核实」，不得当作已核实的数字使用。</t>
  </si>
  <si>
    <t xml:space="preserve">15 个生产省份：产能、集中度、贸易活跃度与下游</t>
  </si>
  <si>
    <t xml:space="preserve">样本口径  ·  基准年合计 3,570 万吨/年  ·  区域 HHI 1171.7</t>
  </si>
  <si>
    <t xml:space="preserve">集团数</t>
  </si>
  <si>
    <t xml:space="preserve">基地数</t>
  </si>
  <si>
    <t xml:space="preserve">占比</t>
  </si>
  <si>
    <t xml:space="preserve">2026E占比</t>
  </si>
  <si>
    <t xml:space="preserve">贸易活跃度</t>
  </si>
  <si>
    <t xml:space="preserve">主要下游 / 流向</t>
  </si>
  <si>
    <t xml:space="preserve">代表企业</t>
  </si>
  <si>
    <t xml:space="preserve">枢纽 / 园区</t>
  </si>
  <si>
    <t xml:space="preserve">B</t>
  </si>
  <si>
    <t xml:space="preserve">玻璃/化工/化肥，本地消化+华东调出</t>
  </si>
  <si>
    <t xml:space="preserve">中天碱业、博源化工、河南骏化、金山化工</t>
  </si>
  <si>
    <t xml:space="preserve">漯河、南阳、驻马店</t>
  </si>
  <si>
    <t xml:space="preserve">C</t>
  </si>
  <si>
    <t xml:space="preserve">电解铝/化工/玻璃（本地有限），以调出为主</t>
  </si>
  <si>
    <t xml:space="preserve">中盐化工、博源化工</t>
  </si>
  <si>
    <t xml:space="preserve">阿拉善、通辽</t>
  </si>
  <si>
    <t xml:space="preserve">A</t>
  </si>
  <si>
    <t xml:space="preserve">玻璃/化工/出口，港口+铁路</t>
  </si>
  <si>
    <t xml:space="preserve">山东新龙、山东海化、金晶科技</t>
  </si>
  <si>
    <t xml:space="preserve">潍坊、淄博</t>
  </si>
  <si>
    <t xml:space="preserve">玻璃/化工/出口，长江+港口</t>
  </si>
  <si>
    <t xml:space="preserve">中盐化工、华昌化工、实联化工、江苏德邦…</t>
  </si>
  <si>
    <t xml:space="preserve">连云港、淮安、张家港、昆山</t>
  </si>
  <si>
    <t xml:space="preserve">本地有限，铁路调出至华东/华南</t>
  </si>
  <si>
    <t xml:space="preserve">三友化工、中盐化工</t>
  </si>
  <si>
    <t xml:space="preserve">玻璃/化工/化肥，长江中游</t>
  </si>
  <si>
    <t xml:space="preserve">云图控股、双环科技、湖北宜化、金山化工</t>
  </si>
  <si>
    <t xml:space="preserve">应城、宜昌、潜江</t>
  </si>
  <si>
    <t xml:space="preserve">沙河玻璃集群，重碱核心消费地</t>
  </si>
  <si>
    <t xml:space="preserve">唐山、沙河</t>
  </si>
  <si>
    <t xml:space="preserve">玻璃/新能源/化工</t>
  </si>
  <si>
    <t xml:space="preserve">玻璃/化工，长江上游</t>
  </si>
  <si>
    <t xml:space="preserve">万州</t>
  </si>
  <si>
    <t xml:space="preserve">玻璃/化工/出口</t>
  </si>
  <si>
    <t xml:space="preserve">滨海</t>
  </si>
  <si>
    <t xml:space="preserve">玻璃/化工/陶瓷</t>
  </si>
  <si>
    <t xml:space="preserve">玻璃/化工/进口，价格高地</t>
  </si>
  <si>
    <t xml:space="preserve">玻璃/化工/东北</t>
  </si>
  <si>
    <t xml:space="preserve">玻璃/化工/新能源</t>
  </si>
  <si>
    <t xml:space="preserve">玻璃/化工，承接华南/华中</t>
  </si>
  <si>
    <t xml:space="preserve">衡阳</t>
  </si>
  <si>
    <t xml:space="preserve">样本合计</t>
  </si>
  <si>
    <t xml:space="preserve">全国覆盖率 79.9%</t>
  </si>
  <si>
    <t xml:space="preserve">口径：① 区域产能为样本企业加总，低于全国总产能，差额为未披露的中小企业。② 贸易活跃度 A/B/C 为定性分级（A=交易活跃/贸易商密集，B=中等，C=直供为主）；按省贸易商数量无公开统计，本表不做估算，缺口见「10_数据缺口」。③ 区域 HHI 越高说明越依赖个别省份，采购半径内可替代供应商越少。</t>
  </si>
  <si>
    <t xml:space="preserve">各工艺的产能、原料、单耗、成本与风险</t>
  </si>
  <si>
    <t xml:space="preserve">基准年产能结构  ·  单位：万吨/年</t>
  </si>
  <si>
    <t xml:space="preserve">主要企业</t>
  </si>
  <si>
    <t xml:space="preserve">单耗 / 副产</t>
  </si>
  <si>
    <t xml:space="preserve">能耗</t>
  </si>
  <si>
    <t xml:space="preserve">成本区间</t>
  </si>
  <si>
    <t xml:space="preserve">优势</t>
  </si>
  <si>
    <t xml:space="preserve">风险</t>
  </si>
  <si>
    <t xml:space="preserve">联碱法</t>
  </si>
  <si>
    <t xml:space="preserve">金山、中盐昆山、和邦、云图、双环、宜化、连云港碱业、德邦、实联、金晶、雪天</t>
  </si>
  <si>
    <t xml:space="preserve">原盐 + 合成氨 + CO₂</t>
  </si>
  <si>
    <t xml:space="preserve">原盐1.2-1.4t/t；合成氨0.30-0.35t/t；副产氯化铵1.0-1.1t/t</t>
  </si>
  <si>
    <t xml:space="preserve">中高；合成氨环节为主</t>
  </si>
  <si>
    <t xml:space="preserve">1,050–1,200</t>
  </si>
  <si>
    <t xml:space="preserve">原盐利用率高、无废液外排、氯化铵分摊成本</t>
  </si>
  <si>
    <t xml:space="preserve">氯化铵价格与合成氨成本；环保/能耗限制新增</t>
  </si>
  <si>
    <t xml:space="preserve">氨碱法</t>
  </si>
  <si>
    <t xml:space="preserve">中盐德令哈/吉兰泰、三友本部/青海、山东海化、渤化永利、晶昊、南方碱业、大化</t>
  </si>
  <si>
    <t xml:space="preserve">原盐 + 石灰石 + 焦炭 + 氨</t>
  </si>
  <si>
    <t xml:space="preserve">原盐1.2-1.5t/t；石灰石1.2-1.5t/t；焦炭0.4-0.5t/t</t>
  </si>
  <si>
    <t xml:space="preserve">高；蒸馏/煅烧/灰窑</t>
  </si>
  <si>
    <t xml:space="preserve">1,300–1,500</t>
  </si>
  <si>
    <t xml:space="preserve">技术成熟、产品质量稳定、适合玻璃级</t>
  </si>
  <si>
    <t xml:space="preserve">成本最高、白泥处置、能耗双控、新增受限</t>
  </si>
  <si>
    <t xml:space="preserve">天然碱法</t>
  </si>
  <si>
    <t xml:space="preserve">博源（阿拉善/桐柏）、中天碱业、其他天然碱企业</t>
  </si>
  <si>
    <t xml:space="preserve">天然碱矿 + 水/电</t>
  </si>
  <si>
    <t xml:space="preserve">矿石1.5-2.0t/t（品位差异）；无合成氨/石灰石</t>
  </si>
  <si>
    <t xml:space="preserve">低；物理溶解/结晶/煅烧</t>
  </si>
  <si>
    <t xml:space="preserve">800–1,000</t>
  </si>
  <si>
    <t xml:space="preserve">成本最低、能耗最低、绿色；资源稀缺</t>
  </si>
  <si>
    <t xml:space="preserve">资源与水源集中、远距离运输、矿权/环保</t>
  </si>
  <si>
    <t xml:space="preserve">合计</t>
  </si>
  <si>
    <t xml:space="preserve">全国 4,468</t>
  </si>
  <si>
    <t xml:space="preserve">ADC 副产法约 40 万吨（0.9%），规模小，未单列；其口径可能已含在联碱/其他中，避免重复计算。 工艺不是「越新越好」：每种路线都受资源、副产、环保或能耗约束；采购前应确认供应商的实际路线与原料自给率。</t>
  </si>
  <si>
    <t xml:space="preserve">原料单耗、成本区间与当前价格位置</t>
  </si>
  <si>
    <t xml:space="preserve">成本单位：元/吨（含税）  ·  单耗为行业经验值，非企业实测</t>
  </si>
  <si>
    <t xml:space="preserve">原料单耗与副产（行业经验值）</t>
  </si>
  <si>
    <t xml:space="preserve">工艺 / 原料</t>
  </si>
  <si>
    <t xml:space="preserve">单耗</t>
  </si>
  <si>
    <t xml:space="preserve">副产</t>
  </si>
  <si>
    <t xml:space="preserve">能耗与备注</t>
  </si>
  <si>
    <t xml:space="preserve">氯化铵（约1:1）</t>
  </si>
  <si>
    <t xml:space="preserve">氯化钙（约1.0-1.2t/t）、白泥</t>
  </si>
  <si>
    <t xml:space="preserve">小苏打等</t>
  </si>
  <si>
    <t xml:space="preserve">成本区间与当前价格位置</t>
  </si>
  <si>
    <t xml:space="preserve">成本低</t>
  </si>
  <si>
    <t xml:space="preserve">成本高</t>
  </si>
  <si>
    <t xml:space="preserve">中值</t>
  </si>
  <si>
    <t xml:space="preserve">当前价 1,063</t>
  </si>
  <si>
    <t xml:space="preserve">位于成本区间内</t>
  </si>
  <si>
    <t xml:space="preserve">低于成本下限，普遍亏损</t>
  </si>
  <si>
    <t xml:space="preserve">高于成本上限，仍有利润</t>
  </si>
  <si>
    <t xml:space="preserve">说明：① 单耗为行业经验值，用于理解成本结构，不能用于结算或成本审计。② 成本区间来自公开报道/行业研究，不同基地的原料、能源、折旧、副产收益差异很大。③「当前价」位置只说明相对盈亏，不代表可以据此压价——还要看交付半径与供应保障。</t>
  </si>
  <si>
    <t xml:space="preserve">新建 / 扩建 / 技改 / 置换：毛产能、净影响与投产节奏</t>
  </si>
  <si>
    <t xml:space="preserve">单位：万吨/年  ·  毛产能 ≠ 净增  ·  置换/搬迁项目需逐项还原</t>
  </si>
  <si>
    <t xml:space="preserve">项目</t>
  </si>
  <si>
    <t xml:space="preserve">毛产能</t>
  </si>
  <si>
    <t xml:space="preserve">项目类型</t>
  </si>
  <si>
    <t xml:space="preserve">时间</t>
  </si>
  <si>
    <t xml:space="preserve">净影响</t>
  </si>
  <si>
    <t xml:space="preserve">进度</t>
  </si>
  <si>
    <t xml:space="preserve">对供给的影响</t>
  </si>
  <si>
    <t xml:space="preserve">江苏德邦联碱</t>
  </si>
  <si>
    <t xml:space="preserve">净新增</t>
  </si>
  <si>
    <t xml:space="preserve">已投产</t>
  </si>
  <si>
    <t xml:space="preserve">2025-03</t>
  </si>
  <si>
    <t xml:space="preserve">+0</t>
  </si>
  <si>
    <t xml:space="preserve">2025年3月投产</t>
  </si>
  <si>
    <t xml:space="preserve">华东沿海供给增加，出口便利。</t>
  </si>
  <si>
    <t xml:space="preserve">生意社2025年新增产能表</t>
  </si>
  <si>
    <t xml:space="preserve">连云港碱业搬迁改造</t>
  </si>
  <si>
    <t xml:space="preserve">搬迁/置换</t>
  </si>
  <si>
    <t xml:space="preserve">2025-05</t>
  </si>
  <si>
    <t xml:space="preserve">-20</t>
  </si>
  <si>
    <t xml:space="preserve">2025年5月投产；旧氨碱130万吨退出</t>
  </si>
  <si>
    <t xml:space="preserve">名义新增110万吨，但行业净减20万吨；不能按净增理解。</t>
  </si>
  <si>
    <t xml:space="preserve">生意社/纯碱工业综述</t>
  </si>
  <si>
    <t xml:space="preserve">湖北双环扩能</t>
  </si>
  <si>
    <t xml:space="preserve">技改/扩能</t>
  </si>
  <si>
    <t xml:space="preserve">2025年5月投产；年报产能仍为110万吨</t>
  </si>
  <si>
    <t xml:space="preserve">华中供给小幅增加；产能统计口径未单列。</t>
  </si>
  <si>
    <t xml:space="preserve">生意社/双环科技年报</t>
  </si>
  <si>
    <t xml:space="preserve">博源阿拉善天然碱二期</t>
  </si>
  <si>
    <t xml:space="preserve">2025-12</t>
  </si>
  <si>
    <t xml:space="preserve">2025年12月投料试车，2026年爬坡</t>
  </si>
  <si>
    <t xml:space="preserve">2026年最大增量来源；低成本天然碱进一步压制合成碱价格。</t>
  </si>
  <si>
    <t xml:space="preserve">博源化工2025年报/公司公告</t>
  </si>
  <si>
    <t xml:space="preserve">应城新都联碱装置</t>
  </si>
  <si>
    <t xml:space="preserve">净新增（口径待确认）</t>
  </si>
  <si>
    <t xml:space="preserve">2025年12月点火，2026年爬坡</t>
  </si>
  <si>
    <t xml:space="preserve">华中供给增加；公司年报仍披露60万双吨，需核实纯碱口径。</t>
  </si>
  <si>
    <t xml:space="preserve">生意社/云图控股年报</t>
  </si>
  <si>
    <t xml:space="preserve">金山湖北潜江项目</t>
  </si>
  <si>
    <t xml:space="preserve">搬迁</t>
  </si>
  <si>
    <t xml:space="preserve">2026H2</t>
  </si>
  <si>
    <t xml:space="preserve">2025年4月开工，计划2026年下半年</t>
  </si>
  <si>
    <t xml:space="preserve">150万吨为搬迁产能；若河南老装置同步退出，净增可能远低于150万吨。</t>
  </si>
  <si>
    <t xml:space="preserve">潜江项目开工报道</t>
  </si>
  <si>
    <t xml:space="preserve">雪天衡阳绿色盐碱基地</t>
  </si>
  <si>
    <t xml:space="preserve">置换</t>
  </si>
  <si>
    <t xml:space="preserve">2026H2-2027</t>
  </si>
  <si>
    <t xml:space="preserve">2023年开工，原计划2025-12，现延期</t>
  </si>
  <si>
    <t xml:space="preserve">100万吨置换80万吨旧产能，净增约20万吨；投产时点不确定。</t>
  </si>
  <si>
    <t xml:space="preserve">衡阳工信局/雪天年报</t>
  </si>
  <si>
    <t xml:space="preserve">中盐通辽奈曼天然碱</t>
  </si>
  <si>
    <t xml:space="preserve">2028</t>
  </si>
  <si>
    <t xml:space="preserve">2026年开工，建设期24个月，2028年投产、2029年达产</t>
  </si>
  <si>
    <t xml:space="preserve">2028-2029年最大变量；3×120万吨重碱+1×120万吨轻碱+20万吨小苏打，低成本天然碱。</t>
  </si>
  <si>
    <t xml:space="preserve">中盐化工公告/调研纪要</t>
  </si>
  <si>
    <t xml:space="preserve">山东海化氨碱改联碱</t>
  </si>
  <si>
    <t xml:space="preserve">2028-10</t>
  </si>
  <si>
    <t xml:space="preserve">2026-10开工，建设期24个月</t>
  </si>
  <si>
    <t xml:space="preserve">100万吨联碱置换120万吨氨碱，行业净减20万吨；施工期可能影响供应。</t>
  </si>
  <si>
    <t xml:space="preserve">山东海化公告/行业报道</t>
  </si>
  <si>
    <t xml:space="preserve">读法：① 毛产能是项目规模，不等于可售量；② 置换/搬迁必须扣减退出产能才是净影响；③ 净影响标「待确认」的项目不纳入基准预测，只在上行情景中体现；④ 项目延期很常见，签约前要求供应商披露老装置关停时点与过渡期保供方案。</t>
  </si>
  <si>
    <t xml:space="preserve">毛产能 ≠ 净新增：逐项还原置换、退出与不确定性</t>
  </si>
  <si>
    <t xml:space="preserve">单位：万吨/年  ·  「待确认」不计入基准预测  ·  净影响 = 毛产能 − 置换/退出</t>
  </si>
  <si>
    <t xml:space="preserve">置换/退出</t>
  </si>
  <si>
    <t xml:space="preserve">判断</t>
  </si>
  <si>
    <t xml:space="preserve">—</t>
  </si>
  <si>
    <t xml:space="preserve">判断规则：采购规划只看净增</t>
  </si>
  <si>
    <t xml:space="preserve">① 净新增（新建/扩建）：毛产能可加到可用供给，但要按爬坡节奏打折（通常首年 50%–80%）。
② 置换：净影响 = 新产能 − 退出产能；不能只看新产能。
③ 搬迁：新厂投产 ≠ 老厂立即关停；必须确认关停时点、过渡期保供与库存安排。
④ 待确认：不纳入基准预测，只在敏感性/上行情景中体现；签约前要求企业书面确认。
⑤ 没有项目的年份往往比有项目的年份更紧张——供给增量断档会放大检修与补库的影响。</t>
  </si>
  <si>
    <t xml:space="preserve">用法：把「净影响」列作为供应规划输入；把「待确认」项列成一张跟踪清单，每月核对一次项目公告与产能置换公示。</t>
  </si>
  <si>
    <t xml:space="preserve">单位：元/吨（含税）  ·  峰值与均价区分标注  ·  当前价 1,063</t>
  </si>
  <si>
    <t xml:space="preserve">年度价格</t>
  </si>
  <si>
    <t xml:space="preserve">年份</t>
  </si>
  <si>
    <t xml:space="preserve">均价 / 中枢</t>
  </si>
  <si>
    <t xml:space="preserve">低点</t>
  </si>
  <si>
    <t xml:space="preserve">高点</t>
  </si>
  <si>
    <t xml:space="preserve">说明</t>
  </si>
  <si>
    <t xml:space="preserve">2021-10重碱峰值3,681；2021-11轻碱峰值3,687.5</t>
  </si>
  <si>
    <t xml:space="preserve">重碱终端均价2,859（卓创）</t>
  </si>
  <si>
    <t xml:space="preserve">年末轻碱2,600-2,850、重碱2,700-2,900；年均按2024同比倒推</t>
  </si>
  <si>
    <t xml:space="preserve">重碱均价1,953；年初轻碱2,790、年末1,528</t>
  </si>
  <si>
    <t xml:space="preserve">沙河重碱年均1,275；年初1,528、年末1,250</t>
  </si>
  <si>
    <t xml:space="preserve">2026YTD中枢约1,100；10月生意社重碱1,063、沙河942</t>
  </si>
  <si>
    <t xml:space="preserve">价格为含税公开报价；2021 年 3,681 为 10 月重碱峰值，不是全年均价；2023 年均按 2024 同比倒推，标注为约数；2026 年为 1–10 月 YTD 中枢，不是全年预测。</t>
  </si>
  <si>
    <t xml:space="preserve">单位：元/吨（含税）</t>
  </si>
  <si>
    <t xml:space="preserve">阶段复盘</t>
  </si>
  <si>
    <t xml:space="preserve">阶段</t>
  </si>
  <si>
    <t xml:space="preserve">主规格</t>
  </si>
  <si>
    <t xml:space="preserve">副规格</t>
  </si>
  <si>
    <t xml:space="preserve">均价 / 区间</t>
  </si>
  <si>
    <t xml:space="preserve">涨跌</t>
  </si>
  <si>
    <t xml:space="preserve">主要驱动</t>
  </si>
  <si>
    <t xml:space="preserve">2021 高潮</t>
  </si>
  <si>
    <t xml:space="preserve">2021-01 ~ 2021-11</t>
  </si>
  <si>
    <t xml:space="preserve">最高3,687.5</t>
  </si>
  <si>
    <t xml:space="preserve">最高3,681</t>
  </si>
  <si>
    <t xml:space="preserve">年末回落至2,200左右</t>
  </si>
  <si>
    <t xml:space="preserve">+126.7%（期货主力，年初至10月）</t>
  </si>
  <si>
    <t xml:space="preserve">能耗双控、光伏玻璃爆发、低库存、期货挤仓</t>
  </si>
  <si>
    <t xml:space="preserve">生意社/信达证券</t>
  </si>
  <si>
    <t xml:space="preserve">2022 高位</t>
  </si>
  <si>
    <t xml:space="preserve">2022全年</t>
  </si>
  <si>
    <t xml:space="preserve">约2,700-3,000</t>
  </si>
  <si>
    <t xml:space="preserve">均价2,859</t>
  </si>
  <si>
    <t xml:space="preserve">2,400-3,200</t>
  </si>
  <si>
    <t xml:space="preserve">高位震荡</t>
  </si>
  <si>
    <t xml:space="preserve">供给紧平衡、能源价格高位、光伏需求强</t>
  </si>
  <si>
    <t xml:space="preserve">卓创资讯</t>
  </si>
  <si>
    <t xml:space="preserve">2023 W型</t>
  </si>
  <si>
    <t xml:space="preserve">2023全年</t>
  </si>
  <si>
    <t xml:space="preserve">年末2,600-2,850</t>
  </si>
  <si>
    <t xml:space="preserve">年末2,700-2,900</t>
  </si>
  <si>
    <t xml:space="preserve">年均约2,775</t>
  </si>
  <si>
    <t xml:space="preserve">年初2,648→年末2,790（+5.4%）</t>
  </si>
  <si>
    <t xml:space="preserve">新增产能预期与现实的反复；Q4起下行</t>
  </si>
  <si>
    <t xml:space="preserve">生意社/卓创</t>
  </si>
  <si>
    <t xml:space="preserve">2024 下行</t>
  </si>
  <si>
    <t xml:space="preserve">2024全年</t>
  </si>
  <si>
    <t xml:space="preserve">年初2,790→年末1,528</t>
  </si>
  <si>
    <t xml:space="preserve">均价1,953</t>
  </si>
  <si>
    <t xml:space="preserve">1,317-2,790</t>
  </si>
  <si>
    <t xml:space="preserve">-45.2%（轻碱年初至年末）</t>
  </si>
  <si>
    <t xml:space="preserve">远兴一期达产、金山扩产、需求走弱、库存累积</t>
  </si>
  <si>
    <t xml:space="preserve">2025 熊市</t>
  </si>
  <si>
    <t xml:space="preserve">2025全年</t>
  </si>
  <si>
    <t xml:space="preserve">年初1,528→年末1,250</t>
  </si>
  <si>
    <t xml:space="preserve">沙河年均1,275</t>
  </si>
  <si>
    <t xml:space="preserve">1,130-1,528</t>
  </si>
  <si>
    <t xml:space="preserve">-18.2%（生意社均价）</t>
  </si>
  <si>
    <t xml:space="preserve">新增550万吨、光伏冷修、高库存、出口放量</t>
  </si>
  <si>
    <t xml:space="preserve">生意社</t>
  </si>
  <si>
    <t xml:space="preserve">2026 磨底</t>
  </si>
  <si>
    <t xml:space="preserve">2026-01 ~ 2026-10</t>
  </si>
  <si>
    <t xml:space="preserve">约1,050</t>
  </si>
  <si>
    <t xml:space="preserve">生意社1,063；沙河942；华东1,150；华南1,250</t>
  </si>
  <si>
    <t xml:space="preserve">942-1,250</t>
  </si>
  <si>
    <t xml:space="preserve">年初约1,250→10月1,063（-15%）</t>
  </si>
  <si>
    <t xml:space="preserve">产能集中兑现、库存高位、反内卷预期、检修支撑</t>
  </si>
  <si>
    <t xml:space="preserve">生意社/同花顺/隆众</t>
  </si>
  <si>
    <t xml:space="preserve">区域价格（元/吨（含税））</t>
  </si>
  <si>
    <t xml:space="preserve">区域</t>
  </si>
  <si>
    <t xml:space="preserve">价格</t>
  </si>
  <si>
    <t xml:space="preserve">华东</t>
  </si>
  <si>
    <t xml:space="preserve">江苏/浙江/上海；玻璃与化工集中</t>
  </si>
  <si>
    <t xml:space="preserve">华南</t>
  </si>
  <si>
    <t xml:space="preserve">广东/福建；到货价高，进口/北碱补充</t>
  </si>
  <si>
    <t xml:space="preserve">华北</t>
  </si>
  <si>
    <t xml:space="preserve">河北/天津；沙河玻璃集群</t>
  </si>
  <si>
    <t xml:space="preserve">华中</t>
  </si>
  <si>
    <t xml:space="preserve">湖北/河南；本地供给充足</t>
  </si>
  <si>
    <t xml:space="preserve">西南</t>
  </si>
  <si>
    <t xml:space="preserve">四川/重庆；和邦/湘渝本地供应</t>
  </si>
  <si>
    <t xml:space="preserve">价格判断（未来 6–12 个月）</t>
  </si>
  <si>
    <t xml:space="preserve">基准情景：1,000–1,200 元/吨磨底。下方有天然碱/联碱成本支撑；上方受 162.9 万吨库存与 2026 年新增压制。
上行条件：Q1 补库、Q3 检修、出口超预期、光伏复产；反弹高度看库存去化。
下行风险：需求继续走弱、新增超预期、库存去化失败；可能短暂跌破天然碱成本。
采购含义：指数定价 + 分批采购；保留 10%–20% 现货；不要一次性锁死全年量。</t>
  </si>
  <si>
    <t xml:space="preserve">区域价格为公开主流报价，实际成交受批量、账期、运费、质量影响；价格判断为情景分析，不是预测承诺。</t>
  </si>
  <si>
    <t xml:space="preserve">8 项风险：可能性、影响、证据与动作</t>
  </si>
  <si>
    <t xml:space="preserve">风险等级：高 / 中高 / 中 / 低  ·  按等级从高到低排列</t>
  </si>
  <si>
    <t xml:space="preserve">风险矩阵与动作</t>
  </si>
  <si>
    <t xml:space="preserve">可能性</t>
  </si>
  <si>
    <t xml:space="preserve">影响</t>
  </si>
  <si>
    <t xml:space="preserve">等级</t>
  </si>
  <si>
    <t xml:space="preserve">证据</t>
  </si>
  <si>
    <t xml:space="preserve">采购动作</t>
  </si>
  <si>
    <t xml:space="preserve">建议责任人</t>
  </si>
  <si>
    <t xml:space="preserve">低成本供给高度集中</t>
  </si>
  <si>
    <t xml:space="preserve">天然碱CR1（博源）约70%；天然碱HHI约5,642，远高于行业整体535</t>
  </si>
  <si>
    <t xml:space="preserve">主供不超过50%-60%；把中盐/金山/区域合成碱纳入备供；签订断供赔付与替代方案</t>
  </si>
  <si>
    <t xml:space="preserve">采购 / 计划</t>
  </si>
  <si>
    <t xml:space="preserve">区域集中+长距离物流</t>
  </si>
  <si>
    <t xml:space="preserve">河南/内蒙古/山东/江苏/青海合计约71%样本产能；消费集中在河北/广东/华东</t>
  </si>
  <si>
    <t xml:space="preserve">优先500km内或具备铁路/水运的供应商；到厂价结算；在消费地设30天安全库存</t>
  </si>
  <si>
    <t xml:space="preserve">原料/工艺单一</t>
  </si>
  <si>
    <t xml:space="preserve">天然碱依赖阿拉善矿/水/铁路；联碱依赖合成氨/氯化铵；氨碱依赖石灰石/焦炭/环保</t>
  </si>
  <si>
    <t xml:space="preserve">逐家审核原料自给率与成本曲线；联碱供应商需看氯化铵消纳；氨碱需看白泥/能耗</t>
  </si>
  <si>
    <t xml:space="preserve">新增项目延期/置换不实</t>
  </si>
  <si>
    <t xml:space="preserve">金山潜江150万吨为搬迁、雪天100万吨置换80万吨、海化100万吨置换120万吨</t>
  </si>
  <si>
    <t xml:space="preserve">不按“名义新增”做供应规划；要求供应商披露老装置关停时点；合同设置供应过渡条款</t>
  </si>
  <si>
    <t xml:space="preserve">价格继续下探</t>
  </si>
  <si>
    <t xml:space="preserve">2026年10月重碱942-1,250，已低于联碱/氨碱成本；但库存162.9万吨仍高</t>
  </si>
  <si>
    <t xml:space="preserve">采用“指数+上下限”定价；分批建仓；利用SA期货/期权套保（若合规）</t>
  </si>
  <si>
    <t xml:space="preserve">阶段性反弹/检修</t>
  </si>
  <si>
    <t xml:space="preserve">Q1补库、Q3检修、出口放量可能造成区域性反弹</t>
  </si>
  <si>
    <t xml:space="preserve">年度框架锁量不锁死价；保留10%-20%现货敞口；提前锁定Q1/Q3资源</t>
  </si>
  <si>
    <t xml:space="preserve">质量批次波动</t>
  </si>
  <si>
    <t xml:space="preserve">天然碱与合成碱的粒度、铁含量、水不溶物存在差异；玻璃客户对重碱率敏感</t>
  </si>
  <si>
    <t xml:space="preserve">封样+小试+首批全检；COA每批留存；质量赔付与退换货条款</t>
  </si>
  <si>
    <t xml:space="preserve">环保/能耗/政策</t>
  </si>
  <si>
    <t xml:space="preserve">氨碱/联碱属限制类；能耗标杆、白泥处置、老旧装置淘汰持续推进</t>
  </si>
  <si>
    <t xml:space="preserve">优先天然碱/能效标杆企业；跟踪排污许可、能耗指标、限产公告</t>
  </si>
  <si>
    <t xml:space="preserve">使用方式：① 先按等级排序，锁定 3 个高/中高风险；② 每个动作落到责任人、时间与验收标准；③ 每季度复盘，价格/项目/政策变化时即时更新。策略与模拟器见「07A_采购策略」。</t>
  </si>
  <si>
    <t xml:space="preserve">双源、指数定价、安全库存、质量封样与采购量模拟</t>
  </si>
  <si>
    <t xml:space="preserve">示例比例为默认建议，可按企业实际调整</t>
  </si>
  <si>
    <t xml:space="preserve">策略</t>
  </si>
  <si>
    <t xml:space="preserve">具体做法</t>
  </si>
  <si>
    <t xml:space="preserve">关键条款</t>
  </si>
  <si>
    <t xml:space="preserve">KPI</t>
  </si>
  <si>
    <t xml:space="preserve">双源，但不平均</t>
  </si>
  <si>
    <t xml:space="preserve">主供 55%–65% 低成本天然碱，第二源 25%–35% 区域合成碱，保留 10% 现货。</t>
  </si>
  <si>
    <t xml:space="preserve">主供 ≤65%；备供通过试单/审计；断供赔付；替代供应商 30 天内切换。</t>
  </si>
  <si>
    <t xml:space="preserve">单源依赖度 ≤65%；备供覆盖率 100%</t>
  </si>
  <si>
    <t xml:space="preserve">指数定价 + 上下限</t>
  </si>
  <si>
    <t xml:space="preserve">以生意社/卓创重碱指数为基准，月度调价；设置 ±15% 年度上下限。</t>
  </si>
  <si>
    <t xml:space="preserve">公式、调价频率、上下限、异常波动重谈机制；不含税/含税口径。</t>
  </si>
  <si>
    <t xml:space="preserve">价格偏离市场 ≤3%；年度预算偏差 ≤10%</t>
  </si>
  <si>
    <t xml:space="preserve">30 天安全库存</t>
  </si>
  <si>
    <t xml:space="preserve">消费地 30 天库存；铁路/水运长距离供应商额外 7–10 天。</t>
  </si>
  <si>
    <t xml:space="preserve">库存责任、仓储费、损耗、先进先出；低于安全库存的补货触发。</t>
  </si>
  <si>
    <t xml:space="preserve">断供天数 0；库存周转 8–12 次/年</t>
  </si>
  <si>
    <t xml:space="preserve">封样 + 首批全检</t>
  </si>
  <si>
    <t xml:space="preserve">玻璃级重碱重点看 Fe₂O₃、水不溶物、粒度、重碱率；切换前小试。</t>
  </si>
  <si>
    <t xml:space="preserve">GB/T 210；COA 每批；质量赔付；退换货；第三方检测。</t>
  </si>
  <si>
    <t xml:space="preserve">批次合格率 ≥99%；质量投诉 ≤1 次/年</t>
  </si>
  <si>
    <t xml:space="preserve">建议供应商组合（示例）</t>
  </si>
  <si>
    <t xml:space="preserve">类型</t>
  </si>
  <si>
    <t xml:space="preserve">候选</t>
  </si>
  <si>
    <t xml:space="preserve">作用</t>
  </si>
  <si>
    <t xml:space="preserve">天然碱主供</t>
  </si>
  <si>
    <t xml:space="preserve">博源（阿拉善/桐柏）</t>
  </si>
  <si>
    <t xml:space="preserve">成本锚；大比例年度量</t>
  </si>
  <si>
    <t xml:space="preserve">区域合成碱</t>
  </si>
  <si>
    <t xml:space="preserve">中盐/三友/海化/金晶</t>
  </si>
  <si>
    <t xml:space="preserve">交付保险；质量备份</t>
  </si>
  <si>
    <t xml:space="preserve">华中备供</t>
  </si>
  <si>
    <t xml:space="preserve">金山/云图/双环/宜化</t>
  </si>
  <si>
    <t xml:space="preserve">区域补充；短途灵活</t>
  </si>
  <si>
    <t xml:space="preserve">现货贸易</t>
  </si>
  <si>
    <t xml:space="preserve">贸易商/港口库存</t>
  </si>
  <si>
    <t xml:space="preserve">弹性；应对检修突发</t>
  </si>
  <si>
    <t xml:space="preserve">采购量模拟器（黄底为输入，其余自动计算）</t>
  </si>
  <si>
    <t xml:space="preserve">输入 / 输出</t>
  </si>
  <si>
    <t xml:space="preserve">值</t>
  </si>
  <si>
    <t xml:space="preserve">单位</t>
  </si>
  <si>
    <t xml:space="preserve">年采购量</t>
  </si>
  <si>
    <t xml:space="preserve">万吨</t>
  </si>
  <si>
    <t xml:space="preserve">按实际调整；默认 5 万吨/年</t>
  </si>
  <si>
    <t xml:space="preserve">到厂价</t>
  </si>
  <si>
    <t xml:space="preserve">含税到厂价</t>
  </si>
  <si>
    <t xml:space="preserve">运费</t>
  </si>
  <si>
    <t xml:space="preserve">按采购地调整</t>
  </si>
  <si>
    <t xml:space="preserve">安全库存</t>
  </si>
  <si>
    <t xml:space="preserve">天</t>
  </si>
  <si>
    <t xml:space="preserve">消费地库存天数</t>
  </si>
  <si>
    <t xml:space="preserve">年度采购金额（含运费）</t>
  </si>
  <si>
    <t xml:space="preserve">万元</t>
  </si>
  <si>
    <t xml:space="preserve">年量 × (到厂价 + 运费)</t>
  </si>
  <si>
    <t xml:space="preserve">月度提货量</t>
  </si>
  <si>
    <t xml:space="preserve">吨</t>
  </si>
  <si>
    <t xml:space="preserve">年量 / 12</t>
  </si>
  <si>
    <t xml:space="preserve">安全库存量</t>
  </si>
  <si>
    <t xml:space="preserve">年量 × 天数 / 365</t>
  </si>
  <si>
    <t xml:space="preserve">价格每涨 100 的影响</t>
  </si>
  <si>
    <t xml:space="preserve">万元/年</t>
  </si>
  <si>
    <t xml:space="preserve">年量（万吨）× 100</t>
  </si>
  <si>
    <t xml:space="preserve">模拟器为量级测算，未含增值税、资金占用、仓储、损耗与账期成本。把「年度采购金额」与预算科目对齐，把「价格每涨 100 的影响」作为价格授权与套保额度依据。</t>
  </si>
  <si>
    <t xml:space="preserve">供应商尽调清单</t>
  </si>
  <si>
    <t xml:space="preserve">30 个问题：供应、质量、成本、物流、商务、合规、财务、ESG</t>
  </si>
  <si>
    <t xml:space="preserve">评分 1–5：1=缺失/不可接受，3=基本满足，5=优秀/可验证  ·  权重 1–10</t>
  </si>
  <si>
    <t xml:space="preserve">类别</t>
  </si>
  <si>
    <t xml:space="preserve">尽调问题</t>
  </si>
  <si>
    <t xml:space="preserve">证据 / 文件</t>
  </si>
  <si>
    <t xml:space="preserve">权重</t>
  </si>
  <si>
    <t xml:space="preserve">评分 (1–5)</t>
  </si>
  <si>
    <t xml:space="preserve">加权得分</t>
  </si>
  <si>
    <t xml:space="preserve">供应能力</t>
  </si>
  <si>
    <t xml:space="preserve">现有纯碱产能、产线数量、2025年实际产量与开工率？</t>
  </si>
  <si>
    <t xml:space="preserve">产能表/年报/排产计划/检修记录</t>
  </si>
  <si>
    <t xml:space="preserve">2026年检修计划、最长单次停车天数、备件与人员保障？</t>
  </si>
  <si>
    <t xml:space="preserve">可签年度量、月均可提量、最小/最大批量？</t>
  </si>
  <si>
    <t xml:space="preserve">前五大客户与行业分布？玻璃/新能源/化工占比？</t>
  </si>
  <si>
    <t xml:space="preserve">新建/搬迁项目的产能置换关系、老装置关停时点？</t>
  </si>
  <si>
    <t xml:space="preserve">质量</t>
  </si>
  <si>
    <t xml:space="preserve">执行标准（GB/T 210）、优等品率、COA全项数据？</t>
  </si>
  <si>
    <t xml:space="preserve">COA/检测报告/封样/小试报告</t>
  </si>
  <si>
    <t xml:space="preserve">重碱率、粒度分布、Fe₂O₃、水不溶物、氯化物典型值与波动？</t>
  </si>
  <si>
    <t xml:space="preserve">天然碱/合成碱批次差异，是否可长期稳定满足玻璃级？</t>
  </si>
  <si>
    <t xml:space="preserve">是否接受封样、首批全检、第三方检测与质量赔付？</t>
  </si>
  <si>
    <t xml:space="preserve">成本</t>
  </si>
  <si>
    <t xml:space="preserve">原盐/石灰石/天然碱矿/合成氨/煤炭的自给率与采购结构？</t>
  </si>
  <si>
    <t xml:space="preserve">成本拆解/原料采购合同/能耗数据</t>
  </si>
  <si>
    <t xml:space="preserve">现金成本、完全成本、当前价格下的盈亏？</t>
  </si>
  <si>
    <t xml:space="preserve">联碱企业的氯化铵消纳与价格联动？</t>
  </si>
  <si>
    <t xml:space="preserve">能耗水平、能耗标杆/基准、碳成本？</t>
  </si>
  <si>
    <t xml:space="preserve">物流</t>
  </si>
  <si>
    <t xml:space="preserve">铁路专用线/请车满足率/冬季发运限制？</t>
  </si>
  <si>
    <t xml:space="preserve">铁路专用线/港口协议/运费报价</t>
  </si>
  <si>
    <t xml:space="preserve">水运/港口/码头吨位/装船效率？</t>
  </si>
  <si>
    <t xml:space="preserve">到主要消费地（沙河/华东/华南/湖北/四川）的运费与时效？</t>
  </si>
  <si>
    <t xml:space="preserve">包装（吨包/小袋/散装）、托盘、装卸与破损率？</t>
  </si>
  <si>
    <t xml:space="preserve">商务</t>
  </si>
  <si>
    <t xml:space="preserve">定价公式（指数/月度/一单一议）、调价频率？</t>
  </si>
  <si>
    <t xml:space="preserve">合同草案/价格公式/授信资料</t>
  </si>
  <si>
    <t xml:space="preserve">账期、承兑比例、保证金、履约保函？</t>
  </si>
  <si>
    <t xml:space="preserve">年度框架的量的弹性（±%）与断供赔付？</t>
  </si>
  <si>
    <t xml:space="preserve">出口订单占比、内外销优先级？</t>
  </si>
  <si>
    <t xml:space="preserve">合规</t>
  </si>
  <si>
    <t xml:space="preserve">排污许可证、能耗指标、安全许可、环评批复？</t>
  </si>
  <si>
    <t xml:space="preserve">排污许可证/能耗指标/处罚记录</t>
  </si>
  <si>
    <t xml:space="preserve">近三年环保/安全处罚、诉讼、失信记录？</t>
  </si>
  <si>
    <t xml:space="preserve">白泥/废液/尾矿处置方式与成本？</t>
  </si>
  <si>
    <t xml:space="preserve">财务</t>
  </si>
  <si>
    <t xml:space="preserve">近三年营收/利润/经营现金流/资产负债率？</t>
  </si>
  <si>
    <t xml:space="preserve">审计报告/银行授信/担保明细</t>
  </si>
  <si>
    <t xml:space="preserve">银行授信、到期债务、对外担保？</t>
  </si>
  <si>
    <t xml:space="preserve">关联交易、大股东占款、股权质押？</t>
  </si>
  <si>
    <t xml:space="preserve">ESG</t>
  </si>
  <si>
    <t xml:space="preserve">碳排放核算、绿电比例、社区投诉？</t>
  </si>
  <si>
    <t xml:space="preserve">碳核算/绿电合同/社区记录</t>
  </si>
  <si>
    <t xml:space="preserve">其他</t>
  </si>
  <si>
    <t xml:space="preserve">是否郑商所交割厂库/免检品牌？</t>
  </si>
  <si>
    <t xml:space="preserve">交割厂库资质/客户证明/审厂报告</t>
  </si>
  <si>
    <t xml:space="preserve">能否提供现场审核与客户参观？</t>
  </si>
  <si>
    <t xml:space="preserve">加权得分合计</t>
  </si>
  <si>
    <t xml:space="preserve">满分 = 权重 × 5 之和</t>
  </si>
  <si>
    <t xml:space="preserve">使用建议：① 先桌面审查（年报/公告/COA/许可证），再现场审核；② 每个问题至少留一份可验证证据；③ 评分由采购、质量、工艺、财务四方独立打分后取中位数；④ 加权得分用于横向比较，不能替代试单。</t>
  </si>
  <si>
    <t xml:space="preserve">供应商评分模板</t>
  </si>
  <si>
    <t xml:space="preserve">7 维度权重 + 4 家供应商横向比较</t>
  </si>
  <si>
    <t xml:space="preserve">评分 1–5  ·  黄底为输入  ·  加权总分自动计算  ·  满分 5 分</t>
  </si>
  <si>
    <t xml:space="preserve">评审维度</t>
  </si>
  <si>
    <t xml:space="preserve">评分要点</t>
  </si>
  <si>
    <t xml:space="preserve">供应商 A</t>
  </si>
  <si>
    <t xml:space="preserve">供应商 B</t>
  </si>
  <si>
    <t xml:space="preserve">供应商 C</t>
  </si>
  <si>
    <t xml:space="preserve">供应商 D</t>
  </si>
  <si>
    <t xml:space="preserve">产能规模、开工稳定性、可签年度量、检修保障</t>
  </si>
  <si>
    <t xml:space="preserve">质量与一致性</t>
  </si>
  <si>
    <t xml:space="preserve">重碱率、Fe₂O₃、水不溶物、批次波动、认证</t>
  </si>
  <si>
    <t xml:space="preserve">成本竞争力</t>
  </si>
  <si>
    <t xml:space="preserve">现金成本、原料自给率、成本曲线位置</t>
  </si>
  <si>
    <t xml:space="preserve">物流与交付</t>
  </si>
  <si>
    <t xml:space="preserve">铁路/水运、到厂运费、时效、包装</t>
  </si>
  <si>
    <t xml:space="preserve">商务条件</t>
  </si>
  <si>
    <t xml:space="preserve">价格公式、账期、量的弹性、赔付</t>
  </si>
  <si>
    <t xml:space="preserve">财务与信用</t>
  </si>
  <si>
    <t xml:space="preserve">现金流、负债、授信、履约记录</t>
  </si>
  <si>
    <t xml:space="preserve">合规与ESG</t>
  </si>
  <si>
    <t xml:space="preserve">排污/能耗/安全、处罚、碳成本</t>
  </si>
  <si>
    <t xml:space="preserve">加权总分（满分 5）</t>
  </si>
  <si>
    <t xml:space="preserve">使用说明：① 先给每家供应商打 1–5 分，再乘权重汇总；② 权重可按品类调整；③ 建议至少评 3 家，避免只评「已入围」的供应商；④ 评分前先完成「08_尽调清单」。</t>
  </si>
  <si>
    <t xml:space="preserve">8 项：影响、现状、补齐方式与优先级</t>
  </si>
  <si>
    <t xml:space="preserve">原则：不估算、不拼凑；缺口本身就是采购决策的风险项</t>
  </si>
  <si>
    <t xml:space="preserve">缺口</t>
  </si>
  <si>
    <t xml:space="preserve">当前状态</t>
  </si>
  <si>
    <t xml:space="preserve">补齐方式</t>
  </si>
  <si>
    <t xml:space="preserve">优先级</t>
  </si>
  <si>
    <t xml:space="preserve">建议责任</t>
  </si>
  <si>
    <t xml:space="preserve">建议截止</t>
  </si>
  <si>
    <t xml:space="preserve">按省贸易商数量</t>
  </si>
  <si>
    <t xml:space="preserve">渠道选择、议价与库存管理</t>
  </si>
  <si>
    <t xml:space="preserve">公开统计缺失</t>
  </si>
  <si>
    <t xml:space="preserve">企查查/天眼查付费检索“纯碱贸易/批发”；协会会员名录；港口/物流园访谈</t>
  </si>
  <si>
    <t xml:space="preserve">采购 / 情报</t>
  </si>
  <si>
    <t xml:space="preserve">小型纯碱企业产能（约10家）</t>
  </si>
  <si>
    <t xml:space="preserve">区域产能与集中度被低估</t>
  </si>
  <si>
    <t xml:space="preserve">未逐一披露</t>
  </si>
  <si>
    <t xml:space="preserve">协会统计、环评/能耗公示、省级工信厅产能置换公告</t>
  </si>
  <si>
    <t xml:space="preserve">项目净增 vs 置换</t>
  </si>
  <si>
    <t xml:space="preserve">2026-2028供给预测</t>
  </si>
  <si>
    <t xml:space="preserve">部分项目仅披露名义产能</t>
  </si>
  <si>
    <t xml:space="preserve">产能置换公告、项目环评、老装置关停公告</t>
  </si>
  <si>
    <t xml:space="preserve">企业级现金成本</t>
  </si>
  <si>
    <t xml:space="preserve">价格底部判断与议价</t>
  </si>
  <si>
    <t xml:space="preserve">非公开</t>
  </si>
  <si>
    <t xml:space="preserve">年报/调研/煤盐价格模型；供应商成本拆解问卷</t>
  </si>
  <si>
    <t xml:space="preserve">贸易商与港口库存</t>
  </si>
  <si>
    <t xml:space="preserve">隐性供给与区域价差</t>
  </si>
  <si>
    <t xml:space="preserve">隆众/卓创/钢联周度库存；港口/仓库调研</t>
  </si>
  <si>
    <t xml:space="preserve">分企业质量批次数据</t>
  </si>
  <si>
    <t xml:space="preserve">供应商准入与质量风险</t>
  </si>
  <si>
    <t xml:space="preserve">COA不公开</t>
  </si>
  <si>
    <t xml:space="preserve">样品检测、首批全检、供应商审计</t>
  </si>
  <si>
    <t xml:space="preserve">2026年实际开工率/产量</t>
  </si>
  <si>
    <t xml:space="preserve">月度供需与价格</t>
  </si>
  <si>
    <t xml:space="preserve">月度更新</t>
  </si>
  <si>
    <t xml:space="preserve">国家统计局、协会、隆众/卓创周度</t>
  </si>
  <si>
    <t xml:space="preserve">进口/出口月度明细</t>
  </si>
  <si>
    <t xml:space="preserve">净出口与国内平衡</t>
  </si>
  <si>
    <t xml:space="preserve">海关按月发布</t>
  </si>
  <si>
    <t xml:space="preserve">海关总署/UN Comtrade</t>
  </si>
  <si>
    <t xml:space="preserve">补齐顺序建议：先补影响「能不能买到」的缺口（项目净增、区域内可替代产能、贸易商/渠道），再补影响「买得贵不贵」的缺口（现金成本、库存、区域价差），最后补影响「稳不稳」的缺口（质量批次、合规记录）。</t>
  </si>
  <si>
    <t xml:space="preserve">30 条来源 + 口径差异 + 使用限制</t>
  </si>
  <si>
    <t xml:space="preserve">所有数字都可回溯；不同口径并列，不强行对齐</t>
  </si>
  <si>
    <t xml:space="preserve">口径说明</t>
  </si>
  <si>
    <t xml:space="preserve">本报告采用口径</t>
  </si>
  <si>
    <t xml:space="preserve">其他公开口径</t>
  </si>
  <si>
    <t xml:space="preserve">处理方式</t>
  </si>
  <si>
    <t xml:space="preserve">覆盖范围</t>
  </si>
  <si>
    <t xml:space="preserve">中国大陆</t>
  </si>
  <si>
    <t xml:space="preserve">纯碱产能（含天然碱/联碱/氨碱），不含小苏打深加工产能</t>
  </si>
  <si>
    <t xml:space="preserve">只统计口径内的产能；口径外的不混入</t>
  </si>
  <si>
    <t xml:space="preserve">基准年 / 预测年</t>
  </si>
  <si>
    <t xml:space="preserve">2025</t>
  </si>
  <si>
    <t xml:space="preserve">2026、2028</t>
  </si>
  <si>
    <t xml:space="preserve">基准年用实测/披露值；预测年只做情景，不做承诺</t>
  </si>
  <si>
    <t xml:space="preserve">全国产能</t>
  </si>
  <si>
    <t xml:space="preserve">见来源</t>
  </si>
  <si>
    <t xml:space="preserve">并列展示，不取平均</t>
  </si>
  <si>
    <t xml:space="preserve">24 集团 / 32 基地</t>
  </si>
  <si>
    <t xml:space="preserve">样本加总除以全国产能；差额为未披露企业</t>
  </si>
  <si>
    <t xml:space="preserve">缺失值</t>
  </si>
  <si>
    <t xml:space="preserve">不估算、不插值</t>
  </si>
  <si>
    <t xml:space="preserve">缺口单列在「10_数据缺口」</t>
  </si>
  <si>
    <t xml:space="preserve">· 产能为名义/设计能力，不等于可售量；实际可用量受检修、环保、能耗、原料与订单影响。</t>
  </si>
  <si>
    <t xml:space="preserve">· 2025 年全国产能存在 4,078 / 4,305 / 4,393 / 4,450 / 4,468 多套口径，并列展示，不取平均。</t>
  </si>
  <si>
    <t xml:space="preserve">· 样本为公开披露的重点集团/基地，合计 3,570 万吨，占全国 79.9%；未披露的小型企业未分摊。</t>
  </si>
  <si>
    <t xml:space="preserve">来源列表</t>
  </si>
  <si>
    <t xml:space="preserve">ID</t>
  </si>
  <si>
    <t xml:space="preserve">名称</t>
  </si>
  <si>
    <t xml:space="preserve">发布方</t>
  </si>
  <si>
    <t xml:space="preserve">日期</t>
  </si>
  <si>
    <t xml:space="preserve">URL</t>
  </si>
  <si>
    <t xml:space="preserve">用途</t>
  </si>
  <si>
    <t xml:space="preserve">S1</t>
  </si>
  <si>
    <t xml:space="preserve">中盐化工2025年年度报告</t>
  </si>
  <si>
    <t xml:space="preserve">中盐内蒙古化工股份有限公司</t>
  </si>
  <si>
    <t xml:space="preserve">2026-04-29</t>
  </si>
  <si>
    <t xml:space="preserve">http://dataclouds.cninfo.com.cn/shgonggao/hsomarket/2026/20260429/f0f0b3057b0c40d9941d00be40097953.PDF</t>
  </si>
  <si>
    <t xml:space="preserve">2025总产能4,468万吨、氨碱1,440/天然碱970/联碱2,058、产量3,797、公司390及基地拆分</t>
  </si>
  <si>
    <t xml:space="preserve">S2</t>
  </si>
  <si>
    <t xml:space="preserve">博源化工2025年年度报告</t>
  </si>
  <si>
    <t xml:space="preserve">内蒙古博源化工股份有限公司</t>
  </si>
  <si>
    <t xml:space="preserve">2026-04-21</t>
  </si>
  <si>
    <t xml:space="preserve">https://disc.static.szse.cn/disc/disk03/finalpage/2026-04-21/02f8f6ce-0dcd-4ddd-9c8a-d4873b8e986a.PDF</t>
  </si>
  <si>
    <t xml:space="preserve">在产680、设计960、产量711.12、行业4,393/3,875/工艺占比</t>
  </si>
  <si>
    <t xml:space="preserve">S3</t>
  </si>
  <si>
    <t xml:space="preserve">三友化工2025年年度报告</t>
  </si>
  <si>
    <t xml:space="preserve">唐山三友化工股份有限公司</t>
  </si>
  <si>
    <t xml:space="preserve">2026-04-25</t>
  </si>
  <si>
    <t xml:space="preserve">http://file.finance.sina.com.cn/211.154.219.97:9494/MRGG/CNSESH_STOCK/2026/2026-4/2026-04-25/12180724.PDF</t>
  </si>
  <si>
    <t xml:space="preserve">纯碱340（本部230+青海110）、产量319.05、行业4,500/3,957</t>
  </si>
  <si>
    <t xml:space="preserve">S4</t>
  </si>
  <si>
    <t xml:space="preserve">山东海化2025年年度报告</t>
  </si>
  <si>
    <t xml:space="preserve">山东海化股份有限公司</t>
  </si>
  <si>
    <t xml:space="preserve">2026-03-21</t>
  </si>
  <si>
    <t xml:space="preserve">http://static.cninfo.com.cn/finalpage/2026-03-21/1225022066.PDF</t>
  </si>
  <si>
    <t xml:space="preserve">纯碱280、利用率97.29%、行业有效产能4,078</t>
  </si>
  <si>
    <t xml:space="preserve">S5</t>
  </si>
  <si>
    <t xml:space="preserve">和邦生物2025年年度报告</t>
  </si>
  <si>
    <t xml:space="preserve">四川和邦生物科技股份有限公司</t>
  </si>
  <si>
    <t xml:space="preserve">https://static.cninfo.com.cn/finalpage/2026-04-21/1225126516.PDF</t>
  </si>
  <si>
    <t xml:space="preserve">125万吨/年联碱</t>
  </si>
  <si>
    <t xml:space="preserve">S6</t>
  </si>
  <si>
    <t xml:space="preserve">云图控股2025年年度报告摘要</t>
  </si>
  <si>
    <t xml:space="preserve">成都云图控股股份有限公司</t>
  </si>
  <si>
    <t xml:space="preserve">2026-04-15</t>
  </si>
  <si>
    <t xml:space="preserve">https://static.cninfo.com.cn/finalpage/2026-04-15/1225100697.PDF</t>
  </si>
  <si>
    <t xml:space="preserve">纯碱/氯化铵60万双吨、应城基地</t>
  </si>
  <si>
    <t xml:space="preserve">S7</t>
  </si>
  <si>
    <t xml:space="preserve">雪天盐业2025年年度报告</t>
  </si>
  <si>
    <t xml:space="preserve">雪天盐业集团股份有限公司</t>
  </si>
  <si>
    <t xml:space="preserve">http://static.cninfo.com.cn/finalpage/2026-04-21/1225130635.PDF</t>
  </si>
  <si>
    <t xml:space="preserve">湘渝盐化100万吨、产量101.68、行业4,450/3,724</t>
  </si>
  <si>
    <t xml:space="preserve">S8</t>
  </si>
  <si>
    <t xml:space="preserve">金晶科技2025年年度报告</t>
  </si>
  <si>
    <t xml:space="preserve">山东金晶科技股份有限公司</t>
  </si>
  <si>
    <t xml:space="preserve">https://static.sse.com.cn/disclosure/listedinfo/announcement/c/new/2026-04-25/600586_20260425_AM36.pdf</t>
  </si>
  <si>
    <t xml:space="preserve">山东海天150万吨纯碱</t>
  </si>
  <si>
    <t xml:space="preserve">S9</t>
  </si>
  <si>
    <t xml:space="preserve">双环科技2025年年度报告</t>
  </si>
  <si>
    <t xml:space="preserve">湖北双环科技股份有限公司</t>
  </si>
  <si>
    <t xml:space="preserve">https://static.cninfo.com.cn/finalpage/2026-04-29/1225240408.PDF</t>
  </si>
  <si>
    <t xml:space="preserve">纯碱110、利用率108.37%、产量119.21、行业4,305/3,785.77</t>
  </si>
  <si>
    <t xml:space="preserve">S10</t>
  </si>
  <si>
    <t xml:space="preserve">华昌化工2025年年度报告</t>
  </si>
  <si>
    <t xml:space="preserve">江苏华昌化工股份有限公司</t>
  </si>
  <si>
    <t xml:space="preserve">2026-04-18</t>
  </si>
  <si>
    <t xml:space="preserve">http://static.cninfo.com.cn/finalpage/2026-04-18/1225115190.PDF</t>
  </si>
  <si>
    <t xml:space="preserve">纯碱70、利用率97%、行业4,078/3,957.2、表观消费3,740.3</t>
  </si>
  <si>
    <t xml:space="preserve">S11</t>
  </si>
  <si>
    <t xml:space="preserve">中盐化工500万吨/年天然碱项目公告</t>
  </si>
  <si>
    <t xml:space="preserve">中盐化工/新浪财经</t>
  </si>
  <si>
    <t xml:space="preserve">2026-05-15</t>
  </si>
  <si>
    <t xml:space="preserve">https://finance.sina.com.cn/jjxw/2026-05-15/doc-inhxypte8059749.shtml</t>
  </si>
  <si>
    <t xml:space="preserve">500万吨、252.83亿元、4条线、2028投产</t>
  </si>
  <si>
    <t xml:space="preserve">S12</t>
  </si>
  <si>
    <t xml:space="preserve">生意社：2025年纯碱震荡下行 2026年格局仍难改善</t>
  </si>
  <si>
    <t xml:space="preserve">2026-01-05</t>
  </si>
  <si>
    <t xml:space="preserve">https://www.100ppi.com/forecast/detail-20260105-201890.html</t>
  </si>
  <si>
    <t xml:space="preserve">2025年初1,528/年末1,250/-18.19%、新增550万吨、2026新增250万吨/总产能4,750、成本区间</t>
  </si>
  <si>
    <t xml:space="preserve">S13</t>
  </si>
  <si>
    <t xml:space="preserve">生意社：供应持续强劲 2025年纯碱行情延续弱势运行</t>
  </si>
  <si>
    <t xml:space="preserve">2025-01-03</t>
  </si>
  <si>
    <t xml:space="preserve">https://www.100ppi.com/dzh/10031/detail-20250103-197372.html</t>
  </si>
  <si>
    <t xml:space="preserve">2024年初2,790/年末1,528/-45.23%</t>
  </si>
  <si>
    <t xml:space="preserve">S14</t>
  </si>
  <si>
    <t xml:space="preserve">纯碱：2024年数据盘点及2025年展望</t>
  </si>
  <si>
    <t xml:space="preserve">卓创资讯/新浪财经</t>
  </si>
  <si>
    <t xml:space="preserve">https://finance.sina.com.cn/money/future/roll/2025-01-03/doc-inecsvux6433846.shtml</t>
  </si>
  <si>
    <t xml:space="preserve">2024重碱均价1,953、产量3,735、消费3,441、进出口</t>
  </si>
  <si>
    <t xml:space="preserve">S15</t>
  </si>
  <si>
    <t xml:space="preserve">纯碱：唯愿乘长风破万里浪</t>
  </si>
  <si>
    <t xml:space="preserve">中国期货业协会</t>
  </si>
  <si>
    <t xml:space="preserve">2022-02</t>
  </si>
  <si>
    <t xml:space="preserve">http://www.cfachina.org/servicesupport/analygarden/nyhgl/cj_5769/202202/P020220221529615314165.pdf</t>
  </si>
  <si>
    <t xml:space="preserve">2021-10重碱高点3,681、期货峰值3,648</t>
  </si>
  <si>
    <t xml:space="preserve">S16</t>
  </si>
  <si>
    <t xml:space="preserve">2026年10月15日各地区纯碱现货价格汇总</t>
  </si>
  <si>
    <t xml:space="preserve">同花顺iFinD</t>
  </si>
  <si>
    <t xml:space="preserve">2026-10-15</t>
  </si>
  <si>
    <t xml:space="preserve">https://news.10jqka.com.cn/20261015/c680735910.shtml</t>
  </si>
  <si>
    <t xml:space="preserve">华东1,150/华南1,250/华北1,150/华中1,100/西南1,150</t>
  </si>
  <si>
    <t xml:space="preserve">S17</t>
  </si>
  <si>
    <t xml:space="preserve">10月19日生意社重质纯碱基准价</t>
  </si>
  <si>
    <t xml:space="preserve">2026-10-19</t>
  </si>
  <si>
    <t xml:space="preserve">https://chem.100ppi.com/news/list--533-1.html</t>
  </si>
  <si>
    <t xml:space="preserve">重碱1,062.86、轻碱1,050</t>
  </si>
  <si>
    <t xml:space="preserve">S18</t>
  </si>
  <si>
    <t xml:space="preserve">格林大华期市早班车-纯碱玻璃261016</t>
  </si>
  <si>
    <t xml:space="preserve">格林大华期货</t>
  </si>
  <si>
    <t xml:space="preserve">2026-10-16</t>
  </si>
  <si>
    <t xml:space="preserve">https://x.qhkch.com/reports/reportId?id=211720</t>
  </si>
  <si>
    <t xml:space="preserve">沙河重碱942、库存162.89、开工76.15%、SA2701 937</t>
  </si>
  <si>
    <t xml:space="preserve">S19</t>
  </si>
  <si>
    <t xml:space="preserve">产业链研究报告——玻璃纯碱</t>
  </si>
  <si>
    <t xml:space="preserve">安粮期货/东方财富</t>
  </si>
  <si>
    <t xml:space="preserve">2026-07-30</t>
  </si>
  <si>
    <t xml:space="preserve">https://caifuhao.eastmoney.com/news/20260730201740389910380</t>
  </si>
  <si>
    <t xml:space="preserve">2025有效产能4,390、2026E 4,460、2025产量3,957、新增项目</t>
  </si>
  <si>
    <t xml:space="preserve">S20</t>
  </si>
  <si>
    <t xml:space="preserve">2026年中国纯碱行业重点上市企业对比分析</t>
  </si>
  <si>
    <t xml:space="preserve">智研咨询</t>
  </si>
  <si>
    <t xml:space="preserve">2026-08-27</t>
  </si>
  <si>
    <t xml:space="preserve">https://www.chyxx.com/industry/1278161.html</t>
  </si>
  <si>
    <t xml:space="preserve">2025年底34家在产、15家百万吨级、产能占76.9%、上市公司产量</t>
  </si>
  <si>
    <t xml:space="preserve">S21</t>
  </si>
  <si>
    <t xml:space="preserve">2025中国纯碱产业年度报告</t>
  </si>
  <si>
    <t xml:space="preserve">金联创/江苏化工</t>
  </si>
  <si>
    <t xml:space="preserve">2026-02-04</t>
  </si>
  <si>
    <t xml:space="preserve">http://www.jshgjt.com/a/xinwenzhongxin/xingyexinwen/3140.html</t>
  </si>
  <si>
    <t xml:space="preserve">2025工艺占比19/34/44/3、年中4,230、年末4,450</t>
  </si>
  <si>
    <t xml:space="preserve">S22</t>
  </si>
  <si>
    <t xml:space="preserve">2026-2032年纯碱行业市场调研及发展趋势预测报告</t>
  </si>
  <si>
    <t xml:space="preserve">新浪财经</t>
  </si>
  <si>
    <t xml:space="preserve">2026-01-27</t>
  </si>
  <si>
    <t xml:space="preserve">https://finance.sina.com.cn/roll/2026-01-27/doc-inhiuixs5455896.shtml</t>
  </si>
  <si>
    <t xml:space="preserve">消费集中于华东/华南、西产东销/北碱南运、CR5&gt;50%</t>
  </si>
  <si>
    <t xml:space="preserve">S23</t>
  </si>
  <si>
    <t xml:space="preserve">纯碱产业链市场研究：纯碱专题系列之二</t>
  </si>
  <si>
    <t xml:space="preserve">2019-11-22</t>
  </si>
  <si>
    <t xml:space="preserve">https://finance.sina.cn/futuremarket/qszx/2019-11-22/detail-iihnzhfz0921055.d.html</t>
  </si>
  <si>
    <t xml:space="preserve">青海/江苏/河南/山东调出占94%（2019年）</t>
  </si>
  <si>
    <t xml:space="preserve">S24</t>
  </si>
  <si>
    <t xml:space="preserve">中盐化工投资者调研纪要</t>
  </si>
  <si>
    <t xml:space="preserve">2026-06-04</t>
  </si>
  <si>
    <t xml:space="preserve">https://stockmc.xueqiu.com/202606/600328_20260604_27SP.pdf</t>
  </si>
  <si>
    <t xml:space="preserve">500万吨项目“两年投产、三年达产”、3×120重碱+1×120轻碱</t>
  </si>
  <si>
    <t xml:space="preserve">S25</t>
  </si>
  <si>
    <t xml:space="preserve">金山湖北潜江项目开工报道</t>
  </si>
  <si>
    <t xml:space="preserve">腾讯新闻/极目新闻</t>
  </si>
  <si>
    <t xml:space="preserve">2025-04-03</t>
  </si>
  <si>
    <t xml:space="preserve">https://news.qq.com/rain/a/20250403A070K300</t>
  </si>
  <si>
    <t xml:space="preserve">150万吨纯碱（搬迁产能）、70万吨液氨、210万吨氯化铵</t>
  </si>
  <si>
    <t xml:space="preserve">S26</t>
  </si>
  <si>
    <t xml:space="preserve">雪天衡阳80万吨纯碱搬迁改造项目产能置换公告</t>
  </si>
  <si>
    <t xml:space="preserve">衡阳市工信局</t>
  </si>
  <si>
    <t xml:space="preserve">2024-03-27</t>
  </si>
  <si>
    <t xml:space="preserve">https://www.hengyang.gov.cn/gxj/xxgk/tzgg/20240327/i3301098.html</t>
  </si>
  <si>
    <t xml:space="preserve">80万吨搬迁置换、100万吨联碱新装置</t>
  </si>
  <si>
    <t xml:space="preserve">S27</t>
  </si>
  <si>
    <t xml:space="preserve">山东海化氨碱改联碱项目报道</t>
  </si>
  <si>
    <t xml:space="preserve">ChemNet/中国化工信息周刊</t>
  </si>
  <si>
    <t xml:space="preserve">2026-10-14</t>
  </si>
  <si>
    <t xml:space="preserve">https://news.chemnet.com/toutiao/detail-89799.html</t>
  </si>
  <si>
    <t xml:space="preserve">48.37亿元、100万吨联碱置换120万吨氨碱、2028-10投产</t>
  </si>
  <si>
    <t xml:space="preserve">S28</t>
  </si>
  <si>
    <t xml:space="preserve">2026年纯碱基本面或延续供强需弱格局</t>
  </si>
  <si>
    <t xml:space="preserve">中国金融信息网</t>
  </si>
  <si>
    <t xml:space="preserve">2025-12-31</t>
  </si>
  <si>
    <t xml:space="preserve">https://m.cnfin.com/dz-lb//zixun/20251231/4358688_1.html</t>
  </si>
  <si>
    <t xml:space="preserve">2026年价格中枢1,100-1,200、低点1,050、金山/雪天项目</t>
  </si>
  <si>
    <t xml:space="preserve">S29</t>
  </si>
  <si>
    <t xml:space="preserve">纯碱工业高质量发展综合述评</t>
  </si>
  <si>
    <t xml:space="preserve">海外网/中国纯碱工业协会</t>
  </si>
  <si>
    <t xml:space="preserve">2025-01-22</t>
  </si>
  <si>
    <t xml:space="preserve">https://news.haiwainet.cn/n/2025/0122/c3541089-32832061.html</t>
  </si>
  <si>
    <t xml:space="preserve">连云港搬迁、德邦60万吨、行业结构</t>
  </si>
  <si>
    <t xml:space="preserve">S30</t>
  </si>
  <si>
    <t xml:space="preserve">2025年中国纯碱企业核心竞争力排名</t>
  </si>
  <si>
    <t xml:space="preserve">中商产业研究院</t>
  </si>
  <si>
    <t xml:space="preserve">2025-10-20</t>
  </si>
  <si>
    <t xml:space="preserve">https://www.askci.com/news/20251020/170514276095111281687534.shtml</t>
  </si>
  <si>
    <t xml:space="preserve">企业产能公开口径（金山340、和邦120、云图120、金晶等）</t>
  </si>
  <si>
    <t xml:space="preserve">使用限制：① 公开信息研究，不含非公开成本、合同价、库存、客户数据；② 产能为名义/设计能力，实际可用量受影响；③ 项目投产存在延期，净增以公告/置换文件为准；④ 价格为公开报价，实际成交受批量、账期、运费、质量影响；⑤ 不构成投资建议。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</si>
</sst>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+#,##0;\-#,##0;0"/>
    <numFmt numFmtId="167" formatCode="0"/>
    <numFmt numFmtId="168" formatCode="0.0%"/>
    <numFmt numFmtId="169" formatCode="0%"/>
    <numFmt numFmtId="170" formatCode="0.0"/>
    <numFmt numFmtId="171" formatCode="0.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微软雅黑"/>
      <family val="0"/>
      <charset val="1"/>
    </font>
    <font>
      <sz val="12"/>
      <color rgb="FFC5D2DE"/>
      <name val="微软雅黑"/>
      <family val="0"/>
      <charset val="1"/>
    </font>
    <font>
      <sz val="9.5"/>
      <color rgb="FF8FA6BA"/>
      <name val="微软雅黑"/>
      <family val="0"/>
      <charset val="1"/>
    </font>
    <font>
      <b val="true"/>
      <sz val="12"/>
      <color rgb="FFFFFFFF"/>
      <name val="微软雅黑"/>
      <family val="0"/>
      <charset val="1"/>
    </font>
    <font>
      <sz val="8.5"/>
      <color rgb="FF718096"/>
      <name val="微软雅黑"/>
      <family val="0"/>
      <charset val="1"/>
    </font>
    <font>
      <b val="true"/>
      <sz val="10"/>
      <color rgb="FF0F766E"/>
      <name val="微软雅黑"/>
      <family val="0"/>
      <charset val="1"/>
    </font>
    <font>
      <b val="true"/>
      <sz val="10.5"/>
      <color rgb="FF15283D"/>
      <name val="微软雅黑"/>
      <family val="0"/>
      <charset val="1"/>
    </font>
    <font>
      <sz val="9"/>
      <color rgb="FF718096"/>
      <name val="微软雅黑"/>
      <family val="0"/>
      <charset val="1"/>
    </font>
    <font>
      <b val="true"/>
      <sz val="8.5"/>
      <color rgb="FF718096"/>
      <name val="微软雅黑"/>
      <family val="0"/>
      <charset val="1"/>
    </font>
    <font>
      <b val="true"/>
      <sz val="16"/>
      <color rgb="FF0B1F33"/>
      <name val="微软雅黑"/>
      <family val="0"/>
      <charset val="1"/>
    </font>
    <font>
      <sz val="8"/>
      <color rgb="FF718096"/>
      <name val="微软雅黑"/>
      <family val="0"/>
      <charset val="1"/>
    </font>
    <font>
      <sz val="9"/>
      <color rgb="FF40536A"/>
      <name val="微软雅黑"/>
      <family val="0"/>
      <charset val="1"/>
    </font>
    <font>
      <b val="true"/>
      <sz val="21"/>
      <color rgb="FFFFFFFF"/>
      <name val="微软雅黑"/>
      <family val="0"/>
      <charset val="1"/>
    </font>
    <font>
      <sz val="10.5"/>
      <color rgb="FFC5D2DE"/>
      <name val="微软雅黑"/>
      <family val="0"/>
      <charset val="1"/>
    </font>
    <font>
      <sz val="9"/>
      <color rgb="FF8FA6BA"/>
      <name val="微软雅黑"/>
      <family val="0"/>
      <charset val="1"/>
    </font>
    <font>
      <b val="true"/>
      <sz val="9.5"/>
      <color rgb="FFFFFFFF"/>
      <name val="微软雅黑"/>
      <family val="0"/>
      <charset val="1"/>
    </font>
    <font>
      <sz val="9.2"/>
      <color rgb="FF40536A"/>
      <name val="微软雅黑"/>
      <family val="0"/>
      <charset val="1"/>
    </font>
    <font>
      <b val="true"/>
      <sz val="10"/>
      <color rgb="FF15283D"/>
      <name val="微软雅黑"/>
      <family val="0"/>
      <charset val="1"/>
    </font>
    <font>
      <b val="true"/>
      <sz val="9"/>
      <color rgb="FF0F766E"/>
      <name val="微软雅黑"/>
      <family val="0"/>
      <charset val="1"/>
    </font>
    <font>
      <b val="true"/>
      <sz val="9"/>
      <color rgb="FFB45309"/>
      <name val="微软雅黑"/>
      <family val="0"/>
      <charset val="1"/>
    </font>
    <font>
      <b val="true"/>
      <sz val="9.4"/>
      <color rgb="FF15283D"/>
      <name val="微软雅黑"/>
      <family val="0"/>
      <charset val="1"/>
    </font>
    <font>
      <b val="true"/>
      <sz val="8.8"/>
      <color rgb="FFFFFFFF"/>
      <name val="微软雅黑"/>
      <family val="0"/>
      <charset val="1"/>
    </font>
    <font>
      <b val="true"/>
      <sz val="10"/>
      <color rgb="FF5EEAD4"/>
      <name val="微软雅黑"/>
      <family val="0"/>
      <charset val="1"/>
    </font>
    <font>
      <b val="true"/>
      <sz val="9.5"/>
      <color rgb="FF15283D"/>
      <name val="微软雅黑"/>
      <family val="0"/>
      <charset val="1"/>
    </font>
    <font>
      <b val="true"/>
      <sz val="9"/>
      <color rgb="FF1D4ED8"/>
      <name val="微软雅黑"/>
      <family val="0"/>
      <charset val="1"/>
    </font>
    <font>
      <b val="true"/>
      <sz val="9"/>
      <color rgb="FF475569"/>
      <name val="微软雅黑"/>
      <family val="0"/>
      <charset val="1"/>
    </font>
    <font>
      <b val="true"/>
      <sz val="18"/>
      <color rgb="FF000000"/>
      <name val="Noto Sans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563EB"/>
      <name val="微软雅黑"/>
      <family val="0"/>
      <charset val="1"/>
    </font>
    <font>
      <b val="true"/>
      <sz val="10"/>
      <color rgb="FFB45309"/>
      <name val="微软雅黑"/>
      <family val="0"/>
      <charset val="1"/>
    </font>
    <font>
      <b val="true"/>
      <sz val="9"/>
      <color rgb="FF15283D"/>
      <name val="微软雅黑"/>
      <family val="0"/>
      <charset val="1"/>
    </font>
    <font>
      <b val="true"/>
      <sz val="8.8"/>
      <color rgb="FF0F766E"/>
      <name val="微软雅黑"/>
      <family val="0"/>
      <charset val="1"/>
    </font>
    <font>
      <b val="true"/>
      <sz val="9"/>
      <color rgb="FFB91C1C"/>
      <name val="微软雅黑"/>
      <family val="0"/>
      <charset val="1"/>
    </font>
    <font>
      <b val="true"/>
      <sz val="8.8"/>
      <color rgb="FFB45309"/>
      <name val="微软雅黑"/>
      <family val="0"/>
      <charset val="1"/>
    </font>
    <font>
      <b val="true"/>
      <sz val="8.8"/>
      <color rgb="FF1D4ED8"/>
      <name val="微软雅黑"/>
      <family val="0"/>
      <charset val="1"/>
    </font>
    <font>
      <b val="true"/>
      <sz val="9.2"/>
      <color rgb="FF15283D"/>
      <name val="微软雅黑"/>
      <family val="0"/>
      <charset val="1"/>
    </font>
    <font>
      <b val="true"/>
      <sz val="9.2"/>
      <color rgb="FF0F766E"/>
      <name val="微软雅黑"/>
      <family val="0"/>
      <charset val="1"/>
    </font>
    <font>
      <b val="true"/>
      <sz val="9.2"/>
      <color rgb="FFB91C1C"/>
      <name val="微软雅黑"/>
      <family val="0"/>
      <charset val="1"/>
    </font>
    <font>
      <b val="true"/>
      <sz val="9.3"/>
      <color rgb="FF15283D"/>
      <name val="微软雅黑"/>
      <family val="0"/>
      <charset val="1"/>
    </font>
    <font>
      <b val="true"/>
      <sz val="9"/>
      <color rgb="FF40536A"/>
      <name val="微软雅黑"/>
      <family val="0"/>
      <charset val="1"/>
    </font>
    <font>
      <b val="true"/>
      <sz val="11"/>
      <color rgb="FF0F766E"/>
      <name val="微软雅黑"/>
      <family val="0"/>
      <charset val="1"/>
    </font>
    <font>
      <b val="true"/>
      <sz val="8.5"/>
      <color rgb="FF0F766E"/>
      <name val="微软雅黑"/>
      <family val="0"/>
      <charset val="1"/>
    </font>
    <font>
      <b val="true"/>
      <sz val="9"/>
      <color rgb="FF5EEAD4"/>
      <name val="微软雅黑"/>
      <family val="0"/>
      <charset val="1"/>
    </font>
    <font>
      <b val="true"/>
      <sz val="11"/>
      <color rgb="FF5EEAD4"/>
      <name val="微软雅黑"/>
      <family val="0"/>
      <charset val="1"/>
    </font>
    <font>
      <u val="single"/>
      <sz val="8.2"/>
      <color rgb="FF1D4ED8"/>
      <name val="微软雅黑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F33"/>
        <bgColor rgb="FF15283D"/>
      </patternFill>
    </fill>
    <fill>
      <patternFill patternType="solid">
        <fgColor rgb="FF0F766E"/>
        <bgColor rgb="FF008080"/>
      </patternFill>
    </fill>
    <fill>
      <patternFill patternType="solid">
        <fgColor rgb="FFF8FAFC"/>
        <bgColor rgb="FFF9F9F9"/>
      </patternFill>
    </fill>
    <fill>
      <patternFill patternType="solid">
        <fgColor rgb="FF12324A"/>
        <bgColor rgb="FF15283D"/>
      </patternFill>
    </fill>
    <fill>
      <patternFill patternType="solid">
        <fgColor rgb="FFFFFFFF"/>
        <bgColor rgb="FFF8FAFC"/>
      </patternFill>
    </fill>
    <fill>
      <patternFill patternType="solid">
        <fgColor rgb="FFECFDF5"/>
        <bgColor rgb="FFEFF6FF"/>
      </patternFill>
    </fill>
    <fill>
      <patternFill patternType="solid">
        <fgColor rgb="FFFFFBEB"/>
        <bgColor rgb="FFF9F9F9"/>
      </patternFill>
    </fill>
    <fill>
      <patternFill patternType="solid">
        <fgColor rgb="FF475569"/>
        <bgColor rgb="FF40536A"/>
      </patternFill>
    </fill>
    <fill>
      <patternFill patternType="solid">
        <fgColor rgb="FFEFF6FF"/>
        <bgColor rgb="FFF1F5F9"/>
      </patternFill>
    </fill>
    <fill>
      <patternFill patternType="solid">
        <fgColor rgb="FFF1F5F9"/>
        <bgColor rgb="FFEFF6FF"/>
      </patternFill>
    </fill>
    <fill>
      <patternFill patternType="solid">
        <fgColor rgb="FFFEF2F2"/>
        <bgColor rgb="FFF9F9F9"/>
      </patternFill>
    </fill>
    <fill>
      <patternFill patternType="solid">
        <fgColor rgb="FFFEF3C7"/>
        <bgColor rgb="FFFFFBE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E2E9F1"/>
      </bottom>
      <diagonal/>
    </border>
    <border diagonalUp="false" diagonalDown="false">
      <left style="thin">
        <color rgb="FFE2E9F1"/>
      </left>
      <right style="thin">
        <color rgb="FFE2E9F1"/>
      </right>
      <top style="thin">
        <color rgb="FFE2E9F1"/>
      </top>
      <bottom style="thin">
        <color rgb="FFE2E9F1"/>
      </bottom>
      <diagonal/>
    </border>
    <border diagonalUp="false" diagonalDown="false">
      <left style="thin">
        <color rgb="FFE2E9F1"/>
      </left>
      <right/>
      <top style="thin">
        <color rgb="FFE2E9F1"/>
      </top>
      <bottom style="thin">
        <color rgb="FFE2E9F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4" fillId="1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5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5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2324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536A"/>
          <bgColor rgb="FF000000"/>
        </patternFill>
      </fill>
    </dxf>
    <dxf>
      <fill>
        <patternFill patternType="solid">
          <fgColor rgb="FF15283D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ont>
        <name val="微软雅黑"/>
        <charset val="1"/>
        <family val="0"/>
        <b val="1"/>
        <color rgb="FFB91C1C"/>
        <sz val="9"/>
      </font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FE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5D2DE"/>
      <rgbColor rgb="FF878787"/>
      <rgbColor rgb="FF8FA6BA"/>
      <rgbColor rgb="FFB45309"/>
      <rgbColor rgb="FFFEF3C7"/>
      <rgbColor rgb="FFECFDF5"/>
      <rgbColor rgb="FF660066"/>
      <rgbColor rgb="FFFF8080"/>
      <rgbColor rgb="FF1D4ED8"/>
      <rgbColor rgb="FFCBD5E1"/>
      <rgbColor rgb="FF000080"/>
      <rgbColor rgb="FFFF00FF"/>
      <rgbColor rgb="FFF1F5F9"/>
      <rgbColor rgb="FF00FFFF"/>
      <rgbColor rgb="FF800080"/>
      <rgbColor rgb="FF800000"/>
      <rgbColor rgb="FF008080"/>
      <rgbColor rgb="FF0000FF"/>
      <rgbColor rgb="FF00CCFF"/>
      <rgbColor rgb="FFEFF6FF"/>
      <rgbColor rgb="FFE2E9F1"/>
      <rgbColor rgb="FFFFFBEB"/>
      <rgbColor rgb="FF93C5FD"/>
      <rgbColor rgb="FFFEF2F2"/>
      <rgbColor rgb="FF8B5CF6"/>
      <rgbColor rgb="FFD9D9D9"/>
      <rgbColor rgb="FF2563EB"/>
      <rgbColor rgb="FF5EEAD4"/>
      <rgbColor rgb="FF99CC00"/>
      <rgbColor rgb="FFF8FAFC"/>
      <rgbColor rgb="FFF59E0B"/>
      <rgbColor rgb="FFEF4444"/>
      <rgbColor rgb="FF718096"/>
      <rgbColor rgb="FF94A3B8"/>
      <rgbColor rgb="FF12324A"/>
      <rgbColor rgb="FF4F81BD"/>
      <rgbColor rgb="FF0B1F33"/>
      <rgbColor rgb="FF475569"/>
      <rgbColor rgb="FFB91C1C"/>
      <rgbColor rgb="FF7C3AED"/>
      <rgbColor rgb="FF40536A"/>
      <rgbColor rgb="FF1528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区域产能：基准年 vs 2026E（万吨/年）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'03_区域汇总'!D6</c:f>
              <c:strCache>
                <c:ptCount val="1"/>
                <c:pt idx="0">
                  <c:v>基准年产能</c:v>
                </c:pt>
              </c:strCache>
            </c:strRef>
          </c:tx>
          <c:spPr>
            <a:solidFill>
              <a:srgbClr val="0F766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'03_区域汇总'!$A$7:$A$21</c:f>
              <c:strCache>
                <c:ptCount val="15"/>
                <c:pt idx="0">
                  <c:v>河南</c:v>
                </c:pt>
                <c:pt idx="1">
                  <c:v>内蒙古</c:v>
                </c:pt>
                <c:pt idx="2">
                  <c:v>山东</c:v>
                </c:pt>
                <c:pt idx="3">
                  <c:v>江苏</c:v>
                </c:pt>
                <c:pt idx="4">
                  <c:v>青海</c:v>
                </c:pt>
                <c:pt idx="5">
                  <c:v>湖北</c:v>
                </c:pt>
                <c:pt idx="6">
                  <c:v>河北</c:v>
                </c:pt>
                <c:pt idx="7">
                  <c:v>四川</c:v>
                </c:pt>
                <c:pt idx="8">
                  <c:v>重庆</c:v>
                </c:pt>
                <c:pt idx="9">
                  <c:v>天津</c:v>
                </c:pt>
                <c:pt idx="10">
                  <c:v>江西</c:v>
                </c:pt>
                <c:pt idx="11">
                  <c:v>广东</c:v>
                </c:pt>
                <c:pt idx="12">
                  <c:v>辽宁</c:v>
                </c:pt>
                <c:pt idx="13">
                  <c:v>安徽</c:v>
                </c:pt>
                <c:pt idx="14">
                  <c:v>湖南</c:v>
                </c:pt>
              </c:strCache>
            </c:strRef>
          </c:cat>
          <c:val>
            <c:numRef>
              <c:f>'03_区域汇总'!$D$7:$D$21</c:f>
              <c:numCache>
                <c:formatCode>#,##0</c:formatCode>
                <c:ptCount val="15"/>
                <c:pt idx="0">
                  <c:v>630</c:v>
                </c:pt>
                <c:pt idx="1">
                  <c:v>535</c:v>
                </c:pt>
                <c:pt idx="2">
                  <c:v>490</c:v>
                </c:pt>
                <c:pt idx="3">
                  <c:v>480</c:v>
                </c:pt>
                <c:pt idx="4">
                  <c:v>405</c:v>
                </c:pt>
                <c:pt idx="5">
                  <c:v>280</c:v>
                </c:pt>
                <c:pt idx="6">
                  <c:v>230</c:v>
                </c:pt>
                <c:pt idx="7">
                  <c:v>125</c:v>
                </c:pt>
                <c:pt idx="8">
                  <c:v>100</c:v>
                </c:pt>
                <c:pt idx="9">
                  <c:v>80</c:v>
                </c:pt>
                <c:pt idx="10">
                  <c:v>65</c:v>
                </c:pt>
                <c:pt idx="11">
                  <c:v>60</c:v>
                </c:pt>
                <c:pt idx="12">
                  <c:v>60</c:v>
                </c:pt>
                <c:pt idx="13">
                  <c:v>30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'03_区域汇总'!F6</c:f>
              <c:strCache>
                <c:ptCount val="1"/>
                <c:pt idx="0">
                  <c:v>2026E产能</c:v>
                </c:pt>
              </c:strCache>
            </c:strRef>
          </c:tx>
          <c:spPr>
            <a:solidFill>
              <a:srgbClr val="93C5F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'03_区域汇总'!$A$7:$A$21</c:f>
              <c:strCache>
                <c:ptCount val="15"/>
                <c:pt idx="0">
                  <c:v>河南</c:v>
                </c:pt>
                <c:pt idx="1">
                  <c:v>内蒙古</c:v>
                </c:pt>
                <c:pt idx="2">
                  <c:v>山东</c:v>
                </c:pt>
                <c:pt idx="3">
                  <c:v>江苏</c:v>
                </c:pt>
                <c:pt idx="4">
                  <c:v>青海</c:v>
                </c:pt>
                <c:pt idx="5">
                  <c:v>湖北</c:v>
                </c:pt>
                <c:pt idx="6">
                  <c:v>河北</c:v>
                </c:pt>
                <c:pt idx="7">
                  <c:v>四川</c:v>
                </c:pt>
                <c:pt idx="8">
                  <c:v>重庆</c:v>
                </c:pt>
                <c:pt idx="9">
                  <c:v>天津</c:v>
                </c:pt>
                <c:pt idx="10">
                  <c:v>江西</c:v>
                </c:pt>
                <c:pt idx="11">
                  <c:v>广东</c:v>
                </c:pt>
                <c:pt idx="12">
                  <c:v>辽宁</c:v>
                </c:pt>
                <c:pt idx="13">
                  <c:v>安徽</c:v>
                </c:pt>
                <c:pt idx="14">
                  <c:v>湖南</c:v>
                </c:pt>
              </c:strCache>
            </c:strRef>
          </c:cat>
          <c:val>
            <c:numRef>
              <c:f>'03_区域汇总'!$F$7:$F$21</c:f>
              <c:numCache>
                <c:formatCode>#,##0</c:formatCode>
                <c:ptCount val="15"/>
                <c:pt idx="0">
                  <c:v>630</c:v>
                </c:pt>
                <c:pt idx="1">
                  <c:v>815</c:v>
                </c:pt>
                <c:pt idx="2">
                  <c:v>490</c:v>
                </c:pt>
                <c:pt idx="3">
                  <c:v>480</c:v>
                </c:pt>
                <c:pt idx="4">
                  <c:v>405</c:v>
                </c:pt>
                <c:pt idx="5">
                  <c:v>500</c:v>
                </c:pt>
                <c:pt idx="6">
                  <c:v>230</c:v>
                </c:pt>
                <c:pt idx="7">
                  <c:v>125</c:v>
                </c:pt>
                <c:pt idx="8">
                  <c:v>100</c:v>
                </c:pt>
                <c:pt idx="9">
                  <c:v>80</c:v>
                </c:pt>
                <c:pt idx="10">
                  <c:v>65</c:v>
                </c:pt>
                <c:pt idx="11">
                  <c:v>60</c:v>
                </c:pt>
                <c:pt idx="12">
                  <c:v>60</c:v>
                </c:pt>
                <c:pt idx="13">
                  <c:v>30</c:v>
                </c:pt>
                <c:pt idx="14">
                  <c:v>100</c:v>
                </c:pt>
              </c:numCache>
            </c:numRef>
          </c:val>
        </c:ser>
        <c:gapWidth val="150"/>
        <c:overlap val="0"/>
        <c:axId val="27435760"/>
        <c:axId val="78440892"/>
      </c:barChart>
      <c:catAx>
        <c:axId val="2743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440892"/>
        <c:crosses val="autoZero"/>
        <c:auto val="1"/>
        <c:lblAlgn val="ctr"/>
        <c:lblOffset val="100"/>
        <c:noMultiLvlLbl val="0"/>
      </c:catAx>
      <c:valAx>
        <c:axId val="78440892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435760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基准年工艺结构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'04_工艺路线'!B6</c:f>
              <c:strCache>
                <c:ptCount val="1"/>
                <c:pt idx="0">
                  <c:v>基准年产能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F766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'04_工艺路线'!$A$7:$A$9</c:f>
              <c:strCache>
                <c:ptCount val="3"/>
                <c:pt idx="0">
                  <c:v>联碱法</c:v>
                </c:pt>
                <c:pt idx="1">
                  <c:v>氨碱法</c:v>
                </c:pt>
                <c:pt idx="2">
                  <c:v>天然碱法</c:v>
                </c:pt>
              </c:strCache>
            </c:strRef>
          </c:cat>
          <c:val>
            <c:numRef>
              <c:f>'04_工艺路线'!$B$7:$B$9</c:f>
              <c:numCache>
                <c:formatCode>#,##0</c:formatCode>
                <c:ptCount val="3"/>
                <c:pt idx="0">
                  <c:v>2058</c:v>
                </c:pt>
                <c:pt idx="1">
                  <c:v>1440</c:v>
                </c:pt>
                <c:pt idx="2">
                  <c:v>970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成本区间中值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766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'04A_原料与成本'!$A$16:$A$18</c:f>
              <c:strCache>
                <c:ptCount val="3"/>
                <c:pt idx="0">
                  <c:v>联碱法</c:v>
                </c:pt>
                <c:pt idx="1">
                  <c:v>氨碱法</c:v>
                </c:pt>
                <c:pt idx="2">
                  <c:v>天然碱法</c:v>
                </c:pt>
              </c:strCache>
            </c:strRef>
          </c:cat>
          <c:val>
            <c:numRef>
              <c:f>'04A_原料与成本'!$D$16:$D$18</c:f>
              <c:numCache>
                <c:formatCode>#,##0</c:formatCode>
                <c:ptCount val="3"/>
                <c:pt idx="0">
                  <c:v>1125</c:v>
                </c:pt>
                <c:pt idx="1">
                  <c:v>1400</c:v>
                </c:pt>
                <c:pt idx="2">
                  <c:v>900</c:v>
                </c:pt>
              </c:numCache>
            </c:numRef>
          </c:val>
        </c:ser>
        <c:gapWidth val="150"/>
        <c:overlap val="0"/>
        <c:axId val="23783943"/>
        <c:axId val="55553167"/>
      </c:barChart>
      <c:catAx>
        <c:axId val="2378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53167"/>
        <c:crosses val="autoZero"/>
        <c:auto val="1"/>
        <c:lblAlgn val="ctr"/>
        <c:lblOffset val="100"/>
        <c:noMultiLvlLbl val="0"/>
      </c:catAx>
      <c:valAx>
        <c:axId val="55553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78394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项目毛产能（万吨/年）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'05_新增项目'!F6</c:f>
              <c:strCache>
                <c:ptCount val="1"/>
                <c:pt idx="0">
                  <c:v>毛产能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0F766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0F766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0F766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0F766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0F766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1D4E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invertIfNegative val="0"/>
            <c:spPr>
              <a:solidFill>
                <a:srgbClr val="1D4ED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'05_新增项目'!$B$7:$B$15</c:f>
              <c:strCache>
                <c:ptCount val="9"/>
                <c:pt idx="0">
                  <c:v>江苏德邦联碱</c:v>
                </c:pt>
                <c:pt idx="1">
                  <c:v>连云港碱业搬迁改造</c:v>
                </c:pt>
                <c:pt idx="2">
                  <c:v>湖北双环扩能</c:v>
                </c:pt>
                <c:pt idx="3">
                  <c:v>博源阿拉善天然碱二期</c:v>
                </c:pt>
                <c:pt idx="4">
                  <c:v>应城新都联碱装置</c:v>
                </c:pt>
                <c:pt idx="5">
                  <c:v>金山湖北潜江项目</c:v>
                </c:pt>
                <c:pt idx="6">
                  <c:v>雪天衡阳绿色盐碱基地</c:v>
                </c:pt>
                <c:pt idx="7">
                  <c:v>中盐通辽奈曼天然碱</c:v>
                </c:pt>
                <c:pt idx="8">
                  <c:v>山东海化氨碱改联碱</c:v>
                </c:pt>
              </c:strCache>
            </c:strRef>
          </c:cat>
          <c:val>
            <c:numRef>
              <c:f>'05_新增项目'!$F$7:$F$15</c:f>
              <c:numCache>
                <c:formatCode>#,##0</c:formatCode>
                <c:ptCount val="9"/>
                <c:pt idx="0">
                  <c:v>60</c:v>
                </c:pt>
                <c:pt idx="1">
                  <c:v>110</c:v>
                </c:pt>
                <c:pt idx="2">
                  <c:v>30</c:v>
                </c:pt>
                <c:pt idx="3">
                  <c:v>280</c:v>
                </c:pt>
                <c:pt idx="4">
                  <c:v>70</c:v>
                </c:pt>
                <c:pt idx="5">
                  <c:v>150</c:v>
                </c:pt>
                <c:pt idx="6">
                  <c:v>100</c:v>
                </c:pt>
                <c:pt idx="7">
                  <c:v>500</c:v>
                </c:pt>
                <c:pt idx="8">
                  <c:v>100</c:v>
                </c:pt>
              </c:numCache>
            </c:numRef>
          </c:val>
        </c:ser>
        <c:gapWidth val="150"/>
        <c:overlap val="0"/>
        <c:axId val="56991010"/>
        <c:axId val="27750698"/>
      </c:barChart>
      <c:catAx>
        <c:axId val="5699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750698"/>
        <c:crosses val="autoZero"/>
        <c:auto val="1"/>
        <c:lblAlgn val="ctr"/>
        <c:lblOffset val="100"/>
        <c:noMultiLvlLbl val="0"/>
      </c:catAx>
      <c:valAx>
        <c:axId val="2775069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9101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年度价格中枢与区间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'06_价格历史'!B8</c:f>
              <c:strCache>
                <c:ptCount val="1"/>
                <c:pt idx="0">
                  <c:v>均价 / 中枢</c:v>
                </c:pt>
              </c:strCache>
            </c:strRef>
          </c:tx>
          <c:spPr>
            <a:ln w="29880">
              <a:solidFill>
                <a:srgbClr val="0F766E"/>
              </a:solidFill>
              <a:round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'06_价格历史'!$A$9:$A$14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'06_价格历史'!$B$9:$B$14</c:f>
              <c:numCache>
                <c:formatCode>#,##0</c:formatCode>
                <c:ptCount val="6"/>
                <c:pt idx="0">
                  <c:v>3681</c:v>
                </c:pt>
                <c:pt idx="1">
                  <c:v>2859</c:v>
                </c:pt>
                <c:pt idx="2">
                  <c:v>2775</c:v>
                </c:pt>
                <c:pt idx="3">
                  <c:v>1953</c:v>
                </c:pt>
                <c:pt idx="4">
                  <c:v>1275</c:v>
                </c:pt>
                <c:pt idx="5">
                  <c:v>1100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'06_价格历史'!C8</c:f>
              <c:strCache>
                <c:ptCount val="1"/>
                <c:pt idx="0">
                  <c:v>低点</c:v>
                </c:pt>
              </c:strCache>
            </c:strRef>
          </c:tx>
          <c:spPr>
            <a:ln w="15840">
              <a:solidFill>
                <a:srgbClr val="94A3B8"/>
              </a:solidFill>
              <a:round/>
            </a:ln>
          </c:spPr>
          <c:marker>
            <c:symbol val="circle"/>
            <c:size val="4"/>
            <c:spPr>
              <a:solidFill>
                <a:srgbClr val="94A3B8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'06_价格历史'!$A$9:$A$14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'06_价格历史'!$C$9:$C$14</c:f>
              <c:numCache>
                <c:formatCode>#,##0</c:formatCode>
                <c:ptCount val="6"/>
                <c:pt idx="2">
                  <c:v>2600</c:v>
                </c:pt>
                <c:pt idx="3">
                  <c:v>1317</c:v>
                </c:pt>
                <c:pt idx="4">
                  <c:v>1130</c:v>
                </c:pt>
                <c:pt idx="5">
                  <c:v>942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'06_价格历史'!D8</c:f>
              <c:strCache>
                <c:ptCount val="1"/>
                <c:pt idx="0">
                  <c:v>高点</c:v>
                </c:pt>
              </c:strCache>
            </c:strRef>
          </c:tx>
          <c:spPr>
            <a:ln w="15840">
              <a:solidFill>
                <a:srgbClr val="CBD5E1"/>
              </a:solidFill>
              <a:round/>
            </a:ln>
          </c:spPr>
          <c:marker>
            <c:symbol val="circle"/>
            <c:size val="4"/>
            <c:spPr>
              <a:solidFill>
                <a:srgbClr val="CBD5E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'06_价格历史'!$A$9:$A$14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'06_价格历史'!$D$9:$D$14</c:f>
              <c:numCache>
                <c:formatCode>#,##0</c:formatCode>
                <c:ptCount val="6"/>
                <c:pt idx="0">
                  <c:v>3681</c:v>
                </c:pt>
                <c:pt idx="2">
                  <c:v>2900</c:v>
                </c:pt>
                <c:pt idx="3">
                  <c:v>2790</c:v>
                </c:pt>
                <c:pt idx="4">
                  <c:v>1528</c:v>
                </c:pt>
                <c:pt idx="5">
                  <c:v>1250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9760774"/>
        <c:axId val="3295875"/>
      </c:lineChart>
      <c:catAx>
        <c:axId val="79760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95875"/>
        <c:crosses val="autoZero"/>
        <c:auto val="1"/>
        <c:lblAlgn val="ctr"/>
        <c:lblOffset val="100"/>
        <c:noMultiLvlLbl val="0"/>
      </c:catAx>
      <c:valAx>
        <c:axId val="3295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76077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建议采购组合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ln w="12600">
              <a:noFill/>
            </a:ln>
          </c:spPr>
          <c:explosion val="0"/>
          <c:dPt>
            <c:idx val="0"/>
            <c:spPr>
              <a:solidFill>
                <a:srgbClr val="0F766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D4ED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4530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4A3B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'07A_采购策略'!$A$18:$A$21</c:f>
              <c:strCache>
                <c:ptCount val="4"/>
                <c:pt idx="0">
                  <c:v>天然碱主供</c:v>
                </c:pt>
                <c:pt idx="1">
                  <c:v>区域合成碱</c:v>
                </c:pt>
                <c:pt idx="2">
                  <c:v>华中备供</c:v>
                </c:pt>
                <c:pt idx="3">
                  <c:v>现货贸易</c:v>
                </c:pt>
              </c:strCache>
            </c:strRef>
          </c:cat>
          <c:val>
            <c:numRef>
              <c:f>'07A_采购策略'!$F$18:$F$21</c:f>
              <c:numCache>
                <c:formatCode>0%</c:formatCode>
                <c:ptCount val="4"/>
                <c:pt idx="0">
                  <c:v>0.55</c:v>
                </c:pt>
                <c:pt idx="1">
                  <c:v>0.25</c:v>
                </c:pt>
                <c:pt idx="2">
                  <c:v>0.12</c:v>
                </c:pt>
                <c:pt idx="3">
                  <c:v>0.08</c:v>
                </c:pt>
              </c:numCache>
            </c:numRef>
          </c:val>
        </c:ser>
        <c:firstSliceAng val="0"/>
      </c:pieChart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5</xdr:row>
      <xdr:rowOff>0</xdr:rowOff>
    </xdr:from>
    <xdr:to>
      <xdr:col>22</xdr:col>
      <xdr:colOff>364680</xdr:colOff>
      <xdr:row>14</xdr:row>
      <xdr:rowOff>149760</xdr:rowOff>
    </xdr:to>
    <xdr:graphicFrame>
      <xdr:nvGraphicFramePr>
        <xdr:cNvPr id="1" name="Chart 1"/>
        <xdr:cNvGraphicFramePr/>
      </xdr:nvGraphicFramePr>
      <xdr:xfrm>
        <a:off x="12453120" y="11620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18</xdr:col>
      <xdr:colOff>38880</xdr:colOff>
      <xdr:row>10</xdr:row>
      <xdr:rowOff>154440</xdr:rowOff>
    </xdr:to>
    <xdr:graphicFrame>
      <xdr:nvGraphicFramePr>
        <xdr:cNvPr id="2" name="Chart 1"/>
        <xdr:cNvGraphicFramePr/>
      </xdr:nvGraphicFramePr>
      <xdr:xfrm>
        <a:off x="18655560" y="116208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13</xdr:col>
      <xdr:colOff>38880</xdr:colOff>
      <xdr:row>15</xdr:row>
      <xdr:rowOff>109080</xdr:rowOff>
    </xdr:to>
    <xdr:graphicFrame>
      <xdr:nvGraphicFramePr>
        <xdr:cNvPr id="3" name="Chart 1"/>
        <xdr:cNvGraphicFramePr/>
      </xdr:nvGraphicFramePr>
      <xdr:xfrm>
        <a:off x="10902240" y="1657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0</xdr:rowOff>
    </xdr:from>
    <xdr:to>
      <xdr:col>24</xdr:col>
      <xdr:colOff>4680</xdr:colOff>
      <xdr:row>10</xdr:row>
      <xdr:rowOff>468720</xdr:rowOff>
    </xdr:to>
    <xdr:graphicFrame>
      <xdr:nvGraphicFramePr>
        <xdr:cNvPr id="4" name="Chart 1"/>
        <xdr:cNvGraphicFramePr/>
      </xdr:nvGraphicFramePr>
      <xdr:xfrm>
        <a:off x="15730920" y="1162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14</xdr:col>
      <xdr:colOff>101520</xdr:colOff>
      <xdr:row>17</xdr:row>
      <xdr:rowOff>77400</xdr:rowOff>
    </xdr:to>
    <xdr:graphicFrame>
      <xdr:nvGraphicFramePr>
        <xdr:cNvPr id="5" name="Chart 1"/>
        <xdr:cNvGraphicFramePr/>
      </xdr:nvGraphicFramePr>
      <xdr:xfrm>
        <a:off x="6977880" y="1657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12</xdr:col>
      <xdr:colOff>542160</xdr:colOff>
      <xdr:row>11</xdr:row>
      <xdr:rowOff>281520</xdr:rowOff>
    </xdr:to>
    <xdr:graphicFrame>
      <xdr:nvGraphicFramePr>
        <xdr:cNvPr id="6" name="Chart 1"/>
        <xdr:cNvGraphicFramePr/>
      </xdr:nvGraphicFramePr>
      <xdr:xfrm>
        <a:off x="9633600" y="16574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dataclouds.cninfo.com.cn/shgonggao/hsomarket/2026/20260429/f0f0b3057b0c40d9941d00be40097953.PDF" TargetMode="External"/><Relationship Id="rId2" Type="http://schemas.openxmlformats.org/officeDocument/2006/relationships/hyperlink" Target="https://disc.static.szse.cn/disc/disk03/finalpage/2026-04-21/02f8f6ce-0dcd-4ddd-9c8a-d4873b8e986a.PDF" TargetMode="External"/><Relationship Id="rId3" Type="http://schemas.openxmlformats.org/officeDocument/2006/relationships/hyperlink" Target="http://file.finance.sina.com.cn/211.154.219.97:9494/MRGG/CNSESH_STOCK/2026/2026-4/2026-04-25/12180724.PDF" TargetMode="External"/><Relationship Id="rId4" Type="http://schemas.openxmlformats.org/officeDocument/2006/relationships/hyperlink" Target="http://static.cninfo.com.cn/finalpage/2026-03-21/1225022066.PDF" TargetMode="External"/><Relationship Id="rId5" Type="http://schemas.openxmlformats.org/officeDocument/2006/relationships/hyperlink" Target="https://static.cninfo.com.cn/finalpage/2026-04-21/1225126516.PDF" TargetMode="External"/><Relationship Id="rId6" Type="http://schemas.openxmlformats.org/officeDocument/2006/relationships/hyperlink" Target="https://static.cninfo.com.cn/finalpage/2026-04-15/1225100697.PDF" TargetMode="External"/><Relationship Id="rId7" Type="http://schemas.openxmlformats.org/officeDocument/2006/relationships/hyperlink" Target="http://static.cninfo.com.cn/finalpage/2026-04-21/1225130635.PDF" TargetMode="External"/><Relationship Id="rId8" Type="http://schemas.openxmlformats.org/officeDocument/2006/relationships/hyperlink" Target="https://static.sse.com.cn/disclosure/listedinfo/announcement/c/new/2026-04-25/600586_20260425_AM36.pdf" TargetMode="External"/><Relationship Id="rId9" Type="http://schemas.openxmlformats.org/officeDocument/2006/relationships/hyperlink" Target="https://static.cninfo.com.cn/finalpage/2026-04-29/1225240408.PDF" TargetMode="External"/><Relationship Id="rId10" Type="http://schemas.openxmlformats.org/officeDocument/2006/relationships/hyperlink" Target="http://static.cninfo.com.cn/finalpage/2026-04-18/1225115190.PDF" TargetMode="External"/><Relationship Id="rId11" Type="http://schemas.openxmlformats.org/officeDocument/2006/relationships/hyperlink" Target="https://finance.sina.com.cn/jjxw/2026-05-15/doc-inhxypte8059749.shtml" TargetMode="External"/><Relationship Id="rId12" Type="http://schemas.openxmlformats.org/officeDocument/2006/relationships/hyperlink" Target="https://www.100ppi.com/forecast/detail-20260105-201890.html" TargetMode="External"/><Relationship Id="rId13" Type="http://schemas.openxmlformats.org/officeDocument/2006/relationships/hyperlink" Target="https://www.100ppi.com/dzh/10031/detail-20250103-197372.html" TargetMode="External"/><Relationship Id="rId14" Type="http://schemas.openxmlformats.org/officeDocument/2006/relationships/hyperlink" Target="https://finance.sina.com.cn/money/future/roll/2025-01-03/doc-inecsvux6433846.shtml" TargetMode="External"/><Relationship Id="rId15" Type="http://schemas.openxmlformats.org/officeDocument/2006/relationships/hyperlink" Target="http://www.cfachina.org/servicesupport/analygarden/nyhgl/cj_5769/202202/P020220221529615314165.pdf" TargetMode="External"/><Relationship Id="rId16" Type="http://schemas.openxmlformats.org/officeDocument/2006/relationships/hyperlink" Target="https://news.10jqka.com.cn/20261015/c680735910.shtml" TargetMode="External"/><Relationship Id="rId17" Type="http://schemas.openxmlformats.org/officeDocument/2006/relationships/hyperlink" Target="https://chem.100ppi.com/news/list--533-1.html" TargetMode="External"/><Relationship Id="rId18" Type="http://schemas.openxmlformats.org/officeDocument/2006/relationships/hyperlink" Target="https://x.qhkch.com/reports/reportId?id=211720" TargetMode="External"/><Relationship Id="rId19" Type="http://schemas.openxmlformats.org/officeDocument/2006/relationships/hyperlink" Target="https://caifuhao.eastmoney.com/news/20260730201740389910380" TargetMode="External"/><Relationship Id="rId20" Type="http://schemas.openxmlformats.org/officeDocument/2006/relationships/hyperlink" Target="https://www.chyxx.com/industry/1278161.html" TargetMode="External"/><Relationship Id="rId21" Type="http://schemas.openxmlformats.org/officeDocument/2006/relationships/hyperlink" Target="http://www.jshgjt.com/a/xinwenzhongxin/xingyexinwen/3140.html" TargetMode="External"/><Relationship Id="rId22" Type="http://schemas.openxmlformats.org/officeDocument/2006/relationships/hyperlink" Target="https://finance.sina.com.cn/roll/2026-01-27/doc-inhiuixs5455896.shtml" TargetMode="External"/><Relationship Id="rId23" Type="http://schemas.openxmlformats.org/officeDocument/2006/relationships/hyperlink" Target="https://finance.sina.cn/futuremarket/qszx/2019-11-22/detail-iihnzhfz0921055.d.html" TargetMode="External"/><Relationship Id="rId24" Type="http://schemas.openxmlformats.org/officeDocument/2006/relationships/hyperlink" Target="https://stockmc.xueqiu.com/202606/600328_20260604_27SP.pdf" TargetMode="External"/><Relationship Id="rId25" Type="http://schemas.openxmlformats.org/officeDocument/2006/relationships/hyperlink" Target="https://news.qq.com/rain/a/20250403A070K300" TargetMode="External"/><Relationship Id="rId26" Type="http://schemas.openxmlformats.org/officeDocument/2006/relationships/hyperlink" Target="https://www.hengyang.gov.cn/gxj/xxgk/tzgg/20240327/i3301098.html" TargetMode="External"/><Relationship Id="rId27" Type="http://schemas.openxmlformats.org/officeDocument/2006/relationships/hyperlink" Target="https://news.chemnet.com/toutiao/detail-89799.html" TargetMode="External"/><Relationship Id="rId28" Type="http://schemas.openxmlformats.org/officeDocument/2006/relationships/hyperlink" Target="https://m.cnfin.com/dz-lb//zixun/20251231/4358688_1.html" TargetMode="External"/><Relationship Id="rId29" Type="http://schemas.openxmlformats.org/officeDocument/2006/relationships/hyperlink" Target="https://news.haiwainet.cn/n/2025/0122/c3541089-32832061.html" TargetMode="External"/><Relationship Id="rId30" Type="http://schemas.openxmlformats.org/officeDocument/2006/relationships/hyperlink" Target="https://www.askci.com/news/20251020/170514276095111281687534.shtml" TargetMode="External"/><Relationship Id="rId3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3"/>
    <pageSetUpPr fitToPage="tru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"/>
    <col collapsed="false" customWidth="true" hidden="false" outlineLevel="0" max="7" min="3" style="0" width="18"/>
    <col collapsed="false" customWidth="true" hidden="false" outlineLevel="0" max="8" min="8" style="0" width="2.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25.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1"/>
    </row>
    <row r="4" customFormat="false" ht="21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1"/>
    </row>
    <row r="5" customFormat="false" ht="3.75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7" customFormat="false" ht="24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8" hidden="false" customHeight="true" outlineLevel="0" collapsed="false">
      <c r="A8" s="7" t="s">
        <v>4</v>
      </c>
      <c r="B8" s="7"/>
      <c r="C8" s="7"/>
      <c r="D8" s="7"/>
      <c r="E8" s="7"/>
      <c r="F8" s="7"/>
      <c r="G8" s="7"/>
      <c r="H8" s="7"/>
    </row>
    <row r="9" customFormat="false" ht="21.75" hidden="false" customHeight="true" outlineLevel="0" collapsed="false">
      <c r="B9" s="8" t="s">
        <v>5</v>
      </c>
      <c r="C9" s="9" t="s">
        <v>6</v>
      </c>
      <c r="D9" s="10" t="s">
        <v>7</v>
      </c>
      <c r="E9" s="10"/>
      <c r="F9" s="10"/>
      <c r="G9" s="10"/>
      <c r="H9" s="10"/>
    </row>
    <row r="10" customFormat="false" ht="21.75" hidden="false" customHeight="true" outlineLevel="0" collapsed="false">
      <c r="B10" s="8" t="s">
        <v>8</v>
      </c>
      <c r="C10" s="9" t="s">
        <v>9</v>
      </c>
      <c r="D10" s="10" t="s">
        <v>10</v>
      </c>
      <c r="E10" s="10"/>
      <c r="F10" s="10"/>
      <c r="G10" s="10"/>
      <c r="H10" s="10"/>
    </row>
    <row r="11" customFormat="false" ht="21.75" hidden="false" customHeight="true" outlineLevel="0" collapsed="false">
      <c r="B11" s="8" t="s">
        <v>11</v>
      </c>
      <c r="C11" s="9" t="s">
        <v>12</v>
      </c>
      <c r="D11" s="10" t="s">
        <v>13</v>
      </c>
      <c r="E11" s="10"/>
      <c r="F11" s="10"/>
      <c r="G11" s="10"/>
      <c r="H11" s="10"/>
    </row>
    <row r="12" customFormat="false" ht="21.75" hidden="false" customHeight="true" outlineLevel="0" collapsed="false">
      <c r="B12" s="8" t="s">
        <v>14</v>
      </c>
      <c r="C12" s="9" t="s">
        <v>15</v>
      </c>
      <c r="D12" s="10" t="s">
        <v>16</v>
      </c>
      <c r="E12" s="10"/>
      <c r="F12" s="10"/>
      <c r="G12" s="10"/>
      <c r="H12" s="10"/>
    </row>
    <row r="13" customFormat="false" ht="21.75" hidden="false" customHeight="true" outlineLevel="0" collapsed="false">
      <c r="B13" s="8" t="s">
        <v>17</v>
      </c>
      <c r="C13" s="9" t="s">
        <v>18</v>
      </c>
      <c r="D13" s="10" t="s">
        <v>19</v>
      </c>
      <c r="E13" s="10"/>
      <c r="F13" s="10"/>
      <c r="G13" s="10"/>
      <c r="H13" s="10"/>
    </row>
    <row r="14" customFormat="false" ht="21.75" hidden="false" customHeight="true" outlineLevel="0" collapsed="false">
      <c r="B14" s="8" t="s">
        <v>20</v>
      </c>
      <c r="C14" s="9" t="s">
        <v>21</v>
      </c>
      <c r="D14" s="10" t="s">
        <v>22</v>
      </c>
      <c r="E14" s="10"/>
      <c r="F14" s="10"/>
      <c r="G14" s="10"/>
      <c r="H14" s="10"/>
    </row>
    <row r="15" customFormat="false" ht="21.75" hidden="false" customHeight="true" outlineLevel="0" collapsed="false">
      <c r="B15" s="8" t="s">
        <v>23</v>
      </c>
      <c r="C15" s="9" t="s">
        <v>24</v>
      </c>
      <c r="D15" s="10" t="s">
        <v>25</v>
      </c>
      <c r="E15" s="10"/>
      <c r="F15" s="10"/>
      <c r="G15" s="10"/>
      <c r="H15" s="10"/>
    </row>
    <row r="16" customFormat="false" ht="21.75" hidden="false" customHeight="true" outlineLevel="0" collapsed="false">
      <c r="B16" s="8" t="s">
        <v>26</v>
      </c>
      <c r="C16" s="9" t="s">
        <v>27</v>
      </c>
      <c r="D16" s="10" t="s">
        <v>28</v>
      </c>
      <c r="E16" s="10"/>
      <c r="F16" s="10"/>
      <c r="G16" s="10"/>
      <c r="H16" s="10"/>
    </row>
    <row r="17" customFormat="false" ht="21.75" hidden="false" customHeight="true" outlineLevel="0" collapsed="false">
      <c r="B17" s="8" t="s">
        <v>29</v>
      </c>
      <c r="C17" s="9" t="s">
        <v>30</v>
      </c>
      <c r="D17" s="10" t="s">
        <v>31</v>
      </c>
      <c r="E17" s="10"/>
      <c r="F17" s="10"/>
      <c r="G17" s="10"/>
      <c r="H17" s="10"/>
    </row>
    <row r="18" customFormat="false" ht="21.75" hidden="false" customHeight="true" outlineLevel="0" collapsed="false">
      <c r="B18" s="8" t="s">
        <v>32</v>
      </c>
      <c r="C18" s="9" t="s">
        <v>33</v>
      </c>
      <c r="D18" s="10" t="s">
        <v>34</v>
      </c>
      <c r="E18" s="10"/>
      <c r="F18" s="10"/>
      <c r="G18" s="10"/>
      <c r="H18" s="10"/>
    </row>
    <row r="19" customFormat="false" ht="21.75" hidden="false" customHeight="true" outlineLevel="0" collapsed="false">
      <c r="B19" s="8" t="s">
        <v>35</v>
      </c>
      <c r="C19" s="9" t="s">
        <v>36</v>
      </c>
      <c r="D19" s="10" t="s">
        <v>37</v>
      </c>
      <c r="E19" s="10"/>
      <c r="F19" s="10"/>
      <c r="G19" s="10"/>
      <c r="H19" s="10"/>
    </row>
    <row r="20" customFormat="false" ht="21.75" hidden="false" customHeight="true" outlineLevel="0" collapsed="false">
      <c r="B20" s="8" t="s">
        <v>38</v>
      </c>
      <c r="C20" s="9" t="s">
        <v>39</v>
      </c>
      <c r="D20" s="10" t="s">
        <v>40</v>
      </c>
      <c r="E20" s="10"/>
      <c r="F20" s="10"/>
      <c r="G20" s="10"/>
      <c r="H20" s="10"/>
    </row>
    <row r="21" customFormat="false" ht="21.75" hidden="false" customHeight="true" outlineLevel="0" collapsed="false">
      <c r="B21" s="8" t="s">
        <v>41</v>
      </c>
      <c r="C21" s="9" t="s">
        <v>42</v>
      </c>
      <c r="D21" s="10" t="s">
        <v>43</v>
      </c>
      <c r="E21" s="10"/>
      <c r="F21" s="10"/>
      <c r="G21" s="10"/>
      <c r="H21" s="10"/>
    </row>
    <row r="22" customFormat="false" ht="21.75" hidden="false" customHeight="true" outlineLevel="0" collapsed="false">
      <c r="B22" s="8" t="s">
        <v>44</v>
      </c>
      <c r="C22" s="9" t="s">
        <v>45</v>
      </c>
      <c r="D22" s="10" t="s">
        <v>46</v>
      </c>
      <c r="E22" s="10"/>
      <c r="F22" s="10"/>
      <c r="G22" s="10"/>
      <c r="H22" s="10"/>
    </row>
    <row r="23" customFormat="false" ht="21.75" hidden="false" customHeight="true" outlineLevel="0" collapsed="false">
      <c r="B23" s="8" t="s">
        <v>47</v>
      </c>
      <c r="C23" s="9" t="s">
        <v>48</v>
      </c>
      <c r="D23" s="10" t="s">
        <v>49</v>
      </c>
      <c r="E23" s="10"/>
      <c r="F23" s="10"/>
      <c r="G23" s="10"/>
      <c r="H23" s="10"/>
    </row>
    <row r="26" customFormat="false" ht="24" hidden="false" customHeight="true" outlineLevel="0" collapsed="false">
      <c r="A26" s="6" t="s">
        <v>50</v>
      </c>
      <c r="B26" s="6"/>
      <c r="C26" s="6"/>
      <c r="D26" s="6"/>
      <c r="E26" s="6"/>
      <c r="F26" s="6"/>
      <c r="G26" s="6"/>
      <c r="H26" s="6"/>
    </row>
    <row r="28" customFormat="false" ht="16.5" hidden="false" customHeight="true" outlineLevel="0" collapsed="false">
      <c r="B28" s="11" t="s">
        <v>51</v>
      </c>
      <c r="C28" s="11"/>
      <c r="D28" s="11" t="s">
        <v>52</v>
      </c>
      <c r="E28" s="11"/>
      <c r="F28" s="11" t="s">
        <v>53</v>
      </c>
      <c r="G28" s="11"/>
    </row>
    <row r="29" customFormat="false" ht="27.75" hidden="false" customHeight="true" outlineLevel="0" collapsed="false">
      <c r="B29" s="12" t="s">
        <v>54</v>
      </c>
      <c r="C29" s="12"/>
      <c r="D29" s="12" t="s">
        <v>55</v>
      </c>
      <c r="E29" s="12"/>
      <c r="F29" s="12" t="s">
        <v>56</v>
      </c>
      <c r="G29" s="12"/>
    </row>
    <row r="30" customFormat="false" ht="24" hidden="false" customHeight="true" outlineLevel="0" collapsed="false">
      <c r="B30" s="13" t="s">
        <v>57</v>
      </c>
      <c r="C30" s="13"/>
      <c r="D30" s="13" t="s">
        <v>58</v>
      </c>
      <c r="E30" s="13"/>
      <c r="F30" s="13" t="s">
        <v>59</v>
      </c>
      <c r="G30" s="13"/>
    </row>
    <row r="31" customFormat="false" ht="16.5" hidden="false" customHeight="true" outlineLevel="0" collapsed="false">
      <c r="B31" s="11" t="s">
        <v>60</v>
      </c>
      <c r="C31" s="11"/>
      <c r="D31" s="11" t="s">
        <v>61</v>
      </c>
      <c r="E31" s="11"/>
      <c r="F31" s="11" t="s">
        <v>62</v>
      </c>
      <c r="G31" s="11"/>
    </row>
    <row r="32" customFormat="false" ht="27.75" hidden="false" customHeight="true" outlineLevel="0" collapsed="false">
      <c r="B32" s="12" t="s">
        <v>63</v>
      </c>
      <c r="C32" s="12"/>
      <c r="D32" s="12" t="s">
        <v>64</v>
      </c>
      <c r="E32" s="12"/>
      <c r="F32" s="12" t="s">
        <v>65</v>
      </c>
      <c r="G32" s="12"/>
    </row>
    <row r="33" customFormat="false" ht="24" hidden="false" customHeight="true" outlineLevel="0" collapsed="false">
      <c r="B33" s="13" t="s">
        <v>66</v>
      </c>
      <c r="C33" s="13"/>
      <c r="D33" s="13" t="s">
        <v>67</v>
      </c>
      <c r="E33" s="13"/>
      <c r="F33" s="13" t="s">
        <v>68</v>
      </c>
      <c r="G33" s="13"/>
    </row>
    <row r="36" customFormat="false" ht="24" hidden="false" customHeight="true" outlineLevel="0" collapsed="false">
      <c r="A36" s="6" t="s">
        <v>69</v>
      </c>
      <c r="B36" s="6"/>
      <c r="C36" s="6"/>
      <c r="D36" s="6"/>
      <c r="E36" s="6"/>
      <c r="F36" s="6"/>
      <c r="G36" s="6"/>
      <c r="H36" s="6"/>
    </row>
    <row r="38" customFormat="false" ht="24" hidden="false" customHeight="true" outlineLevel="0" collapsed="false">
      <c r="B38" s="14" t="s">
        <v>70</v>
      </c>
      <c r="C38" s="14"/>
      <c r="D38" s="14"/>
      <c r="E38" s="14"/>
      <c r="F38" s="14"/>
      <c r="G38" s="14"/>
      <c r="H38" s="14"/>
    </row>
    <row r="39" customFormat="false" ht="24" hidden="false" customHeight="true" outlineLevel="0" collapsed="false">
      <c r="B39" s="14" t="s">
        <v>71</v>
      </c>
      <c r="C39" s="14"/>
      <c r="D39" s="14"/>
      <c r="E39" s="14"/>
      <c r="F39" s="14"/>
      <c r="G39" s="14"/>
      <c r="H39" s="14"/>
    </row>
    <row r="40" customFormat="false" ht="24" hidden="false" customHeight="true" outlineLevel="0" collapsed="false">
      <c r="B40" s="14" t="s">
        <v>72</v>
      </c>
      <c r="C40" s="14"/>
      <c r="D40" s="14"/>
      <c r="E40" s="14"/>
      <c r="F40" s="14"/>
      <c r="G40" s="14"/>
      <c r="H40" s="14"/>
    </row>
    <row r="41" customFormat="false" ht="24" hidden="false" customHeight="true" outlineLevel="0" collapsed="false">
      <c r="B41" s="14" t="s">
        <v>73</v>
      </c>
      <c r="C41" s="14"/>
      <c r="D41" s="14"/>
      <c r="E41" s="14"/>
      <c r="F41" s="14"/>
      <c r="G41" s="14"/>
      <c r="H41" s="14"/>
    </row>
    <row r="42" customFormat="false" ht="24" hidden="false" customHeight="true" outlineLevel="0" collapsed="false">
      <c r="B42" s="14" t="s">
        <v>74</v>
      </c>
      <c r="C42" s="14"/>
      <c r="D42" s="14"/>
      <c r="E42" s="14"/>
      <c r="F42" s="14"/>
      <c r="G42" s="14"/>
      <c r="H42" s="14"/>
    </row>
    <row r="43" customFormat="false" ht="24" hidden="false" customHeight="true" outlineLevel="0" collapsed="false">
      <c r="B43" s="14" t="s">
        <v>75</v>
      </c>
      <c r="C43" s="14"/>
      <c r="D43" s="14"/>
      <c r="E43" s="14"/>
      <c r="F43" s="14"/>
      <c r="G43" s="14"/>
      <c r="H43" s="14"/>
    </row>
  </sheetData>
  <mergeCells count="46">
    <mergeCell ref="B2:G2"/>
    <mergeCell ref="B3:G3"/>
    <mergeCell ref="B4:G4"/>
    <mergeCell ref="A7:H7"/>
    <mergeCell ref="A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A26:H26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A36:H36"/>
    <mergeCell ref="B38:H38"/>
    <mergeCell ref="B39:H39"/>
    <mergeCell ref="B40:H40"/>
    <mergeCell ref="B41:H41"/>
    <mergeCell ref="B42:H42"/>
    <mergeCell ref="B43:H43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5" t="s">
        <v>6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76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77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18" t="s">
        <v>78</v>
      </c>
      <c r="B6" s="18" t="s">
        <v>79</v>
      </c>
      <c r="C6" s="18" t="s">
        <v>80</v>
      </c>
      <c r="D6" s="18" t="s">
        <v>81</v>
      </c>
      <c r="E6" s="18" t="s">
        <v>82</v>
      </c>
      <c r="F6" s="18" t="s">
        <v>83</v>
      </c>
      <c r="G6" s="18" t="s">
        <v>84</v>
      </c>
    </row>
    <row r="7" customFormat="false" ht="61.5" hidden="false" customHeight="true" outlineLevel="0" collapsed="false">
      <c r="A7" s="19" t="s">
        <v>85</v>
      </c>
      <c r="B7" s="20" t="s">
        <v>86</v>
      </c>
      <c r="C7" s="21" t="s">
        <v>87</v>
      </c>
      <c r="D7" s="21" t="s">
        <v>88</v>
      </c>
      <c r="E7" s="22" t="s">
        <v>89</v>
      </c>
      <c r="F7" s="21" t="s">
        <v>90</v>
      </c>
      <c r="G7" s="21" t="s">
        <v>91</v>
      </c>
    </row>
    <row r="8" customFormat="false" ht="61.5" hidden="false" customHeight="true" outlineLevel="0" collapsed="false">
      <c r="A8" s="23" t="s">
        <v>92</v>
      </c>
      <c r="B8" s="24" t="s">
        <v>93</v>
      </c>
      <c r="C8" s="25" t="s">
        <v>94</v>
      </c>
      <c r="D8" s="25" t="s">
        <v>95</v>
      </c>
      <c r="E8" s="22" t="s">
        <v>89</v>
      </c>
      <c r="F8" s="25" t="s">
        <v>96</v>
      </c>
      <c r="G8" s="25" t="s">
        <v>97</v>
      </c>
    </row>
    <row r="9" customFormat="false" ht="61.5" hidden="false" customHeight="true" outlineLevel="0" collapsed="false">
      <c r="A9" s="19" t="s">
        <v>98</v>
      </c>
      <c r="B9" s="20" t="s">
        <v>99</v>
      </c>
      <c r="C9" s="21" t="s">
        <v>100</v>
      </c>
      <c r="D9" s="21" t="s">
        <v>101</v>
      </c>
      <c r="E9" s="22" t="s">
        <v>102</v>
      </c>
      <c r="F9" s="21" t="s">
        <v>103</v>
      </c>
      <c r="G9" s="21" t="s">
        <v>104</v>
      </c>
    </row>
    <row r="10" customFormat="false" ht="61.5" hidden="false" customHeight="true" outlineLevel="0" collapsed="false">
      <c r="A10" s="23" t="s">
        <v>105</v>
      </c>
      <c r="B10" s="24" t="s">
        <v>106</v>
      </c>
      <c r="C10" s="25" t="s">
        <v>107</v>
      </c>
      <c r="D10" s="25" t="s">
        <v>108</v>
      </c>
      <c r="E10" s="22" t="s">
        <v>89</v>
      </c>
      <c r="F10" s="25" t="s">
        <v>109</v>
      </c>
      <c r="G10" s="25" t="s">
        <v>110</v>
      </c>
    </row>
    <row r="11" customFormat="false" ht="61.5" hidden="false" customHeight="true" outlineLevel="0" collapsed="false">
      <c r="A11" s="19" t="s">
        <v>111</v>
      </c>
      <c r="B11" s="20" t="s">
        <v>112</v>
      </c>
      <c r="C11" s="21" t="s">
        <v>113</v>
      </c>
      <c r="D11" s="21" t="s">
        <v>114</v>
      </c>
      <c r="E11" s="22" t="s">
        <v>102</v>
      </c>
      <c r="F11" s="21" t="s">
        <v>115</v>
      </c>
      <c r="G11" s="21" t="s">
        <v>116</v>
      </c>
    </row>
    <row r="12" customFormat="false" ht="61.5" hidden="false" customHeight="true" outlineLevel="0" collapsed="false">
      <c r="A12" s="23" t="s">
        <v>117</v>
      </c>
      <c r="B12" s="24" t="s">
        <v>118</v>
      </c>
      <c r="C12" s="25" t="s">
        <v>119</v>
      </c>
      <c r="D12" s="25" t="s">
        <v>120</v>
      </c>
      <c r="E12" s="26" t="s">
        <v>121</v>
      </c>
      <c r="F12" s="25" t="s">
        <v>122</v>
      </c>
      <c r="G12" s="25" t="s">
        <v>123</v>
      </c>
    </row>
    <row r="14" customFormat="false" ht="37.5" hidden="false" customHeight="true" outlineLevel="0" collapsed="false">
      <c r="A14" s="27" t="s">
        <v>124</v>
      </c>
      <c r="B14" s="27"/>
      <c r="C14" s="27"/>
      <c r="D14" s="27"/>
      <c r="E14" s="27"/>
      <c r="F14" s="27"/>
      <c r="G14" s="27"/>
    </row>
  </sheetData>
  <autoFilter ref="A6:G12"/>
  <mergeCells count="4">
    <mergeCell ref="A1:G1"/>
    <mergeCell ref="A2:G2"/>
    <mergeCell ref="A3:G3"/>
    <mergeCell ref="A14:G14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A1:P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1" min="10" style="0" width="22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22"/>
    <col collapsed="false" customWidth="true" hidden="false" outlineLevel="0" max="15" min="15" style="0" width="46"/>
    <col collapsed="false" customWidth="true" hidden="false" outlineLevel="0" max="16" min="16" style="0" width="7"/>
  </cols>
  <sheetData>
    <row r="1" customFormat="false" ht="36" hidden="false" customHeight="true" outlineLevel="0" collapsed="false">
      <c r="A1" s="15" t="s">
        <v>125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9.5" hidden="false" customHeight="true" outlineLevel="0" collapsed="false">
      <c r="A2" s="16" t="s">
        <v>126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Format="false" ht="18" hidden="false" customHeight="true" outlineLevel="0" collapsed="false">
      <c r="A3" s="17" t="s">
        <v>127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customFormat="false" ht="30" hidden="false" customHeight="true" outlineLevel="0" collapsed="false">
      <c r="A6" s="18" t="s">
        <v>78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132</v>
      </c>
      <c r="G6" s="18" t="s">
        <v>133</v>
      </c>
      <c r="H6" s="18" t="s">
        <v>134</v>
      </c>
      <c r="I6" s="18" t="s">
        <v>135</v>
      </c>
      <c r="J6" s="18" t="s">
        <v>136</v>
      </c>
      <c r="K6" s="18" t="s">
        <v>137</v>
      </c>
      <c r="L6" s="18" t="s">
        <v>138</v>
      </c>
      <c r="M6" s="18" t="s">
        <v>139</v>
      </c>
      <c r="N6" s="18" t="s">
        <v>140</v>
      </c>
      <c r="O6" s="18" t="s">
        <v>84</v>
      </c>
      <c r="P6" s="18" t="s">
        <v>82</v>
      </c>
    </row>
    <row r="7" customFormat="false" ht="33.75" hidden="false" customHeight="true" outlineLevel="0" collapsed="false">
      <c r="A7" s="19" t="n">
        <v>1</v>
      </c>
      <c r="B7" s="28" t="s">
        <v>141</v>
      </c>
      <c r="C7" s="21" t="s">
        <v>142</v>
      </c>
      <c r="D7" s="19" t="s">
        <v>143</v>
      </c>
      <c r="E7" s="19" t="s">
        <v>144</v>
      </c>
      <c r="F7" s="29" t="s">
        <v>145</v>
      </c>
      <c r="G7" s="30" t="n">
        <v>500</v>
      </c>
      <c r="H7" s="30" t="n">
        <v>780</v>
      </c>
      <c r="I7" s="31" t="n">
        <v>280</v>
      </c>
      <c r="J7" s="21" t="s">
        <v>146</v>
      </c>
      <c r="K7" s="21" t="s">
        <v>147</v>
      </c>
      <c r="L7" s="19" t="s">
        <v>148</v>
      </c>
      <c r="M7" s="19" t="s">
        <v>149</v>
      </c>
      <c r="N7" s="21" t="s">
        <v>150</v>
      </c>
      <c r="O7" s="21" t="s">
        <v>151</v>
      </c>
      <c r="P7" s="19" t="s">
        <v>121</v>
      </c>
    </row>
    <row r="8" customFormat="false" ht="33.75" hidden="false" customHeight="true" outlineLevel="0" collapsed="false">
      <c r="A8" s="23" t="n">
        <v>2</v>
      </c>
      <c r="B8" s="32" t="s">
        <v>141</v>
      </c>
      <c r="C8" s="25" t="s">
        <v>152</v>
      </c>
      <c r="D8" s="23" t="s">
        <v>153</v>
      </c>
      <c r="E8" s="23" t="s">
        <v>154</v>
      </c>
      <c r="F8" s="29" t="s">
        <v>145</v>
      </c>
      <c r="G8" s="33" t="n">
        <v>180</v>
      </c>
      <c r="H8" s="33" t="n">
        <v>180</v>
      </c>
      <c r="I8" s="34" t="n">
        <v>0</v>
      </c>
      <c r="J8" s="25" t="s">
        <v>146</v>
      </c>
      <c r="K8" s="25" t="s">
        <v>147</v>
      </c>
      <c r="L8" s="23" t="s">
        <v>148</v>
      </c>
      <c r="M8" s="23" t="s">
        <v>149</v>
      </c>
      <c r="N8" s="25" t="s">
        <v>150</v>
      </c>
      <c r="O8" s="25" t="s">
        <v>155</v>
      </c>
      <c r="P8" s="23" t="s">
        <v>121</v>
      </c>
    </row>
    <row r="9" customFormat="false" ht="33.75" hidden="false" customHeight="true" outlineLevel="0" collapsed="false">
      <c r="A9" s="19" t="n">
        <v>3</v>
      </c>
      <c r="B9" s="28" t="s">
        <v>156</v>
      </c>
      <c r="C9" s="21" t="s">
        <v>157</v>
      </c>
      <c r="D9" s="19" t="s">
        <v>158</v>
      </c>
      <c r="E9" s="19" t="s">
        <v>159</v>
      </c>
      <c r="F9" s="29" t="s">
        <v>160</v>
      </c>
      <c r="G9" s="30" t="n">
        <v>295</v>
      </c>
      <c r="H9" s="30" t="n">
        <v>295</v>
      </c>
      <c r="I9" s="31" t="n">
        <v>0</v>
      </c>
      <c r="J9" s="21" t="s">
        <v>161</v>
      </c>
      <c r="K9" s="21" t="s">
        <v>162</v>
      </c>
      <c r="L9" s="19" t="s">
        <v>148</v>
      </c>
      <c r="M9" s="19" t="s">
        <v>163</v>
      </c>
      <c r="N9" s="21" t="s">
        <v>164</v>
      </c>
      <c r="O9" s="21" t="s">
        <v>165</v>
      </c>
      <c r="P9" s="19" t="s">
        <v>121</v>
      </c>
    </row>
    <row r="10" customFormat="false" ht="33.75" hidden="false" customHeight="true" outlineLevel="0" collapsed="false">
      <c r="A10" s="23" t="n">
        <v>4</v>
      </c>
      <c r="B10" s="32" t="s">
        <v>156</v>
      </c>
      <c r="C10" s="25" t="s">
        <v>166</v>
      </c>
      <c r="D10" s="23" t="s">
        <v>143</v>
      </c>
      <c r="E10" s="23" t="s">
        <v>144</v>
      </c>
      <c r="F10" s="29" t="s">
        <v>160</v>
      </c>
      <c r="G10" s="33" t="n">
        <v>35</v>
      </c>
      <c r="H10" s="33" t="n">
        <v>35</v>
      </c>
      <c r="I10" s="34" t="n">
        <v>0</v>
      </c>
      <c r="J10" s="25" t="s">
        <v>161</v>
      </c>
      <c r="K10" s="25" t="s">
        <v>162</v>
      </c>
      <c r="L10" s="23" t="s">
        <v>148</v>
      </c>
      <c r="M10" s="23" t="s">
        <v>163</v>
      </c>
      <c r="N10" s="25" t="s">
        <v>164</v>
      </c>
      <c r="O10" s="25" t="s">
        <v>167</v>
      </c>
      <c r="P10" s="23" t="s">
        <v>121</v>
      </c>
    </row>
    <row r="11" customFormat="false" ht="33.75" hidden="false" customHeight="true" outlineLevel="0" collapsed="false">
      <c r="A11" s="19" t="n">
        <v>5</v>
      </c>
      <c r="B11" s="28" t="s">
        <v>156</v>
      </c>
      <c r="C11" s="21" t="s">
        <v>168</v>
      </c>
      <c r="D11" s="19" t="s">
        <v>169</v>
      </c>
      <c r="E11" s="19" t="s">
        <v>170</v>
      </c>
      <c r="F11" s="29" t="s">
        <v>171</v>
      </c>
      <c r="G11" s="30" t="n">
        <v>60</v>
      </c>
      <c r="H11" s="30" t="n">
        <v>60</v>
      </c>
      <c r="I11" s="31" t="n">
        <v>0</v>
      </c>
      <c r="J11" s="21" t="s">
        <v>172</v>
      </c>
      <c r="K11" s="21" t="s">
        <v>173</v>
      </c>
      <c r="L11" s="19" t="s">
        <v>148</v>
      </c>
      <c r="M11" s="19" t="s">
        <v>163</v>
      </c>
      <c r="N11" s="21" t="s">
        <v>164</v>
      </c>
      <c r="O11" s="21" t="s">
        <v>174</v>
      </c>
      <c r="P11" s="19" t="s">
        <v>121</v>
      </c>
    </row>
    <row r="12" customFormat="false" ht="33.75" hidden="false" customHeight="true" outlineLevel="0" collapsed="false">
      <c r="A12" s="23" t="n">
        <v>6</v>
      </c>
      <c r="B12" s="32" t="s">
        <v>175</v>
      </c>
      <c r="C12" s="25" t="s">
        <v>176</v>
      </c>
      <c r="D12" s="23" t="s">
        <v>153</v>
      </c>
      <c r="E12" s="23" t="s">
        <v>177</v>
      </c>
      <c r="F12" s="29" t="s">
        <v>171</v>
      </c>
      <c r="G12" s="33" t="n">
        <v>340</v>
      </c>
      <c r="H12" s="33" t="n">
        <v>340</v>
      </c>
      <c r="I12" s="34" t="n">
        <v>0</v>
      </c>
      <c r="J12" s="25" t="s">
        <v>172</v>
      </c>
      <c r="K12" s="25" t="s">
        <v>173</v>
      </c>
      <c r="L12" s="23" t="s">
        <v>148</v>
      </c>
      <c r="M12" s="23" t="s">
        <v>178</v>
      </c>
      <c r="N12" s="25" t="s">
        <v>179</v>
      </c>
      <c r="O12" s="25" t="s">
        <v>180</v>
      </c>
      <c r="P12" s="23" t="s">
        <v>121</v>
      </c>
    </row>
    <row r="13" customFormat="false" ht="33.75" hidden="false" customHeight="true" outlineLevel="0" collapsed="false">
      <c r="A13" s="19" t="n">
        <v>7</v>
      </c>
      <c r="B13" s="28" t="s">
        <v>181</v>
      </c>
      <c r="C13" s="21" t="s">
        <v>182</v>
      </c>
      <c r="D13" s="19" t="s">
        <v>183</v>
      </c>
      <c r="E13" s="19" t="s">
        <v>184</v>
      </c>
      <c r="F13" s="29" t="s">
        <v>160</v>
      </c>
      <c r="G13" s="30" t="n">
        <v>230</v>
      </c>
      <c r="H13" s="30" t="n">
        <v>230</v>
      </c>
      <c r="I13" s="31" t="n">
        <v>0</v>
      </c>
      <c r="J13" s="21" t="s">
        <v>161</v>
      </c>
      <c r="K13" s="21" t="s">
        <v>162</v>
      </c>
      <c r="L13" s="19" t="s">
        <v>148</v>
      </c>
      <c r="M13" s="19" t="s">
        <v>185</v>
      </c>
      <c r="N13" s="21" t="s">
        <v>186</v>
      </c>
      <c r="O13" s="21" t="s">
        <v>187</v>
      </c>
      <c r="P13" s="19" t="s">
        <v>121</v>
      </c>
    </row>
    <row r="14" customFormat="false" ht="33.75" hidden="false" customHeight="true" outlineLevel="0" collapsed="false">
      <c r="A14" s="23" t="n">
        <v>8</v>
      </c>
      <c r="B14" s="32" t="s">
        <v>181</v>
      </c>
      <c r="C14" s="25" t="s">
        <v>188</v>
      </c>
      <c r="D14" s="23" t="s">
        <v>158</v>
      </c>
      <c r="E14" s="23" t="s">
        <v>159</v>
      </c>
      <c r="F14" s="29" t="s">
        <v>160</v>
      </c>
      <c r="G14" s="33" t="n">
        <v>110</v>
      </c>
      <c r="H14" s="33" t="n">
        <v>110</v>
      </c>
      <c r="I14" s="34" t="n">
        <v>0</v>
      </c>
      <c r="J14" s="25" t="s">
        <v>161</v>
      </c>
      <c r="K14" s="25" t="s">
        <v>162</v>
      </c>
      <c r="L14" s="23" t="s">
        <v>148</v>
      </c>
      <c r="M14" s="23" t="s">
        <v>185</v>
      </c>
      <c r="N14" s="25" t="s">
        <v>186</v>
      </c>
      <c r="O14" s="25" t="s">
        <v>189</v>
      </c>
      <c r="P14" s="23" t="s">
        <v>121</v>
      </c>
    </row>
    <row r="15" customFormat="false" ht="33.75" hidden="false" customHeight="true" outlineLevel="0" collapsed="false">
      <c r="A15" s="19" t="n">
        <v>9</v>
      </c>
      <c r="B15" s="28" t="s">
        <v>190</v>
      </c>
      <c r="C15" s="21" t="s">
        <v>191</v>
      </c>
      <c r="D15" s="19" t="s">
        <v>192</v>
      </c>
      <c r="E15" s="19" t="s">
        <v>193</v>
      </c>
      <c r="F15" s="29" t="s">
        <v>160</v>
      </c>
      <c r="G15" s="30" t="n">
        <v>280</v>
      </c>
      <c r="H15" s="30" t="n">
        <v>280</v>
      </c>
      <c r="I15" s="31" t="n">
        <v>0</v>
      </c>
      <c r="J15" s="21" t="s">
        <v>161</v>
      </c>
      <c r="K15" s="21" t="s">
        <v>162</v>
      </c>
      <c r="L15" s="19" t="s">
        <v>148</v>
      </c>
      <c r="M15" s="19" t="s">
        <v>194</v>
      </c>
      <c r="N15" s="21" t="s">
        <v>195</v>
      </c>
      <c r="O15" s="21" t="s">
        <v>196</v>
      </c>
      <c r="P15" s="19" t="s">
        <v>121</v>
      </c>
    </row>
    <row r="16" customFormat="false" ht="33.75" hidden="false" customHeight="true" outlineLevel="0" collapsed="false">
      <c r="A16" s="23" t="n">
        <v>10</v>
      </c>
      <c r="B16" s="32" t="s">
        <v>197</v>
      </c>
      <c r="C16" s="25" t="s">
        <v>198</v>
      </c>
      <c r="D16" s="23" t="s">
        <v>199</v>
      </c>
      <c r="E16" s="23" t="s">
        <v>200</v>
      </c>
      <c r="F16" s="29" t="s">
        <v>171</v>
      </c>
      <c r="G16" s="33" t="n">
        <v>125</v>
      </c>
      <c r="H16" s="33" t="n">
        <v>125</v>
      </c>
      <c r="I16" s="34" t="n">
        <v>0</v>
      </c>
      <c r="J16" s="25" t="s">
        <v>172</v>
      </c>
      <c r="K16" s="25" t="s">
        <v>201</v>
      </c>
      <c r="L16" s="23" t="s">
        <v>148</v>
      </c>
      <c r="M16" s="23" t="s">
        <v>202</v>
      </c>
      <c r="N16" s="25" t="s">
        <v>203</v>
      </c>
      <c r="O16" s="25" t="s">
        <v>204</v>
      </c>
      <c r="P16" s="23" t="s">
        <v>121</v>
      </c>
    </row>
    <row r="17" customFormat="false" ht="33.75" hidden="false" customHeight="true" outlineLevel="0" collapsed="false">
      <c r="A17" s="19" t="n">
        <v>11</v>
      </c>
      <c r="B17" s="28" t="s">
        <v>205</v>
      </c>
      <c r="C17" s="21" t="s">
        <v>206</v>
      </c>
      <c r="D17" s="19" t="s">
        <v>207</v>
      </c>
      <c r="E17" s="19" t="s">
        <v>208</v>
      </c>
      <c r="F17" s="29" t="s">
        <v>171</v>
      </c>
      <c r="G17" s="30" t="n">
        <v>60</v>
      </c>
      <c r="H17" s="30" t="n">
        <v>130</v>
      </c>
      <c r="I17" s="31" t="n">
        <v>70</v>
      </c>
      <c r="J17" s="21" t="s">
        <v>172</v>
      </c>
      <c r="K17" s="21" t="s">
        <v>209</v>
      </c>
      <c r="L17" s="19" t="s">
        <v>210</v>
      </c>
      <c r="M17" s="19" t="s">
        <v>211</v>
      </c>
      <c r="N17" s="21" t="s">
        <v>212</v>
      </c>
      <c r="O17" s="21" t="s">
        <v>213</v>
      </c>
      <c r="P17" s="19" t="s">
        <v>121</v>
      </c>
    </row>
    <row r="18" customFormat="false" ht="33.75" hidden="false" customHeight="true" outlineLevel="0" collapsed="false">
      <c r="A18" s="23" t="n">
        <v>12</v>
      </c>
      <c r="B18" s="32" t="s">
        <v>214</v>
      </c>
      <c r="C18" s="25" t="s">
        <v>215</v>
      </c>
      <c r="D18" s="23" t="s">
        <v>192</v>
      </c>
      <c r="E18" s="23" t="s">
        <v>193</v>
      </c>
      <c r="F18" s="29" t="s">
        <v>171</v>
      </c>
      <c r="G18" s="33" t="n">
        <v>150</v>
      </c>
      <c r="H18" s="33" t="n">
        <v>150</v>
      </c>
      <c r="I18" s="34" t="n">
        <v>0</v>
      </c>
      <c r="J18" s="25" t="s">
        <v>161</v>
      </c>
      <c r="K18" s="25" t="s">
        <v>173</v>
      </c>
      <c r="L18" s="23" t="s">
        <v>148</v>
      </c>
      <c r="M18" s="23" t="s">
        <v>216</v>
      </c>
      <c r="N18" s="25" t="s">
        <v>217</v>
      </c>
      <c r="O18" s="25" t="s">
        <v>218</v>
      </c>
      <c r="P18" s="23" t="s">
        <v>121</v>
      </c>
    </row>
    <row r="19" customFormat="false" ht="33.75" hidden="false" customHeight="true" outlineLevel="0" collapsed="false">
      <c r="A19" s="19" t="n">
        <v>13</v>
      </c>
      <c r="B19" s="28" t="s">
        <v>219</v>
      </c>
      <c r="C19" s="21" t="s">
        <v>220</v>
      </c>
      <c r="D19" s="19" t="s">
        <v>221</v>
      </c>
      <c r="E19" s="19" t="s">
        <v>222</v>
      </c>
      <c r="F19" s="29" t="s">
        <v>171</v>
      </c>
      <c r="G19" s="30" t="n">
        <v>100</v>
      </c>
      <c r="H19" s="30" t="n">
        <v>100</v>
      </c>
      <c r="I19" s="31" t="n">
        <v>0</v>
      </c>
      <c r="J19" s="21" t="s">
        <v>172</v>
      </c>
      <c r="K19" s="21" t="s">
        <v>209</v>
      </c>
      <c r="L19" s="19" t="s">
        <v>148</v>
      </c>
      <c r="M19" s="19" t="s">
        <v>223</v>
      </c>
      <c r="N19" s="21" t="s">
        <v>224</v>
      </c>
      <c r="O19" s="21" t="s">
        <v>225</v>
      </c>
      <c r="P19" s="19" t="s">
        <v>121</v>
      </c>
    </row>
    <row r="20" customFormat="false" ht="33.75" hidden="false" customHeight="true" outlineLevel="0" collapsed="false">
      <c r="A20" s="23" t="n">
        <v>14</v>
      </c>
      <c r="B20" s="32" t="s">
        <v>219</v>
      </c>
      <c r="C20" s="25" t="s">
        <v>226</v>
      </c>
      <c r="D20" s="23" t="s">
        <v>227</v>
      </c>
      <c r="E20" s="23" t="s">
        <v>228</v>
      </c>
      <c r="F20" s="29" t="s">
        <v>171</v>
      </c>
      <c r="G20" s="33" t="n">
        <v>0</v>
      </c>
      <c r="H20" s="33" t="n">
        <v>100</v>
      </c>
      <c r="I20" s="34" t="n">
        <v>100</v>
      </c>
      <c r="J20" s="25" t="s">
        <v>172</v>
      </c>
      <c r="K20" s="25" t="s">
        <v>209</v>
      </c>
      <c r="L20" s="23" t="s">
        <v>229</v>
      </c>
      <c r="M20" s="23" t="s">
        <v>223</v>
      </c>
      <c r="N20" s="25" t="s">
        <v>230</v>
      </c>
      <c r="O20" s="25" t="s">
        <v>231</v>
      </c>
      <c r="P20" s="23" t="s">
        <v>121</v>
      </c>
    </row>
    <row r="21" customFormat="false" ht="33.75" hidden="false" customHeight="true" outlineLevel="0" collapsed="false">
      <c r="A21" s="19" t="n">
        <v>15</v>
      </c>
      <c r="B21" s="28" t="s">
        <v>232</v>
      </c>
      <c r="C21" s="21" t="s">
        <v>233</v>
      </c>
      <c r="D21" s="19" t="s">
        <v>169</v>
      </c>
      <c r="E21" s="19" t="s">
        <v>234</v>
      </c>
      <c r="F21" s="29" t="s">
        <v>171</v>
      </c>
      <c r="G21" s="30" t="n">
        <v>70</v>
      </c>
      <c r="H21" s="30" t="n">
        <v>70</v>
      </c>
      <c r="I21" s="31" t="n">
        <v>0</v>
      </c>
      <c r="J21" s="21" t="s">
        <v>172</v>
      </c>
      <c r="K21" s="21" t="s">
        <v>209</v>
      </c>
      <c r="L21" s="19" t="s">
        <v>148</v>
      </c>
      <c r="M21" s="19" t="s">
        <v>235</v>
      </c>
      <c r="N21" s="21" t="s">
        <v>179</v>
      </c>
      <c r="O21" s="21" t="s">
        <v>236</v>
      </c>
      <c r="P21" s="19" t="s">
        <v>121</v>
      </c>
    </row>
    <row r="22" customFormat="false" ht="33.75" hidden="false" customHeight="true" outlineLevel="0" collapsed="false">
      <c r="A22" s="23" t="n">
        <v>16</v>
      </c>
      <c r="B22" s="32" t="s">
        <v>237</v>
      </c>
      <c r="C22" s="25" t="s">
        <v>238</v>
      </c>
      <c r="D22" s="23" t="s">
        <v>169</v>
      </c>
      <c r="E22" s="23" t="s">
        <v>170</v>
      </c>
      <c r="F22" s="29" t="s">
        <v>171</v>
      </c>
      <c r="G22" s="33" t="n">
        <v>70</v>
      </c>
      <c r="H22" s="33" t="n">
        <v>70</v>
      </c>
      <c r="I22" s="34" t="n">
        <v>0</v>
      </c>
      <c r="J22" s="25" t="s">
        <v>172</v>
      </c>
      <c r="K22" s="25" t="s">
        <v>239</v>
      </c>
      <c r="L22" s="23" t="s">
        <v>148</v>
      </c>
      <c r="M22" s="23" t="s">
        <v>240</v>
      </c>
      <c r="N22" s="25" t="s">
        <v>241</v>
      </c>
      <c r="O22" s="25" t="s">
        <v>242</v>
      </c>
      <c r="P22" s="23" t="s">
        <v>121</v>
      </c>
    </row>
    <row r="23" customFormat="false" ht="33.75" hidden="false" customHeight="true" outlineLevel="0" collapsed="false">
      <c r="A23" s="19" t="n">
        <v>17</v>
      </c>
      <c r="B23" s="28" t="s">
        <v>243</v>
      </c>
      <c r="C23" s="21" t="s">
        <v>206</v>
      </c>
      <c r="D23" s="19" t="s">
        <v>207</v>
      </c>
      <c r="E23" s="19" t="s">
        <v>208</v>
      </c>
      <c r="F23" s="29" t="s">
        <v>171</v>
      </c>
      <c r="G23" s="30" t="n">
        <v>110</v>
      </c>
      <c r="H23" s="30" t="n">
        <v>110</v>
      </c>
      <c r="I23" s="31" t="n">
        <v>0</v>
      </c>
      <c r="J23" s="21" t="s">
        <v>172</v>
      </c>
      <c r="K23" s="21" t="s">
        <v>173</v>
      </c>
      <c r="L23" s="19" t="s">
        <v>148</v>
      </c>
      <c r="M23" s="19" t="s">
        <v>244</v>
      </c>
      <c r="N23" s="21" t="s">
        <v>245</v>
      </c>
      <c r="O23" s="21" t="s">
        <v>246</v>
      </c>
      <c r="P23" s="19" t="s">
        <v>121</v>
      </c>
    </row>
    <row r="24" customFormat="false" ht="33.75" hidden="false" customHeight="true" outlineLevel="0" collapsed="false">
      <c r="A24" s="23" t="n">
        <v>18</v>
      </c>
      <c r="B24" s="32" t="s">
        <v>247</v>
      </c>
      <c r="C24" s="25" t="s">
        <v>248</v>
      </c>
      <c r="D24" s="23" t="s">
        <v>207</v>
      </c>
      <c r="E24" s="23" t="s">
        <v>249</v>
      </c>
      <c r="F24" s="29" t="s">
        <v>171</v>
      </c>
      <c r="G24" s="33" t="n">
        <v>110</v>
      </c>
      <c r="H24" s="33" t="n">
        <v>110</v>
      </c>
      <c r="I24" s="34" t="n">
        <v>0</v>
      </c>
      <c r="J24" s="25" t="s">
        <v>172</v>
      </c>
      <c r="K24" s="25" t="s">
        <v>173</v>
      </c>
      <c r="L24" s="23" t="s">
        <v>148</v>
      </c>
      <c r="M24" s="23" t="s">
        <v>250</v>
      </c>
      <c r="N24" s="25" t="s">
        <v>179</v>
      </c>
      <c r="O24" s="25" t="s">
        <v>251</v>
      </c>
      <c r="P24" s="23" t="s">
        <v>121</v>
      </c>
    </row>
    <row r="25" customFormat="false" ht="33.75" hidden="false" customHeight="true" outlineLevel="0" collapsed="false">
      <c r="A25" s="19" t="n">
        <v>19</v>
      </c>
      <c r="B25" s="28" t="s">
        <v>252</v>
      </c>
      <c r="C25" s="21" t="s">
        <v>253</v>
      </c>
      <c r="D25" s="19" t="s">
        <v>169</v>
      </c>
      <c r="E25" s="19" t="s">
        <v>254</v>
      </c>
      <c r="F25" s="29" t="s">
        <v>171</v>
      </c>
      <c r="G25" s="30" t="n">
        <v>110</v>
      </c>
      <c r="H25" s="30" t="n">
        <v>110</v>
      </c>
      <c r="I25" s="31" t="n">
        <v>0</v>
      </c>
      <c r="J25" s="21" t="s">
        <v>172</v>
      </c>
      <c r="K25" s="21" t="s">
        <v>173</v>
      </c>
      <c r="L25" s="19" t="s">
        <v>148</v>
      </c>
      <c r="M25" s="19" t="s">
        <v>178</v>
      </c>
      <c r="N25" s="21" t="s">
        <v>255</v>
      </c>
      <c r="O25" s="21" t="s">
        <v>256</v>
      </c>
      <c r="P25" s="19" t="s">
        <v>121</v>
      </c>
    </row>
    <row r="26" customFormat="false" ht="33.75" hidden="false" customHeight="true" outlineLevel="0" collapsed="false">
      <c r="A26" s="23" t="n">
        <v>20</v>
      </c>
      <c r="B26" s="32" t="s">
        <v>257</v>
      </c>
      <c r="C26" s="25" t="s">
        <v>253</v>
      </c>
      <c r="D26" s="23" t="s">
        <v>169</v>
      </c>
      <c r="E26" s="23" t="s">
        <v>254</v>
      </c>
      <c r="F26" s="29" t="s">
        <v>171</v>
      </c>
      <c r="G26" s="33" t="n">
        <v>60</v>
      </c>
      <c r="H26" s="33" t="n">
        <v>60</v>
      </c>
      <c r="I26" s="34" t="n">
        <v>0</v>
      </c>
      <c r="J26" s="25" t="s">
        <v>172</v>
      </c>
      <c r="K26" s="25" t="s">
        <v>173</v>
      </c>
      <c r="L26" s="23" t="s">
        <v>148</v>
      </c>
      <c r="M26" s="23" t="s">
        <v>178</v>
      </c>
      <c r="N26" s="25" t="s">
        <v>255</v>
      </c>
      <c r="O26" s="25" t="s">
        <v>258</v>
      </c>
      <c r="P26" s="23" t="s">
        <v>121</v>
      </c>
    </row>
    <row r="27" customFormat="false" ht="33.75" hidden="false" customHeight="true" outlineLevel="0" collapsed="false">
      <c r="A27" s="19" t="n">
        <v>21</v>
      </c>
      <c r="B27" s="28" t="s">
        <v>259</v>
      </c>
      <c r="C27" s="21" t="s">
        <v>260</v>
      </c>
      <c r="D27" s="19" t="s">
        <v>261</v>
      </c>
      <c r="E27" s="19" t="s">
        <v>262</v>
      </c>
      <c r="F27" s="29" t="s">
        <v>160</v>
      </c>
      <c r="G27" s="30" t="n">
        <v>80</v>
      </c>
      <c r="H27" s="30" t="n">
        <v>80</v>
      </c>
      <c r="I27" s="31" t="n">
        <v>0</v>
      </c>
      <c r="J27" s="21" t="s">
        <v>161</v>
      </c>
      <c r="K27" s="21" t="s">
        <v>162</v>
      </c>
      <c r="L27" s="19" t="s">
        <v>148</v>
      </c>
      <c r="M27" s="19" t="s">
        <v>178</v>
      </c>
      <c r="N27" s="21" t="s">
        <v>179</v>
      </c>
      <c r="O27" s="21" t="s">
        <v>263</v>
      </c>
      <c r="P27" s="19" t="s">
        <v>121</v>
      </c>
    </row>
    <row r="28" customFormat="false" ht="33.75" hidden="false" customHeight="true" outlineLevel="0" collapsed="false">
      <c r="A28" s="23" t="n">
        <v>22</v>
      </c>
      <c r="B28" s="32" t="s">
        <v>264</v>
      </c>
      <c r="C28" s="25" t="s">
        <v>233</v>
      </c>
      <c r="D28" s="23" t="s">
        <v>169</v>
      </c>
      <c r="E28" s="23" t="s">
        <v>234</v>
      </c>
      <c r="F28" s="29" t="s">
        <v>171</v>
      </c>
      <c r="G28" s="33" t="n">
        <v>110</v>
      </c>
      <c r="H28" s="33" t="n">
        <v>110</v>
      </c>
      <c r="I28" s="34" t="n">
        <v>0</v>
      </c>
      <c r="J28" s="25" t="s">
        <v>172</v>
      </c>
      <c r="K28" s="25" t="s">
        <v>173</v>
      </c>
      <c r="L28" s="23" t="s">
        <v>148</v>
      </c>
      <c r="M28" s="23" t="s">
        <v>178</v>
      </c>
      <c r="N28" s="25" t="s">
        <v>179</v>
      </c>
      <c r="O28" s="25" t="s">
        <v>265</v>
      </c>
      <c r="P28" s="23" t="s">
        <v>121</v>
      </c>
    </row>
    <row r="29" customFormat="false" ht="33.75" hidden="false" customHeight="true" outlineLevel="0" collapsed="false">
      <c r="A29" s="19" t="n">
        <v>23</v>
      </c>
      <c r="B29" s="28" t="s">
        <v>266</v>
      </c>
      <c r="C29" s="21" t="s">
        <v>267</v>
      </c>
      <c r="D29" s="19" t="s">
        <v>268</v>
      </c>
      <c r="E29" s="19" t="s">
        <v>269</v>
      </c>
      <c r="F29" s="29" t="s">
        <v>160</v>
      </c>
      <c r="G29" s="30" t="n">
        <v>65</v>
      </c>
      <c r="H29" s="30" t="n">
        <v>65</v>
      </c>
      <c r="I29" s="31" t="n">
        <v>0</v>
      </c>
      <c r="J29" s="21" t="s">
        <v>161</v>
      </c>
      <c r="K29" s="21" t="s">
        <v>162</v>
      </c>
      <c r="L29" s="19" t="s">
        <v>148</v>
      </c>
      <c r="M29" s="19" t="s">
        <v>178</v>
      </c>
      <c r="N29" s="21" t="s">
        <v>179</v>
      </c>
      <c r="O29" s="21" t="s">
        <v>270</v>
      </c>
      <c r="P29" s="19" t="s">
        <v>121</v>
      </c>
    </row>
    <row r="30" customFormat="false" ht="33.75" hidden="false" customHeight="true" outlineLevel="0" collapsed="false">
      <c r="A30" s="23" t="n">
        <v>24</v>
      </c>
      <c r="B30" s="32" t="s">
        <v>271</v>
      </c>
      <c r="C30" s="25" t="s">
        <v>272</v>
      </c>
      <c r="D30" s="23" t="s">
        <v>273</v>
      </c>
      <c r="E30" s="23" t="s">
        <v>274</v>
      </c>
      <c r="F30" s="29" t="s">
        <v>160</v>
      </c>
      <c r="G30" s="33" t="n">
        <v>60</v>
      </c>
      <c r="H30" s="33" t="n">
        <v>60</v>
      </c>
      <c r="I30" s="34" t="n">
        <v>0</v>
      </c>
      <c r="J30" s="25" t="s">
        <v>161</v>
      </c>
      <c r="K30" s="25" t="s">
        <v>275</v>
      </c>
      <c r="L30" s="23" t="s">
        <v>148</v>
      </c>
      <c r="M30" s="23" t="s">
        <v>178</v>
      </c>
      <c r="N30" s="25" t="s">
        <v>179</v>
      </c>
      <c r="O30" s="25" t="s">
        <v>276</v>
      </c>
      <c r="P30" s="23" t="s">
        <v>121</v>
      </c>
    </row>
    <row r="31" customFormat="false" ht="33.75" hidden="false" customHeight="true" outlineLevel="0" collapsed="false">
      <c r="A31" s="19" t="n">
        <v>25</v>
      </c>
      <c r="B31" s="28" t="s">
        <v>277</v>
      </c>
      <c r="C31" s="21" t="s">
        <v>278</v>
      </c>
      <c r="D31" s="19" t="s">
        <v>279</v>
      </c>
      <c r="E31" s="19" t="s">
        <v>280</v>
      </c>
      <c r="F31" s="29" t="s">
        <v>160</v>
      </c>
      <c r="G31" s="30" t="n">
        <v>60</v>
      </c>
      <c r="H31" s="30" t="n">
        <v>60</v>
      </c>
      <c r="I31" s="31" t="n">
        <v>0</v>
      </c>
      <c r="J31" s="21" t="s">
        <v>161</v>
      </c>
      <c r="K31" s="21" t="s">
        <v>162</v>
      </c>
      <c r="L31" s="19" t="s">
        <v>148</v>
      </c>
      <c r="M31" s="19" t="s">
        <v>178</v>
      </c>
      <c r="N31" s="21" t="s">
        <v>179</v>
      </c>
      <c r="O31" s="21" t="s">
        <v>281</v>
      </c>
      <c r="P31" s="19" t="s">
        <v>121</v>
      </c>
    </row>
    <row r="32" customFormat="false" ht="33.75" hidden="false" customHeight="true" outlineLevel="0" collapsed="false">
      <c r="A32" s="23" t="n">
        <v>26</v>
      </c>
      <c r="B32" s="32" t="s">
        <v>282</v>
      </c>
      <c r="C32" s="25" t="s">
        <v>191</v>
      </c>
      <c r="D32" s="23" t="s">
        <v>192</v>
      </c>
      <c r="E32" s="23" t="s">
        <v>193</v>
      </c>
      <c r="F32" s="29" t="s">
        <v>171</v>
      </c>
      <c r="G32" s="33" t="n">
        <v>60</v>
      </c>
      <c r="H32" s="33" t="n">
        <v>60</v>
      </c>
      <c r="I32" s="34" t="n">
        <v>0</v>
      </c>
      <c r="J32" s="25" t="s">
        <v>172</v>
      </c>
      <c r="K32" s="25" t="s">
        <v>173</v>
      </c>
      <c r="L32" s="23" t="s">
        <v>148</v>
      </c>
      <c r="M32" s="23" t="s">
        <v>178</v>
      </c>
      <c r="N32" s="25" t="s">
        <v>179</v>
      </c>
      <c r="O32" s="25" t="s">
        <v>283</v>
      </c>
      <c r="P32" s="23" t="s">
        <v>121</v>
      </c>
    </row>
    <row r="33" customFormat="false" ht="33.75" hidden="false" customHeight="true" outlineLevel="0" collapsed="false">
      <c r="A33" s="19" t="n">
        <v>27</v>
      </c>
      <c r="B33" s="28" t="s">
        <v>284</v>
      </c>
      <c r="C33" s="21" t="s">
        <v>285</v>
      </c>
      <c r="D33" s="19" t="s">
        <v>153</v>
      </c>
      <c r="E33" s="19" t="s">
        <v>154</v>
      </c>
      <c r="F33" s="29" t="s">
        <v>145</v>
      </c>
      <c r="G33" s="30" t="n">
        <v>30</v>
      </c>
      <c r="H33" s="30" t="n">
        <v>30</v>
      </c>
      <c r="I33" s="31" t="n">
        <v>0</v>
      </c>
      <c r="J33" s="21" t="s">
        <v>146</v>
      </c>
      <c r="K33" s="21" t="s">
        <v>147</v>
      </c>
      <c r="L33" s="19" t="s">
        <v>148</v>
      </c>
      <c r="M33" s="19" t="s">
        <v>178</v>
      </c>
      <c r="N33" s="21" t="s">
        <v>179</v>
      </c>
      <c r="O33" s="21" t="s">
        <v>286</v>
      </c>
      <c r="P33" s="19" t="s">
        <v>121</v>
      </c>
    </row>
    <row r="34" customFormat="false" ht="33.75" hidden="false" customHeight="true" outlineLevel="0" collapsed="false">
      <c r="A34" s="23" t="n">
        <v>28</v>
      </c>
      <c r="B34" s="32" t="s">
        <v>287</v>
      </c>
      <c r="C34" s="25" t="s">
        <v>288</v>
      </c>
      <c r="D34" s="23" t="s">
        <v>153</v>
      </c>
      <c r="E34" s="23" t="s">
        <v>289</v>
      </c>
      <c r="F34" s="29" t="s">
        <v>171</v>
      </c>
      <c r="G34" s="33" t="n">
        <v>80</v>
      </c>
      <c r="H34" s="33" t="n">
        <v>80</v>
      </c>
      <c r="I34" s="34" t="n">
        <v>0</v>
      </c>
      <c r="J34" s="25" t="s">
        <v>172</v>
      </c>
      <c r="K34" s="25" t="s">
        <v>173</v>
      </c>
      <c r="L34" s="23" t="s">
        <v>148</v>
      </c>
      <c r="M34" s="23" t="s">
        <v>178</v>
      </c>
      <c r="N34" s="25" t="s">
        <v>179</v>
      </c>
      <c r="O34" s="25" t="s">
        <v>290</v>
      </c>
      <c r="P34" s="23" t="s">
        <v>121</v>
      </c>
    </row>
    <row r="35" customFormat="false" ht="33.75" hidden="false" customHeight="true" outlineLevel="0" collapsed="false">
      <c r="A35" s="19" t="n">
        <v>29</v>
      </c>
      <c r="B35" s="28" t="s">
        <v>291</v>
      </c>
      <c r="C35" s="21" t="s">
        <v>292</v>
      </c>
      <c r="D35" s="19" t="s">
        <v>293</v>
      </c>
      <c r="E35" s="19" t="s">
        <v>294</v>
      </c>
      <c r="F35" s="29" t="s">
        <v>171</v>
      </c>
      <c r="G35" s="30" t="n">
        <v>30</v>
      </c>
      <c r="H35" s="30" t="n">
        <v>30</v>
      </c>
      <c r="I35" s="31" t="n">
        <v>0</v>
      </c>
      <c r="J35" s="21" t="s">
        <v>172</v>
      </c>
      <c r="K35" s="21" t="s">
        <v>173</v>
      </c>
      <c r="L35" s="19" t="s">
        <v>148</v>
      </c>
      <c r="M35" s="19" t="s">
        <v>178</v>
      </c>
      <c r="N35" s="21" t="s">
        <v>295</v>
      </c>
      <c r="O35" s="21" t="s">
        <v>296</v>
      </c>
      <c r="P35" s="19" t="s">
        <v>121</v>
      </c>
    </row>
    <row r="36" customFormat="false" ht="33.75" hidden="false" customHeight="true" outlineLevel="0" collapsed="false">
      <c r="A36" s="23" t="n">
        <v>30</v>
      </c>
      <c r="B36" s="32" t="s">
        <v>175</v>
      </c>
      <c r="C36" s="25" t="s">
        <v>297</v>
      </c>
      <c r="D36" s="23" t="s">
        <v>207</v>
      </c>
      <c r="E36" s="23" t="s">
        <v>298</v>
      </c>
      <c r="F36" s="29" t="s">
        <v>171</v>
      </c>
      <c r="G36" s="33" t="n">
        <v>0</v>
      </c>
      <c r="H36" s="33" t="n">
        <v>150</v>
      </c>
      <c r="I36" s="34" t="n">
        <v>150</v>
      </c>
      <c r="J36" s="25" t="s">
        <v>172</v>
      </c>
      <c r="K36" s="25" t="s">
        <v>173</v>
      </c>
      <c r="L36" s="23" t="s">
        <v>229</v>
      </c>
      <c r="M36" s="23" t="s">
        <v>178</v>
      </c>
      <c r="N36" s="25" t="s">
        <v>299</v>
      </c>
      <c r="O36" s="25" t="s">
        <v>300</v>
      </c>
      <c r="P36" s="23" t="s">
        <v>121</v>
      </c>
    </row>
    <row r="37" customFormat="false" ht="33.75" hidden="false" customHeight="true" outlineLevel="0" collapsed="false">
      <c r="A37" s="19" t="n">
        <v>31</v>
      </c>
      <c r="B37" s="28" t="s">
        <v>156</v>
      </c>
      <c r="C37" s="21" t="s">
        <v>301</v>
      </c>
      <c r="D37" s="19" t="s">
        <v>143</v>
      </c>
      <c r="E37" s="19" t="s">
        <v>302</v>
      </c>
      <c r="F37" s="29" t="s">
        <v>145</v>
      </c>
      <c r="G37" s="30" t="n">
        <v>0</v>
      </c>
      <c r="H37" s="30" t="n">
        <v>0</v>
      </c>
      <c r="I37" s="31" t="n">
        <v>0</v>
      </c>
      <c r="J37" s="21" t="s">
        <v>146</v>
      </c>
      <c r="K37" s="21" t="s">
        <v>147</v>
      </c>
      <c r="L37" s="19" t="s">
        <v>303</v>
      </c>
      <c r="M37" s="19" t="s">
        <v>163</v>
      </c>
      <c r="N37" s="21" t="s">
        <v>304</v>
      </c>
      <c r="O37" s="21" t="s">
        <v>305</v>
      </c>
      <c r="P37" s="19" t="s">
        <v>121</v>
      </c>
    </row>
    <row r="38" customFormat="false" ht="33.75" hidden="false" customHeight="true" outlineLevel="0" collapsed="false">
      <c r="A38" s="23" t="n">
        <v>32</v>
      </c>
      <c r="B38" s="32" t="s">
        <v>190</v>
      </c>
      <c r="C38" s="25" t="s">
        <v>306</v>
      </c>
      <c r="D38" s="23" t="s">
        <v>192</v>
      </c>
      <c r="E38" s="23" t="s">
        <v>193</v>
      </c>
      <c r="F38" s="29" t="s">
        <v>171</v>
      </c>
      <c r="G38" s="33" t="n">
        <v>0</v>
      </c>
      <c r="H38" s="33" t="n">
        <v>0</v>
      </c>
      <c r="I38" s="34" t="n">
        <v>0</v>
      </c>
      <c r="J38" s="25" t="s">
        <v>172</v>
      </c>
      <c r="K38" s="25" t="s">
        <v>173</v>
      </c>
      <c r="L38" s="23" t="s">
        <v>303</v>
      </c>
      <c r="M38" s="23" t="s">
        <v>194</v>
      </c>
      <c r="N38" s="25" t="s">
        <v>307</v>
      </c>
      <c r="O38" s="25" t="s">
        <v>308</v>
      </c>
      <c r="P38" s="23" t="s">
        <v>121</v>
      </c>
    </row>
    <row r="39" customFormat="false" ht="25.5" hidden="false" customHeight="true" outlineLevel="0" collapsed="false">
      <c r="A39" s="35" t="s">
        <v>309</v>
      </c>
      <c r="B39" s="36"/>
      <c r="C39" s="36"/>
      <c r="D39" s="36"/>
      <c r="E39" s="36"/>
      <c r="F39" s="36"/>
      <c r="G39" s="37" t="n">
        <f aca="false">SUM(G7:G38)</f>
        <v>3570</v>
      </c>
      <c r="H39" s="37" t="n">
        <f aca="false">SUM(H7:H38)</f>
        <v>4170</v>
      </c>
      <c r="I39" s="38" t="n">
        <f aca="false">SUM(I7:I38)</f>
        <v>600</v>
      </c>
      <c r="J39" s="39" t="s">
        <v>310</v>
      </c>
      <c r="K39" s="36"/>
      <c r="L39" s="36"/>
      <c r="M39" s="36"/>
      <c r="N39" s="36"/>
      <c r="O39" s="36"/>
      <c r="P39" s="36"/>
    </row>
    <row r="41" customFormat="false" ht="55.5" hidden="false" customHeight="true" outlineLevel="0" collapsed="false">
      <c r="A41" s="27" t="s">
        <v>311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</sheetData>
  <autoFilter ref="A6:P38"/>
  <mergeCells count="4">
    <mergeCell ref="A1:P1"/>
    <mergeCell ref="A2:P2"/>
    <mergeCell ref="A3:P3"/>
    <mergeCell ref="A41:P41"/>
  </mergeCells>
  <conditionalFormatting sqref="G7:H38">
    <cfRule type="dataBar" priority="2">
      <dataBar showValue="1" minLength="10" maxLength="90">
        <cfvo type="num" val="0"/>
        <cfvo type="max" val="0"/>
        <color rgb="FF5EEAD4"/>
      </dataBar>
      <extLst>
        <ext xmlns:x14="http://schemas.microsoft.com/office/spreadsheetml/2009/9/main" uri="{B025F937-C7B1-47D3-B67F-A62EFF666E3E}">
          <x14:id>{B8264978-6E53-47CC-A643-F0C4822EDBE3}</x14:id>
        </ext>
      </extLst>
    </cfRule>
  </conditionalFormatting>
  <conditionalFormatting sqref="I7:I38">
    <cfRule type="cellIs" priority="3" operator="lessThan" aboveAverage="0" equalAverage="0" bottom="0" percent="0" rank="0" text="" dxfId="10">
      <formula>0</formula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64978-6E53-47CC-A643-F0C4822EDBE3}">
            <x14:dataBar minLength="10" maxLength="90" axisPosition="none" gradient="true">
              <x14:cfvo type="num">
                <xm:f>0</xm:f>
              </x14:cfvo>
              <x14:cfvo type="max"/>
              <x14:negativeFillColor rgb="FF5EEAD4"/>
              <x14:axisColor rgb="FF000000"/>
            </x14:dataBar>
          </x14:cfRule>
          <xm:sqref>G7:H38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38"/>
    <col collapsed="false" customWidth="true" hidden="false" outlineLevel="0" max="10" min="10" style="0" width="30"/>
    <col collapsed="false" customWidth="true" hidden="false" outlineLevel="0" max="11" min="11" style="0" width="24"/>
  </cols>
  <sheetData>
    <row r="1" customFormat="false" ht="36" hidden="false" customHeight="true" outlineLevel="0" collapsed="false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9.5" hidden="false" customHeight="true" outlineLevel="0" collapsed="false">
      <c r="A2" s="16" t="s">
        <v>312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18" hidden="false" customHeight="true" outlineLevel="0" collapsed="false">
      <c r="A3" s="17" t="s">
        <v>313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6" customFormat="false" ht="30" hidden="false" customHeight="true" outlineLevel="0" collapsed="false">
      <c r="A6" s="18" t="s">
        <v>130</v>
      </c>
      <c r="B6" s="18" t="s">
        <v>314</v>
      </c>
      <c r="C6" s="18" t="s">
        <v>315</v>
      </c>
      <c r="D6" s="18" t="s">
        <v>133</v>
      </c>
      <c r="E6" s="18" t="s">
        <v>316</v>
      </c>
      <c r="F6" s="18" t="s">
        <v>134</v>
      </c>
      <c r="G6" s="18" t="s">
        <v>317</v>
      </c>
      <c r="H6" s="18" t="s">
        <v>318</v>
      </c>
      <c r="I6" s="18" t="s">
        <v>319</v>
      </c>
      <c r="J6" s="18" t="s">
        <v>320</v>
      </c>
      <c r="K6" s="18" t="s">
        <v>321</v>
      </c>
    </row>
    <row r="7" customFormat="false" ht="33.75" hidden="false" customHeight="true" outlineLevel="0" collapsed="false">
      <c r="A7" s="40" t="s">
        <v>153</v>
      </c>
      <c r="B7" s="41" t="n">
        <v>4</v>
      </c>
      <c r="C7" s="41" t="n">
        <v>4</v>
      </c>
      <c r="D7" s="30" t="n">
        <v>630</v>
      </c>
      <c r="E7" s="42" t="n">
        <v>0.176470588235294</v>
      </c>
      <c r="F7" s="30" t="n">
        <v>630</v>
      </c>
      <c r="G7" s="42" t="n">
        <v>0.151079136690648</v>
      </c>
      <c r="H7" s="43" t="s">
        <v>322</v>
      </c>
      <c r="I7" s="21" t="s">
        <v>323</v>
      </c>
      <c r="J7" s="21" t="s">
        <v>324</v>
      </c>
      <c r="K7" s="21" t="s">
        <v>325</v>
      </c>
    </row>
    <row r="8" customFormat="false" ht="33.75" hidden="false" customHeight="true" outlineLevel="0" collapsed="false">
      <c r="A8" s="44" t="s">
        <v>143</v>
      </c>
      <c r="B8" s="45" t="n">
        <v>2</v>
      </c>
      <c r="C8" s="45" t="n">
        <v>3</v>
      </c>
      <c r="D8" s="33" t="n">
        <v>535</v>
      </c>
      <c r="E8" s="46" t="n">
        <v>0.149859943977591</v>
      </c>
      <c r="F8" s="33" t="n">
        <v>815</v>
      </c>
      <c r="G8" s="46" t="n">
        <v>0.195443645083933</v>
      </c>
      <c r="H8" s="47" t="s">
        <v>326</v>
      </c>
      <c r="I8" s="25" t="s">
        <v>327</v>
      </c>
      <c r="J8" s="25" t="s">
        <v>328</v>
      </c>
      <c r="K8" s="25" t="s">
        <v>329</v>
      </c>
    </row>
    <row r="9" customFormat="false" ht="33.75" hidden="false" customHeight="true" outlineLevel="0" collapsed="false">
      <c r="A9" s="40" t="s">
        <v>192</v>
      </c>
      <c r="B9" s="41" t="n">
        <v>3</v>
      </c>
      <c r="C9" s="41" t="n">
        <v>4</v>
      </c>
      <c r="D9" s="30" t="n">
        <v>490</v>
      </c>
      <c r="E9" s="42" t="n">
        <v>0.137254901960784</v>
      </c>
      <c r="F9" s="30" t="n">
        <v>490</v>
      </c>
      <c r="G9" s="42" t="n">
        <v>0.117505995203837</v>
      </c>
      <c r="H9" s="22" t="s">
        <v>330</v>
      </c>
      <c r="I9" s="21" t="s">
        <v>331</v>
      </c>
      <c r="J9" s="21" t="s">
        <v>332</v>
      </c>
      <c r="K9" s="21" t="s">
        <v>333</v>
      </c>
    </row>
    <row r="10" customFormat="false" ht="33.75" hidden="false" customHeight="true" outlineLevel="0" collapsed="false">
      <c r="A10" s="44" t="s">
        <v>169</v>
      </c>
      <c r="B10" s="45" t="n">
        <v>6</v>
      </c>
      <c r="C10" s="45" t="n">
        <v>6</v>
      </c>
      <c r="D10" s="33" t="n">
        <v>480</v>
      </c>
      <c r="E10" s="46" t="n">
        <v>0.134453781512605</v>
      </c>
      <c r="F10" s="33" t="n">
        <v>480</v>
      </c>
      <c r="G10" s="46" t="n">
        <v>0.115107913669065</v>
      </c>
      <c r="H10" s="22" t="s">
        <v>330</v>
      </c>
      <c r="I10" s="25" t="s">
        <v>334</v>
      </c>
      <c r="J10" s="25" t="s">
        <v>335</v>
      </c>
      <c r="K10" s="25" t="s">
        <v>336</v>
      </c>
    </row>
    <row r="11" customFormat="false" ht="33.75" hidden="false" customHeight="true" outlineLevel="0" collapsed="false">
      <c r="A11" s="40" t="s">
        <v>158</v>
      </c>
      <c r="B11" s="41" t="n">
        <v>2</v>
      </c>
      <c r="C11" s="41" t="n">
        <v>2</v>
      </c>
      <c r="D11" s="30" t="n">
        <v>405</v>
      </c>
      <c r="E11" s="42" t="n">
        <v>0.113445378151261</v>
      </c>
      <c r="F11" s="30" t="n">
        <v>405</v>
      </c>
      <c r="G11" s="42" t="n">
        <v>0.0971223021582734</v>
      </c>
      <c r="H11" s="47" t="s">
        <v>326</v>
      </c>
      <c r="I11" s="21" t="s">
        <v>337</v>
      </c>
      <c r="J11" s="21" t="s">
        <v>338</v>
      </c>
      <c r="K11" s="21" t="s">
        <v>157</v>
      </c>
    </row>
    <row r="12" customFormat="false" ht="33.75" hidden="false" customHeight="true" outlineLevel="0" collapsed="false">
      <c r="A12" s="44" t="s">
        <v>207</v>
      </c>
      <c r="B12" s="45" t="n">
        <v>4</v>
      </c>
      <c r="C12" s="45" t="n">
        <v>4</v>
      </c>
      <c r="D12" s="33" t="n">
        <v>280</v>
      </c>
      <c r="E12" s="46" t="n">
        <v>0.0784313725490196</v>
      </c>
      <c r="F12" s="33" t="n">
        <v>500</v>
      </c>
      <c r="G12" s="46" t="n">
        <v>0.119904076738609</v>
      </c>
      <c r="H12" s="43" t="s">
        <v>322</v>
      </c>
      <c r="I12" s="25" t="s">
        <v>339</v>
      </c>
      <c r="J12" s="25" t="s">
        <v>340</v>
      </c>
      <c r="K12" s="25" t="s">
        <v>341</v>
      </c>
    </row>
    <row r="13" customFormat="false" ht="33.75" hidden="false" customHeight="true" outlineLevel="0" collapsed="false">
      <c r="A13" s="40" t="s">
        <v>183</v>
      </c>
      <c r="B13" s="41" t="n">
        <v>1</v>
      </c>
      <c r="C13" s="41" t="n">
        <v>1</v>
      </c>
      <c r="D13" s="30" t="n">
        <v>230</v>
      </c>
      <c r="E13" s="42" t="n">
        <v>0.0644257703081232</v>
      </c>
      <c r="F13" s="30" t="n">
        <v>230</v>
      </c>
      <c r="G13" s="42" t="n">
        <v>0.0551558752997602</v>
      </c>
      <c r="H13" s="22" t="s">
        <v>330</v>
      </c>
      <c r="I13" s="21" t="s">
        <v>342</v>
      </c>
      <c r="J13" s="21" t="s">
        <v>181</v>
      </c>
      <c r="K13" s="21" t="s">
        <v>343</v>
      </c>
    </row>
    <row r="14" customFormat="false" ht="33.75" hidden="false" customHeight="true" outlineLevel="0" collapsed="false">
      <c r="A14" s="44" t="s">
        <v>199</v>
      </c>
      <c r="B14" s="45" t="n">
        <v>1</v>
      </c>
      <c r="C14" s="45" t="n">
        <v>1</v>
      </c>
      <c r="D14" s="33" t="n">
        <v>125</v>
      </c>
      <c r="E14" s="46" t="n">
        <v>0.0350140056022409</v>
      </c>
      <c r="F14" s="33" t="n">
        <v>125</v>
      </c>
      <c r="G14" s="46" t="n">
        <v>0.0299760191846523</v>
      </c>
      <c r="H14" s="43" t="s">
        <v>322</v>
      </c>
      <c r="I14" s="25" t="s">
        <v>344</v>
      </c>
      <c r="J14" s="25" t="s">
        <v>197</v>
      </c>
      <c r="K14" s="25" t="s">
        <v>198</v>
      </c>
    </row>
    <row r="15" customFormat="false" ht="33.75" hidden="false" customHeight="true" outlineLevel="0" collapsed="false">
      <c r="A15" s="40" t="s">
        <v>221</v>
      </c>
      <c r="B15" s="41" t="n">
        <v>1</v>
      </c>
      <c r="C15" s="41" t="n">
        <v>1</v>
      </c>
      <c r="D15" s="30" t="n">
        <v>100</v>
      </c>
      <c r="E15" s="42" t="n">
        <v>0.0280112044817927</v>
      </c>
      <c r="F15" s="30" t="n">
        <v>100</v>
      </c>
      <c r="G15" s="42" t="n">
        <v>0.0239808153477218</v>
      </c>
      <c r="H15" s="43" t="s">
        <v>322</v>
      </c>
      <c r="I15" s="21" t="s">
        <v>345</v>
      </c>
      <c r="J15" s="21" t="s">
        <v>219</v>
      </c>
      <c r="K15" s="21" t="s">
        <v>346</v>
      </c>
    </row>
    <row r="16" customFormat="false" ht="33.75" hidden="false" customHeight="true" outlineLevel="0" collapsed="false">
      <c r="A16" s="44" t="s">
        <v>261</v>
      </c>
      <c r="B16" s="45" t="n">
        <v>1</v>
      </c>
      <c r="C16" s="45" t="n">
        <v>1</v>
      </c>
      <c r="D16" s="33" t="n">
        <v>80</v>
      </c>
      <c r="E16" s="46" t="n">
        <v>0.0224089635854342</v>
      </c>
      <c r="F16" s="33" t="n">
        <v>80</v>
      </c>
      <c r="G16" s="46" t="n">
        <v>0.0191846522781775</v>
      </c>
      <c r="H16" s="43" t="s">
        <v>322</v>
      </c>
      <c r="I16" s="25" t="s">
        <v>347</v>
      </c>
      <c r="J16" s="25" t="s">
        <v>259</v>
      </c>
      <c r="K16" s="25" t="s">
        <v>348</v>
      </c>
    </row>
    <row r="17" customFormat="false" ht="33.75" hidden="false" customHeight="true" outlineLevel="0" collapsed="false">
      <c r="A17" s="40" t="s">
        <v>268</v>
      </c>
      <c r="B17" s="41" t="n">
        <v>1</v>
      </c>
      <c r="C17" s="41" t="n">
        <v>1</v>
      </c>
      <c r="D17" s="30" t="n">
        <v>65</v>
      </c>
      <c r="E17" s="42" t="n">
        <v>0.0182072829131653</v>
      </c>
      <c r="F17" s="30" t="n">
        <v>65</v>
      </c>
      <c r="G17" s="42" t="n">
        <v>0.0155875299760192</v>
      </c>
      <c r="H17" s="47" t="s">
        <v>326</v>
      </c>
      <c r="I17" s="21" t="s">
        <v>349</v>
      </c>
      <c r="J17" s="21" t="s">
        <v>266</v>
      </c>
      <c r="K17" s="21" t="s">
        <v>267</v>
      </c>
    </row>
    <row r="18" customFormat="false" ht="33.75" hidden="false" customHeight="true" outlineLevel="0" collapsed="false">
      <c r="A18" s="44" t="s">
        <v>273</v>
      </c>
      <c r="B18" s="45" t="n">
        <v>1</v>
      </c>
      <c r="C18" s="45" t="n">
        <v>1</v>
      </c>
      <c r="D18" s="33" t="n">
        <v>60</v>
      </c>
      <c r="E18" s="46" t="n">
        <v>0.0168067226890756</v>
      </c>
      <c r="F18" s="33" t="n">
        <v>60</v>
      </c>
      <c r="G18" s="46" t="n">
        <v>0.0143884892086331</v>
      </c>
      <c r="H18" s="22" t="s">
        <v>330</v>
      </c>
      <c r="I18" s="25" t="s">
        <v>350</v>
      </c>
      <c r="J18" s="25" t="s">
        <v>271</v>
      </c>
      <c r="K18" s="25" t="s">
        <v>272</v>
      </c>
    </row>
    <row r="19" customFormat="false" ht="33.75" hidden="false" customHeight="true" outlineLevel="0" collapsed="false">
      <c r="A19" s="40" t="s">
        <v>279</v>
      </c>
      <c r="B19" s="41" t="n">
        <v>1</v>
      </c>
      <c r="C19" s="41" t="n">
        <v>1</v>
      </c>
      <c r="D19" s="30" t="n">
        <v>60</v>
      </c>
      <c r="E19" s="42" t="n">
        <v>0.0168067226890756</v>
      </c>
      <c r="F19" s="30" t="n">
        <v>60</v>
      </c>
      <c r="G19" s="42" t="n">
        <v>0.0143884892086331</v>
      </c>
      <c r="H19" s="47" t="s">
        <v>326</v>
      </c>
      <c r="I19" s="21" t="s">
        <v>351</v>
      </c>
      <c r="J19" s="21" t="s">
        <v>277</v>
      </c>
      <c r="K19" s="21" t="s">
        <v>278</v>
      </c>
    </row>
    <row r="20" customFormat="false" ht="33.75" hidden="false" customHeight="true" outlineLevel="0" collapsed="false">
      <c r="A20" s="44" t="s">
        <v>293</v>
      </c>
      <c r="B20" s="45" t="n">
        <v>1</v>
      </c>
      <c r="C20" s="45" t="n">
        <v>1</v>
      </c>
      <c r="D20" s="33" t="n">
        <v>30</v>
      </c>
      <c r="E20" s="46" t="n">
        <v>0.00840336134453782</v>
      </c>
      <c r="F20" s="33" t="n">
        <v>30</v>
      </c>
      <c r="G20" s="46" t="n">
        <v>0.00719424460431655</v>
      </c>
      <c r="H20" s="43" t="s">
        <v>322</v>
      </c>
      <c r="I20" s="25" t="s">
        <v>352</v>
      </c>
      <c r="J20" s="25" t="s">
        <v>291</v>
      </c>
      <c r="K20" s="25" t="s">
        <v>292</v>
      </c>
    </row>
    <row r="21" customFormat="false" ht="33.75" hidden="false" customHeight="true" outlineLevel="0" collapsed="false">
      <c r="A21" s="40" t="s">
        <v>227</v>
      </c>
      <c r="B21" s="41" t="n">
        <v>1</v>
      </c>
      <c r="C21" s="41" t="n">
        <v>1</v>
      </c>
      <c r="D21" s="30" t="n">
        <v>0</v>
      </c>
      <c r="E21" s="42" t="n">
        <v>0</v>
      </c>
      <c r="F21" s="30" t="n">
        <v>100</v>
      </c>
      <c r="G21" s="42" t="n">
        <v>0.0239808153477218</v>
      </c>
      <c r="H21" s="43" t="s">
        <v>322</v>
      </c>
      <c r="I21" s="21" t="s">
        <v>353</v>
      </c>
      <c r="J21" s="21" t="s">
        <v>219</v>
      </c>
      <c r="K21" s="21" t="s">
        <v>354</v>
      </c>
    </row>
    <row r="22" customFormat="false" ht="25.5" hidden="false" customHeight="true" outlineLevel="0" collapsed="false">
      <c r="A22" s="35" t="s">
        <v>355</v>
      </c>
      <c r="B22" s="36"/>
      <c r="C22" s="36"/>
      <c r="D22" s="37" t="n">
        <f aca="false">SUM(D7:D21)</f>
        <v>3570</v>
      </c>
      <c r="E22" s="48" t="n">
        <f aca="false">SUM(E7:E21)</f>
        <v>1</v>
      </c>
      <c r="F22" s="37" t="n">
        <f aca="false">SUM(F7:F21)</f>
        <v>4170</v>
      </c>
      <c r="G22" s="48" t="n">
        <f aca="false">SUM(G7:G21)</f>
        <v>1</v>
      </c>
      <c r="H22" s="36"/>
      <c r="I22" s="39" t="s">
        <v>356</v>
      </c>
      <c r="J22" s="36"/>
      <c r="K22" s="36"/>
    </row>
    <row r="25" customFormat="false" ht="51.75" hidden="false" customHeight="true" outlineLevel="0" collapsed="false">
      <c r="A25" s="27" t="s">
        <v>357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</sheetData>
  <autoFilter ref="A6:K21"/>
  <mergeCells count="4">
    <mergeCell ref="A1:K1"/>
    <mergeCell ref="A2:K2"/>
    <mergeCell ref="A3:K3"/>
    <mergeCell ref="A25:K25"/>
  </mergeCells>
  <conditionalFormatting sqref="D7:D21">
    <cfRule type="dataBar" priority="2">
      <dataBar showValue="1" minLength="10" maxLength="90">
        <cfvo type="num" val="0"/>
        <cfvo type="max" val="0"/>
        <color rgb="FF5EEAD4"/>
      </dataBar>
      <extLst>
        <ext xmlns:x14="http://schemas.microsoft.com/office/spreadsheetml/2009/9/main" uri="{B025F937-C7B1-47D3-B67F-A62EFF666E3E}">
          <x14:id>{ADFA66DE-F98C-4C68-BA95-A17A45978F2E}</x14:id>
        </ext>
      </extLst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FA66DE-F98C-4C68-BA95-A17A45978F2E}">
            <x14:dataBar minLength="10" maxLength="90" axisPosition="none" gradient="true">
              <x14:cfvo type="num">
                <xm:f>0</xm:f>
              </x14:cfvo>
              <x14:cfvo type="max"/>
              <x14:negativeFillColor rgb="FF5EEAD4"/>
              <x14:axisColor rgb="FF000000"/>
            </x14:dataBar>
          </x14:cfRule>
          <xm:sqref>D7:D21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40"/>
  </cols>
  <sheetData>
    <row r="1" customFormat="false" ht="36" hidden="false" customHeight="true" outlineLevel="0" collapsed="false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9.5" hidden="false" customHeight="true" outlineLevel="0" collapsed="false">
      <c r="A2" s="16" t="s">
        <v>358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18" hidden="false" customHeight="true" outlineLevel="0" collapsed="false">
      <c r="A3" s="17" t="s">
        <v>359</v>
      </c>
      <c r="B3" s="17"/>
      <c r="C3" s="17"/>
      <c r="D3" s="17"/>
      <c r="E3" s="17"/>
      <c r="F3" s="17"/>
      <c r="G3" s="17"/>
      <c r="H3" s="17"/>
      <c r="I3" s="17"/>
      <c r="J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6" customFormat="false" ht="30" hidden="false" customHeight="true" outlineLevel="0" collapsed="false">
      <c r="A6" s="18" t="s">
        <v>132</v>
      </c>
      <c r="B6" s="18" t="s">
        <v>133</v>
      </c>
      <c r="C6" s="18" t="s">
        <v>316</v>
      </c>
      <c r="D6" s="18" t="s">
        <v>360</v>
      </c>
      <c r="E6" s="18" t="s">
        <v>137</v>
      </c>
      <c r="F6" s="18" t="s">
        <v>361</v>
      </c>
      <c r="G6" s="18" t="s">
        <v>362</v>
      </c>
      <c r="H6" s="18" t="s">
        <v>363</v>
      </c>
      <c r="I6" s="18" t="s">
        <v>364</v>
      </c>
      <c r="J6" s="18" t="s">
        <v>365</v>
      </c>
    </row>
    <row r="7" customFormat="false" ht="57.75" hidden="false" customHeight="true" outlineLevel="0" collapsed="false">
      <c r="A7" s="49" t="s">
        <v>366</v>
      </c>
      <c r="B7" s="30" t="n">
        <v>2058</v>
      </c>
      <c r="C7" s="42" t="n">
        <v>0.461</v>
      </c>
      <c r="D7" s="21" t="s">
        <v>367</v>
      </c>
      <c r="E7" s="21" t="s">
        <v>368</v>
      </c>
      <c r="F7" s="21" t="s">
        <v>369</v>
      </c>
      <c r="G7" s="21" t="s">
        <v>370</v>
      </c>
      <c r="H7" s="19" t="s">
        <v>371</v>
      </c>
      <c r="I7" s="21" t="s">
        <v>372</v>
      </c>
      <c r="J7" s="21" t="s">
        <v>373</v>
      </c>
    </row>
    <row r="8" customFormat="false" ht="57.75" hidden="false" customHeight="true" outlineLevel="0" collapsed="false">
      <c r="A8" s="50" t="s">
        <v>374</v>
      </c>
      <c r="B8" s="33" t="n">
        <v>1440</v>
      </c>
      <c r="C8" s="46" t="n">
        <v>0.322</v>
      </c>
      <c r="D8" s="25" t="s">
        <v>375</v>
      </c>
      <c r="E8" s="25" t="s">
        <v>376</v>
      </c>
      <c r="F8" s="25" t="s">
        <v>377</v>
      </c>
      <c r="G8" s="25" t="s">
        <v>378</v>
      </c>
      <c r="H8" s="23" t="s">
        <v>379</v>
      </c>
      <c r="I8" s="25" t="s">
        <v>380</v>
      </c>
      <c r="J8" s="25" t="s">
        <v>381</v>
      </c>
    </row>
    <row r="9" customFormat="false" ht="57.75" hidden="false" customHeight="true" outlineLevel="0" collapsed="false">
      <c r="A9" s="51" t="s">
        <v>382</v>
      </c>
      <c r="B9" s="30" t="n">
        <v>970</v>
      </c>
      <c r="C9" s="42" t="n">
        <v>0.217</v>
      </c>
      <c r="D9" s="21" t="s">
        <v>383</v>
      </c>
      <c r="E9" s="21" t="s">
        <v>384</v>
      </c>
      <c r="F9" s="21" t="s">
        <v>385</v>
      </c>
      <c r="G9" s="21" t="s">
        <v>386</v>
      </c>
      <c r="H9" s="19" t="s">
        <v>387</v>
      </c>
      <c r="I9" s="21" t="s">
        <v>388</v>
      </c>
      <c r="J9" s="21" t="s">
        <v>389</v>
      </c>
    </row>
    <row r="10" customFormat="false" ht="25.5" hidden="false" customHeight="true" outlineLevel="0" collapsed="false">
      <c r="A10" s="35" t="s">
        <v>390</v>
      </c>
      <c r="B10" s="37" t="n">
        <f aca="false">SUM(B7:B9)</f>
        <v>4468</v>
      </c>
      <c r="C10" s="48" t="n">
        <f aca="false">SUM(C7:C9)</f>
        <v>1</v>
      </c>
      <c r="D10" s="39" t="s">
        <v>391</v>
      </c>
      <c r="E10" s="36"/>
      <c r="F10" s="36"/>
      <c r="G10" s="36"/>
      <c r="H10" s="36"/>
      <c r="I10" s="36"/>
      <c r="J10" s="36"/>
    </row>
    <row r="12" customFormat="false" ht="43.5" hidden="false" customHeight="true" outlineLevel="0" collapsed="false">
      <c r="A12" s="27" t="s">
        <v>392</v>
      </c>
      <c r="B12" s="27"/>
      <c r="C12" s="27"/>
      <c r="D12" s="27"/>
      <c r="E12" s="27"/>
      <c r="F12" s="27"/>
      <c r="G12" s="27"/>
      <c r="H12" s="27"/>
      <c r="I12" s="27"/>
      <c r="J12" s="27"/>
    </row>
  </sheetData>
  <mergeCells count="4">
    <mergeCell ref="A1:J1"/>
    <mergeCell ref="A2:J2"/>
    <mergeCell ref="A3:J3"/>
    <mergeCell ref="A12:J12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36" hidden="false" customHeight="true" outlineLevel="0" collapsed="false">
      <c r="A1" s="15" t="s">
        <v>18</v>
      </c>
      <c r="B1" s="15"/>
      <c r="C1" s="15"/>
      <c r="D1" s="15"/>
      <c r="E1" s="15"/>
    </row>
    <row r="2" customFormat="false" ht="19.5" hidden="false" customHeight="true" outlineLevel="0" collapsed="false">
      <c r="A2" s="16" t="s">
        <v>393</v>
      </c>
      <c r="B2" s="16"/>
      <c r="C2" s="16"/>
      <c r="D2" s="16"/>
      <c r="E2" s="16"/>
    </row>
    <row r="3" customFormat="false" ht="18" hidden="false" customHeight="true" outlineLevel="0" collapsed="false">
      <c r="A3" s="17" t="s">
        <v>394</v>
      </c>
      <c r="B3" s="17"/>
      <c r="C3" s="17"/>
      <c r="D3" s="17"/>
      <c r="E3" s="17"/>
    </row>
    <row r="4" customFormat="false" ht="3" hidden="false" customHeight="true" outlineLevel="0" collapsed="false">
      <c r="A4" s="5"/>
      <c r="B4" s="5"/>
      <c r="C4" s="5"/>
      <c r="D4" s="5"/>
      <c r="E4" s="5"/>
    </row>
    <row r="6" customFormat="false" ht="24" hidden="false" customHeight="true" outlineLevel="0" collapsed="false">
      <c r="A6" s="6" t="s">
        <v>395</v>
      </c>
      <c r="B6" s="6"/>
      <c r="C6" s="6"/>
      <c r="D6" s="6"/>
      <c r="E6" s="6"/>
    </row>
    <row r="8" customFormat="false" ht="30" hidden="false" customHeight="true" outlineLevel="0" collapsed="false">
      <c r="A8" s="18" t="s">
        <v>396</v>
      </c>
      <c r="B8" s="18" t="s">
        <v>137</v>
      </c>
      <c r="C8" s="18" t="s">
        <v>397</v>
      </c>
      <c r="D8" s="18" t="s">
        <v>398</v>
      </c>
      <c r="E8" s="18" t="s">
        <v>399</v>
      </c>
    </row>
    <row r="9" customFormat="false" ht="30" hidden="false" customHeight="true" outlineLevel="0" collapsed="false">
      <c r="A9" s="40" t="s">
        <v>366</v>
      </c>
      <c r="B9" s="21" t="s">
        <v>368</v>
      </c>
      <c r="C9" s="21" t="s">
        <v>369</v>
      </c>
      <c r="D9" s="21" t="s">
        <v>400</v>
      </c>
      <c r="E9" s="21" t="s">
        <v>370</v>
      </c>
    </row>
    <row r="10" customFormat="false" ht="30" hidden="false" customHeight="true" outlineLevel="0" collapsed="false">
      <c r="A10" s="44" t="s">
        <v>374</v>
      </c>
      <c r="B10" s="25" t="s">
        <v>376</v>
      </c>
      <c r="C10" s="25" t="s">
        <v>377</v>
      </c>
      <c r="D10" s="25" t="s">
        <v>401</v>
      </c>
      <c r="E10" s="25" t="s">
        <v>378</v>
      </c>
    </row>
    <row r="11" customFormat="false" ht="30" hidden="false" customHeight="true" outlineLevel="0" collapsed="false">
      <c r="A11" s="40" t="s">
        <v>382</v>
      </c>
      <c r="B11" s="21" t="s">
        <v>384</v>
      </c>
      <c r="C11" s="21" t="s">
        <v>385</v>
      </c>
      <c r="D11" s="21" t="s">
        <v>402</v>
      </c>
      <c r="E11" s="21" t="s">
        <v>386</v>
      </c>
    </row>
    <row r="13" customFormat="false" ht="24" hidden="false" customHeight="true" outlineLevel="0" collapsed="false">
      <c r="A13" s="6" t="s">
        <v>403</v>
      </c>
      <c r="B13" s="6"/>
      <c r="C13" s="6"/>
      <c r="D13" s="6"/>
      <c r="E13" s="6"/>
    </row>
    <row r="15" customFormat="false" ht="30" hidden="false" customHeight="true" outlineLevel="0" collapsed="false">
      <c r="A15" s="18" t="s">
        <v>132</v>
      </c>
      <c r="B15" s="18" t="s">
        <v>404</v>
      </c>
      <c r="C15" s="18" t="s">
        <v>405</v>
      </c>
      <c r="D15" s="18" t="s">
        <v>406</v>
      </c>
      <c r="E15" s="18" t="s">
        <v>407</v>
      </c>
    </row>
    <row r="16" customFormat="false" ht="25.5" hidden="false" customHeight="true" outlineLevel="0" collapsed="false">
      <c r="A16" s="52" t="s">
        <v>366</v>
      </c>
      <c r="B16" s="30" t="n">
        <v>1050</v>
      </c>
      <c r="C16" s="30" t="n">
        <v>1200</v>
      </c>
      <c r="D16" s="30" t="n">
        <f aca="false">AVERAGE(B16:C16)</f>
        <v>1125</v>
      </c>
      <c r="E16" s="21" t="s">
        <v>408</v>
      </c>
    </row>
    <row r="17" customFormat="false" ht="25.5" hidden="false" customHeight="true" outlineLevel="0" collapsed="false">
      <c r="A17" s="53" t="s">
        <v>374</v>
      </c>
      <c r="B17" s="33" t="n">
        <v>1300</v>
      </c>
      <c r="C17" s="33" t="n">
        <v>1500</v>
      </c>
      <c r="D17" s="33" t="n">
        <f aca="false">AVERAGE(B17:C17)</f>
        <v>1400</v>
      </c>
      <c r="E17" s="25" t="s">
        <v>409</v>
      </c>
    </row>
    <row r="18" customFormat="false" ht="25.5" hidden="false" customHeight="true" outlineLevel="0" collapsed="false">
      <c r="A18" s="52" t="s">
        <v>382</v>
      </c>
      <c r="B18" s="30" t="n">
        <v>800</v>
      </c>
      <c r="C18" s="30" t="n">
        <v>1000</v>
      </c>
      <c r="D18" s="30" t="n">
        <f aca="false">AVERAGE(B18:C18)</f>
        <v>900</v>
      </c>
      <c r="E18" s="21" t="s">
        <v>410</v>
      </c>
    </row>
    <row r="20" customFormat="false" ht="45.75" hidden="false" customHeight="true" outlineLevel="0" collapsed="false">
      <c r="A20" s="27" t="s">
        <v>411</v>
      </c>
      <c r="B20" s="27"/>
      <c r="C20" s="27"/>
      <c r="D20" s="27"/>
      <c r="E20" s="27"/>
    </row>
  </sheetData>
  <mergeCells count="6">
    <mergeCell ref="A1:E1"/>
    <mergeCell ref="A2:E2"/>
    <mergeCell ref="A3:E3"/>
    <mergeCell ref="A6:E6"/>
    <mergeCell ref="A13:E13"/>
    <mergeCell ref="A20:E20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44"/>
    <col collapsed="false" customWidth="true" hidden="false" outlineLevel="0" max="13" min="13" style="0" width="24"/>
  </cols>
  <sheetData>
    <row r="1" customFormat="false" ht="36" hidden="false" customHeight="true" outlineLevel="0" collapsed="false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19.5" hidden="false" customHeight="true" outlineLevel="0" collapsed="false">
      <c r="A2" s="16" t="s">
        <v>412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Format="false" ht="18" hidden="false" customHeight="true" outlineLevel="0" collapsed="false">
      <c r="A3" s="17" t="s">
        <v>413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customFormat="false" ht="30" hidden="false" customHeight="true" outlineLevel="0" collapsed="false">
      <c r="A6" s="18" t="s">
        <v>78</v>
      </c>
      <c r="B6" s="18" t="s">
        <v>414</v>
      </c>
      <c r="C6" s="18" t="s">
        <v>128</v>
      </c>
      <c r="D6" s="18" t="s">
        <v>130</v>
      </c>
      <c r="E6" s="18" t="s">
        <v>132</v>
      </c>
      <c r="F6" s="18" t="s">
        <v>415</v>
      </c>
      <c r="G6" s="18" t="s">
        <v>416</v>
      </c>
      <c r="H6" s="18" t="s">
        <v>138</v>
      </c>
      <c r="I6" s="18" t="s">
        <v>417</v>
      </c>
      <c r="J6" s="18" t="s">
        <v>418</v>
      </c>
      <c r="K6" s="18" t="s">
        <v>419</v>
      </c>
      <c r="L6" s="18" t="s">
        <v>420</v>
      </c>
      <c r="M6" s="18" t="s">
        <v>83</v>
      </c>
    </row>
    <row r="7" customFormat="false" ht="43.5" hidden="false" customHeight="true" outlineLevel="0" collapsed="false">
      <c r="A7" s="19" t="n">
        <v>1</v>
      </c>
      <c r="B7" s="40" t="s">
        <v>421</v>
      </c>
      <c r="C7" s="21" t="s">
        <v>257</v>
      </c>
      <c r="D7" s="19" t="s">
        <v>169</v>
      </c>
      <c r="E7" s="19" t="s">
        <v>171</v>
      </c>
      <c r="F7" s="30" t="n">
        <v>60</v>
      </c>
      <c r="G7" s="19" t="s">
        <v>422</v>
      </c>
      <c r="H7" s="54" t="s">
        <v>423</v>
      </c>
      <c r="I7" s="19" t="s">
        <v>424</v>
      </c>
      <c r="J7" s="55" t="s">
        <v>425</v>
      </c>
      <c r="K7" s="21" t="s">
        <v>426</v>
      </c>
      <c r="L7" s="21" t="s">
        <v>427</v>
      </c>
      <c r="M7" s="21" t="s">
        <v>428</v>
      </c>
    </row>
    <row r="8" customFormat="false" ht="43.5" hidden="false" customHeight="true" outlineLevel="0" collapsed="false">
      <c r="A8" s="23" t="n">
        <v>2</v>
      </c>
      <c r="B8" s="44" t="s">
        <v>429</v>
      </c>
      <c r="C8" s="25" t="s">
        <v>252</v>
      </c>
      <c r="D8" s="23" t="s">
        <v>169</v>
      </c>
      <c r="E8" s="23" t="s">
        <v>171</v>
      </c>
      <c r="F8" s="33" t="n">
        <v>110</v>
      </c>
      <c r="G8" s="23" t="s">
        <v>430</v>
      </c>
      <c r="H8" s="56" t="s">
        <v>423</v>
      </c>
      <c r="I8" s="23" t="s">
        <v>431</v>
      </c>
      <c r="J8" s="57" t="s">
        <v>432</v>
      </c>
      <c r="K8" s="25" t="s">
        <v>433</v>
      </c>
      <c r="L8" s="25" t="s">
        <v>434</v>
      </c>
      <c r="M8" s="25" t="s">
        <v>435</v>
      </c>
    </row>
    <row r="9" customFormat="false" ht="43.5" hidden="false" customHeight="true" outlineLevel="0" collapsed="false">
      <c r="A9" s="19" t="n">
        <v>3</v>
      </c>
      <c r="B9" s="40" t="s">
        <v>436</v>
      </c>
      <c r="C9" s="21" t="s">
        <v>243</v>
      </c>
      <c r="D9" s="19" t="s">
        <v>207</v>
      </c>
      <c r="E9" s="19" t="s">
        <v>171</v>
      </c>
      <c r="F9" s="30" t="n">
        <v>30</v>
      </c>
      <c r="G9" s="19" t="s">
        <v>437</v>
      </c>
      <c r="H9" s="54" t="s">
        <v>423</v>
      </c>
      <c r="I9" s="19" t="s">
        <v>431</v>
      </c>
      <c r="J9" s="55" t="s">
        <v>425</v>
      </c>
      <c r="K9" s="21" t="s">
        <v>438</v>
      </c>
      <c r="L9" s="21" t="s">
        <v>439</v>
      </c>
      <c r="M9" s="21" t="s">
        <v>440</v>
      </c>
    </row>
    <row r="10" customFormat="false" ht="43.5" hidden="false" customHeight="true" outlineLevel="0" collapsed="false">
      <c r="A10" s="23" t="n">
        <v>4</v>
      </c>
      <c r="B10" s="44" t="s">
        <v>441</v>
      </c>
      <c r="C10" s="25" t="s">
        <v>141</v>
      </c>
      <c r="D10" s="23" t="s">
        <v>143</v>
      </c>
      <c r="E10" s="23" t="s">
        <v>145</v>
      </c>
      <c r="F10" s="33" t="n">
        <v>280</v>
      </c>
      <c r="G10" s="23" t="s">
        <v>422</v>
      </c>
      <c r="H10" s="56" t="s">
        <v>423</v>
      </c>
      <c r="I10" s="23" t="s">
        <v>442</v>
      </c>
      <c r="J10" s="58" t="s">
        <v>425</v>
      </c>
      <c r="K10" s="25" t="s">
        <v>443</v>
      </c>
      <c r="L10" s="25" t="s">
        <v>444</v>
      </c>
      <c r="M10" s="25" t="s">
        <v>445</v>
      </c>
    </row>
    <row r="11" customFormat="false" ht="43.5" hidden="false" customHeight="true" outlineLevel="0" collapsed="false">
      <c r="A11" s="19" t="n">
        <v>5</v>
      </c>
      <c r="B11" s="40" t="s">
        <v>446</v>
      </c>
      <c r="C11" s="21" t="s">
        <v>205</v>
      </c>
      <c r="D11" s="19" t="s">
        <v>207</v>
      </c>
      <c r="E11" s="19" t="s">
        <v>171</v>
      </c>
      <c r="F11" s="30" t="n">
        <v>70</v>
      </c>
      <c r="G11" s="19" t="s">
        <v>447</v>
      </c>
      <c r="H11" s="54" t="s">
        <v>423</v>
      </c>
      <c r="I11" s="19" t="s">
        <v>442</v>
      </c>
      <c r="J11" s="55" t="s">
        <v>425</v>
      </c>
      <c r="K11" s="21" t="s">
        <v>448</v>
      </c>
      <c r="L11" s="21" t="s">
        <v>449</v>
      </c>
      <c r="M11" s="21" t="s">
        <v>450</v>
      </c>
    </row>
    <row r="12" customFormat="false" ht="43.5" hidden="false" customHeight="true" outlineLevel="0" collapsed="false">
      <c r="A12" s="23" t="n">
        <v>6</v>
      </c>
      <c r="B12" s="44" t="s">
        <v>451</v>
      </c>
      <c r="C12" s="25" t="s">
        <v>175</v>
      </c>
      <c r="D12" s="23" t="s">
        <v>207</v>
      </c>
      <c r="E12" s="23" t="s">
        <v>171</v>
      </c>
      <c r="F12" s="33" t="n">
        <v>150</v>
      </c>
      <c r="G12" s="23" t="s">
        <v>452</v>
      </c>
      <c r="H12" s="59" t="s">
        <v>229</v>
      </c>
      <c r="I12" s="23" t="s">
        <v>453</v>
      </c>
      <c r="J12" s="58" t="s">
        <v>425</v>
      </c>
      <c r="K12" s="25" t="s">
        <v>454</v>
      </c>
      <c r="L12" s="25" t="s">
        <v>455</v>
      </c>
      <c r="M12" s="25" t="s">
        <v>456</v>
      </c>
    </row>
    <row r="13" customFormat="false" ht="43.5" hidden="false" customHeight="true" outlineLevel="0" collapsed="false">
      <c r="A13" s="19" t="n">
        <v>7</v>
      </c>
      <c r="B13" s="40" t="s">
        <v>457</v>
      </c>
      <c r="C13" s="21" t="s">
        <v>219</v>
      </c>
      <c r="D13" s="19" t="s">
        <v>227</v>
      </c>
      <c r="E13" s="19" t="s">
        <v>171</v>
      </c>
      <c r="F13" s="30" t="n">
        <v>100</v>
      </c>
      <c r="G13" s="19" t="s">
        <v>458</v>
      </c>
      <c r="H13" s="60" t="s">
        <v>229</v>
      </c>
      <c r="I13" s="19" t="s">
        <v>459</v>
      </c>
      <c r="J13" s="55" t="s">
        <v>425</v>
      </c>
      <c r="K13" s="21" t="s">
        <v>460</v>
      </c>
      <c r="L13" s="21" t="s">
        <v>461</v>
      </c>
      <c r="M13" s="21" t="s">
        <v>462</v>
      </c>
    </row>
    <row r="14" customFormat="false" ht="43.5" hidden="false" customHeight="true" outlineLevel="0" collapsed="false">
      <c r="A14" s="23" t="n">
        <v>8</v>
      </c>
      <c r="B14" s="44" t="s">
        <v>463</v>
      </c>
      <c r="C14" s="25" t="s">
        <v>156</v>
      </c>
      <c r="D14" s="23" t="s">
        <v>143</v>
      </c>
      <c r="E14" s="23" t="s">
        <v>145</v>
      </c>
      <c r="F14" s="33" t="n">
        <v>500</v>
      </c>
      <c r="G14" s="23" t="s">
        <v>422</v>
      </c>
      <c r="H14" s="61" t="s">
        <v>303</v>
      </c>
      <c r="I14" s="23" t="s">
        <v>464</v>
      </c>
      <c r="J14" s="58" t="s">
        <v>425</v>
      </c>
      <c r="K14" s="25" t="s">
        <v>465</v>
      </c>
      <c r="L14" s="25" t="s">
        <v>466</v>
      </c>
      <c r="M14" s="25" t="s">
        <v>467</v>
      </c>
    </row>
    <row r="15" customFormat="false" ht="43.5" hidden="false" customHeight="true" outlineLevel="0" collapsed="false">
      <c r="A15" s="19" t="n">
        <v>9</v>
      </c>
      <c r="B15" s="40" t="s">
        <v>468</v>
      </c>
      <c r="C15" s="21" t="s">
        <v>190</v>
      </c>
      <c r="D15" s="19" t="s">
        <v>192</v>
      </c>
      <c r="E15" s="19" t="s">
        <v>171</v>
      </c>
      <c r="F15" s="30" t="n">
        <v>100</v>
      </c>
      <c r="G15" s="19" t="s">
        <v>458</v>
      </c>
      <c r="H15" s="62" t="s">
        <v>303</v>
      </c>
      <c r="I15" s="19" t="s">
        <v>469</v>
      </c>
      <c r="J15" s="63" t="s">
        <v>432</v>
      </c>
      <c r="K15" s="21" t="s">
        <v>470</v>
      </c>
      <c r="L15" s="21" t="s">
        <v>471</v>
      </c>
      <c r="M15" s="21" t="s">
        <v>472</v>
      </c>
    </row>
    <row r="18" customFormat="false" ht="43.5" hidden="false" customHeight="true" outlineLevel="0" collapsed="false">
      <c r="A18" s="27" t="s">
        <v>473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</sheetData>
  <autoFilter ref="A6:M15"/>
  <mergeCells count="4">
    <mergeCell ref="A1:M1"/>
    <mergeCell ref="A2:M2"/>
    <mergeCell ref="A3:M3"/>
    <mergeCell ref="A18:M18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58"/>
  </cols>
  <sheetData>
    <row r="1" customFormat="false" ht="36" hidden="false" customHeight="true" outlineLevel="0" collapsed="false">
      <c r="A1" s="15" t="s">
        <v>24</v>
      </c>
      <c r="B1" s="15"/>
      <c r="C1" s="15"/>
      <c r="D1" s="15"/>
      <c r="E1" s="15"/>
    </row>
    <row r="2" customFormat="false" ht="19.5" hidden="false" customHeight="true" outlineLevel="0" collapsed="false">
      <c r="A2" s="16" t="s">
        <v>474</v>
      </c>
      <c r="B2" s="16"/>
      <c r="C2" s="16"/>
      <c r="D2" s="16"/>
      <c r="E2" s="16"/>
    </row>
    <row r="3" customFormat="false" ht="18" hidden="false" customHeight="true" outlineLevel="0" collapsed="false">
      <c r="A3" s="17" t="s">
        <v>475</v>
      </c>
      <c r="B3" s="17"/>
      <c r="C3" s="17"/>
      <c r="D3" s="17"/>
      <c r="E3" s="17"/>
    </row>
    <row r="4" customFormat="false" ht="3" hidden="false" customHeight="true" outlineLevel="0" collapsed="false">
      <c r="A4" s="5"/>
      <c r="B4" s="5"/>
      <c r="C4" s="5"/>
      <c r="D4" s="5"/>
      <c r="E4" s="5"/>
    </row>
    <row r="6" customFormat="false" ht="30" hidden="false" customHeight="true" outlineLevel="0" collapsed="false">
      <c r="A6" s="18" t="s">
        <v>414</v>
      </c>
      <c r="B6" s="18" t="s">
        <v>415</v>
      </c>
      <c r="C6" s="18" t="s">
        <v>476</v>
      </c>
      <c r="D6" s="18" t="s">
        <v>418</v>
      </c>
      <c r="E6" s="18" t="s">
        <v>477</v>
      </c>
    </row>
    <row r="7" customFormat="false" ht="31.5" hidden="false" customHeight="true" outlineLevel="0" collapsed="false">
      <c r="A7" s="64" t="s">
        <v>421</v>
      </c>
      <c r="B7" s="30" t="n">
        <v>60</v>
      </c>
      <c r="C7" s="30" t="s">
        <v>478</v>
      </c>
      <c r="D7" s="65" t="s">
        <v>425</v>
      </c>
      <c r="E7" s="21" t="s">
        <v>427</v>
      </c>
    </row>
    <row r="8" customFormat="false" ht="31.5" hidden="false" customHeight="true" outlineLevel="0" collapsed="false">
      <c r="A8" s="66" t="s">
        <v>429</v>
      </c>
      <c r="B8" s="33" t="n">
        <v>110</v>
      </c>
      <c r="C8" s="33" t="s">
        <v>478</v>
      </c>
      <c r="D8" s="67" t="s">
        <v>432</v>
      </c>
      <c r="E8" s="25" t="s">
        <v>434</v>
      </c>
    </row>
    <row r="9" customFormat="false" ht="31.5" hidden="false" customHeight="true" outlineLevel="0" collapsed="false">
      <c r="A9" s="64" t="s">
        <v>436</v>
      </c>
      <c r="B9" s="30" t="n">
        <v>30</v>
      </c>
      <c r="C9" s="30" t="s">
        <v>478</v>
      </c>
      <c r="D9" s="65" t="s">
        <v>425</v>
      </c>
      <c r="E9" s="21" t="s">
        <v>439</v>
      </c>
    </row>
    <row r="10" customFormat="false" ht="31.5" hidden="false" customHeight="true" outlineLevel="0" collapsed="false">
      <c r="A10" s="66" t="s">
        <v>441</v>
      </c>
      <c r="B10" s="33" t="n">
        <v>280</v>
      </c>
      <c r="C10" s="33" t="s">
        <v>478</v>
      </c>
      <c r="D10" s="68" t="s">
        <v>425</v>
      </c>
      <c r="E10" s="25" t="s">
        <v>444</v>
      </c>
    </row>
    <row r="11" customFormat="false" ht="31.5" hidden="false" customHeight="true" outlineLevel="0" collapsed="false">
      <c r="A11" s="64" t="s">
        <v>446</v>
      </c>
      <c r="B11" s="30" t="n">
        <v>70</v>
      </c>
      <c r="C11" s="30" t="s">
        <v>478</v>
      </c>
      <c r="D11" s="65" t="s">
        <v>425</v>
      </c>
      <c r="E11" s="21" t="s">
        <v>449</v>
      </c>
    </row>
    <row r="12" customFormat="false" ht="31.5" hidden="false" customHeight="true" outlineLevel="0" collapsed="false">
      <c r="A12" s="66" t="s">
        <v>451</v>
      </c>
      <c r="B12" s="33" t="n">
        <v>150</v>
      </c>
      <c r="C12" s="33" t="s">
        <v>478</v>
      </c>
      <c r="D12" s="68" t="s">
        <v>425</v>
      </c>
      <c r="E12" s="25" t="s">
        <v>455</v>
      </c>
    </row>
    <row r="13" customFormat="false" ht="31.5" hidden="false" customHeight="true" outlineLevel="0" collapsed="false">
      <c r="A13" s="64" t="s">
        <v>457</v>
      </c>
      <c r="B13" s="30" t="n">
        <v>100</v>
      </c>
      <c r="C13" s="30" t="s">
        <v>478</v>
      </c>
      <c r="D13" s="65" t="s">
        <v>425</v>
      </c>
      <c r="E13" s="21" t="s">
        <v>461</v>
      </c>
    </row>
    <row r="14" customFormat="false" ht="31.5" hidden="false" customHeight="true" outlineLevel="0" collapsed="false">
      <c r="A14" s="66" t="s">
        <v>463</v>
      </c>
      <c r="B14" s="33" t="n">
        <v>500</v>
      </c>
      <c r="C14" s="33" t="s">
        <v>478</v>
      </c>
      <c r="D14" s="68" t="s">
        <v>425</v>
      </c>
      <c r="E14" s="25" t="s">
        <v>466</v>
      </c>
    </row>
    <row r="15" customFormat="false" ht="31.5" hidden="false" customHeight="true" outlineLevel="0" collapsed="false">
      <c r="A15" s="64" t="s">
        <v>468</v>
      </c>
      <c r="B15" s="30" t="n">
        <v>100</v>
      </c>
      <c r="C15" s="30" t="s">
        <v>478</v>
      </c>
      <c r="D15" s="69" t="s">
        <v>432</v>
      </c>
      <c r="E15" s="21" t="s">
        <v>471</v>
      </c>
    </row>
    <row r="17" customFormat="false" ht="24" hidden="false" customHeight="true" outlineLevel="0" collapsed="false">
      <c r="A17" s="6" t="s">
        <v>479</v>
      </c>
      <c r="B17" s="6"/>
      <c r="C17" s="6"/>
      <c r="D17" s="6"/>
      <c r="E17" s="6"/>
    </row>
    <row r="19" customFormat="false" ht="15" hidden="false" customHeight="true" outlineLevel="0" collapsed="false">
      <c r="A19" s="70" t="s">
        <v>480</v>
      </c>
      <c r="B19" s="70"/>
      <c r="C19" s="70"/>
      <c r="D19" s="70"/>
      <c r="E19" s="70"/>
    </row>
    <row r="20" customFormat="false" ht="15" hidden="false" customHeight="false" outlineLevel="0" collapsed="false">
      <c r="A20" s="70"/>
      <c r="B20" s="70"/>
      <c r="C20" s="70"/>
      <c r="D20" s="70"/>
      <c r="E20" s="70"/>
    </row>
    <row r="21" customFormat="false" ht="15" hidden="false" customHeight="false" outlineLevel="0" collapsed="false">
      <c r="A21" s="70"/>
      <c r="B21" s="70"/>
      <c r="C21" s="70"/>
      <c r="D21" s="70"/>
      <c r="E21" s="70"/>
    </row>
    <row r="22" customFormat="false" ht="15" hidden="false" customHeight="false" outlineLevel="0" collapsed="false">
      <c r="A22" s="70"/>
      <c r="B22" s="70"/>
      <c r="C22" s="70"/>
      <c r="D22" s="70"/>
      <c r="E22" s="70"/>
    </row>
    <row r="23" customFormat="false" ht="15" hidden="false" customHeight="false" outlineLevel="0" collapsed="false">
      <c r="A23" s="70"/>
      <c r="B23" s="70"/>
      <c r="C23" s="70"/>
      <c r="D23" s="70"/>
      <c r="E23" s="70"/>
    </row>
    <row r="25" customFormat="false" ht="31.5" hidden="false" customHeight="true" outlineLevel="0" collapsed="false">
      <c r="A25" s="27" t="s">
        <v>481</v>
      </c>
      <c r="B25" s="27"/>
      <c r="C25" s="27"/>
      <c r="D25" s="27"/>
      <c r="E25" s="27"/>
    </row>
  </sheetData>
  <mergeCells count="6">
    <mergeCell ref="A1:E1"/>
    <mergeCell ref="A2:E2"/>
    <mergeCell ref="A3:E3"/>
    <mergeCell ref="A17:E17"/>
    <mergeCell ref="A19:E23"/>
    <mergeCell ref="A25:E25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52"/>
    <col collapsed="false" customWidth="true" hidden="false" outlineLevel="0" max="6" min="6" style="0" width="2"/>
    <col collapsed="false" customWidth="true" hidden="false" outlineLevel="0" max="9" min="7" style="0" width="14"/>
  </cols>
  <sheetData>
    <row r="1" customFormat="false" ht="36" hidden="false" customHeight="true" outlineLevel="0" collapsed="false">
      <c r="A1" s="15" t="s">
        <v>27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3" customFormat="false" ht="18" hidden="false" customHeight="true" outlineLevel="0" collapsed="false">
      <c r="A3" s="17" t="s">
        <v>482</v>
      </c>
      <c r="B3" s="17"/>
      <c r="C3" s="17"/>
      <c r="D3" s="17"/>
      <c r="E3" s="17"/>
      <c r="F3" s="17"/>
      <c r="G3" s="17"/>
      <c r="H3" s="17"/>
      <c r="I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</row>
    <row r="6" customFormat="false" ht="24" hidden="false" customHeight="true" outlineLevel="0" collapsed="false">
      <c r="A6" s="6" t="s">
        <v>483</v>
      </c>
      <c r="B6" s="6"/>
      <c r="C6" s="6"/>
      <c r="D6" s="6"/>
      <c r="E6" s="6"/>
      <c r="F6" s="6"/>
      <c r="G6" s="6"/>
      <c r="H6" s="6"/>
      <c r="I6" s="6"/>
    </row>
    <row r="8" customFormat="false" ht="30" hidden="false" customHeight="true" outlineLevel="0" collapsed="false">
      <c r="A8" s="18" t="s">
        <v>484</v>
      </c>
      <c r="B8" s="18" t="s">
        <v>485</v>
      </c>
      <c r="C8" s="18" t="s">
        <v>486</v>
      </c>
      <c r="D8" s="18" t="s">
        <v>487</v>
      </c>
      <c r="E8" s="18" t="s">
        <v>488</v>
      </c>
    </row>
    <row r="9" customFormat="false" ht="25.5" hidden="false" customHeight="true" outlineLevel="0" collapsed="false">
      <c r="A9" s="71" t="n">
        <v>2021</v>
      </c>
      <c r="B9" s="30" t="n">
        <v>3681</v>
      </c>
      <c r="C9" s="30" t="s">
        <v>45</v>
      </c>
      <c r="D9" s="30" t="n">
        <v>3681</v>
      </c>
      <c r="E9" s="21" t="s">
        <v>489</v>
      </c>
    </row>
    <row r="10" customFormat="false" ht="25.5" hidden="false" customHeight="true" outlineLevel="0" collapsed="false">
      <c r="A10" s="72" t="n">
        <v>2022</v>
      </c>
      <c r="B10" s="33" t="n">
        <v>2859</v>
      </c>
      <c r="C10" s="33" t="s">
        <v>45</v>
      </c>
      <c r="D10" s="33" t="s">
        <v>45</v>
      </c>
      <c r="E10" s="25" t="s">
        <v>490</v>
      </c>
    </row>
    <row r="11" customFormat="false" ht="25.5" hidden="false" customHeight="true" outlineLevel="0" collapsed="false">
      <c r="A11" s="71" t="n">
        <v>2023</v>
      </c>
      <c r="B11" s="30" t="n">
        <v>2775</v>
      </c>
      <c r="C11" s="30" t="n">
        <v>2600</v>
      </c>
      <c r="D11" s="30" t="n">
        <v>2900</v>
      </c>
      <c r="E11" s="21" t="s">
        <v>491</v>
      </c>
    </row>
    <row r="12" customFormat="false" ht="25.5" hidden="false" customHeight="true" outlineLevel="0" collapsed="false">
      <c r="A12" s="72" t="n">
        <v>2024</v>
      </c>
      <c r="B12" s="33" t="n">
        <v>1953</v>
      </c>
      <c r="C12" s="33" t="n">
        <v>1317</v>
      </c>
      <c r="D12" s="33" t="n">
        <v>2790</v>
      </c>
      <c r="E12" s="25" t="s">
        <v>492</v>
      </c>
    </row>
    <row r="13" customFormat="false" ht="25.5" hidden="false" customHeight="true" outlineLevel="0" collapsed="false">
      <c r="A13" s="71" t="n">
        <v>2025</v>
      </c>
      <c r="B13" s="30" t="n">
        <v>1275</v>
      </c>
      <c r="C13" s="30" t="n">
        <v>1130</v>
      </c>
      <c r="D13" s="30" t="n">
        <v>1528</v>
      </c>
      <c r="E13" s="21" t="s">
        <v>493</v>
      </c>
    </row>
    <row r="14" customFormat="false" ht="25.5" hidden="false" customHeight="true" outlineLevel="0" collapsed="false">
      <c r="A14" s="72" t="n">
        <v>2026</v>
      </c>
      <c r="B14" s="33" t="n">
        <v>1100</v>
      </c>
      <c r="C14" s="33" t="n">
        <v>942</v>
      </c>
      <c r="D14" s="33" t="n">
        <v>1250</v>
      </c>
      <c r="E14" s="25" t="s">
        <v>494</v>
      </c>
    </row>
    <row r="16" customFormat="false" ht="36" hidden="false" customHeight="true" outlineLevel="0" collapsed="false">
      <c r="A16" s="27" t="s">
        <v>495</v>
      </c>
      <c r="B16" s="27"/>
      <c r="C16" s="27"/>
      <c r="D16" s="27"/>
      <c r="E16" s="27"/>
      <c r="F16" s="27"/>
      <c r="G16" s="27"/>
      <c r="H16" s="27"/>
      <c r="I16" s="27"/>
    </row>
  </sheetData>
  <mergeCells count="5">
    <mergeCell ref="A1:I1"/>
    <mergeCell ref="A2:I2"/>
    <mergeCell ref="A3:I3"/>
    <mergeCell ref="A6:I6"/>
    <mergeCell ref="A16:I16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20"/>
  </cols>
  <sheetData>
    <row r="1" customFormat="false" ht="36" hidden="false" customHeight="true" outlineLevel="0" collapsed="false">
      <c r="A1" s="15" t="s">
        <v>30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31</v>
      </c>
      <c r="B2" s="16"/>
      <c r="C2" s="16"/>
      <c r="D2" s="16"/>
      <c r="E2" s="16"/>
      <c r="F2" s="16"/>
      <c r="G2" s="16"/>
      <c r="H2" s="16"/>
    </row>
    <row r="3" customFormat="false" ht="18" hidden="false" customHeight="true" outlineLevel="0" collapsed="false">
      <c r="A3" s="17" t="s">
        <v>496</v>
      </c>
      <c r="B3" s="17"/>
      <c r="C3" s="17"/>
      <c r="D3" s="17"/>
      <c r="E3" s="17"/>
      <c r="F3" s="17"/>
      <c r="G3" s="17"/>
      <c r="H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6" customFormat="false" ht="24" hidden="false" customHeight="true" outlineLevel="0" collapsed="false">
      <c r="A6" s="6" t="s">
        <v>497</v>
      </c>
      <c r="B6" s="6"/>
      <c r="C6" s="6"/>
      <c r="D6" s="6"/>
      <c r="E6" s="6"/>
      <c r="F6" s="6"/>
      <c r="G6" s="6"/>
      <c r="H6" s="6"/>
    </row>
    <row r="8" customFormat="false" ht="30" hidden="false" customHeight="true" outlineLevel="0" collapsed="false">
      <c r="A8" s="18" t="s">
        <v>498</v>
      </c>
      <c r="B8" s="18" t="s">
        <v>417</v>
      </c>
      <c r="C8" s="18" t="s">
        <v>499</v>
      </c>
      <c r="D8" s="18" t="s">
        <v>500</v>
      </c>
      <c r="E8" s="18" t="s">
        <v>501</v>
      </c>
      <c r="F8" s="18" t="s">
        <v>502</v>
      </c>
      <c r="G8" s="18" t="s">
        <v>503</v>
      </c>
      <c r="H8" s="18" t="s">
        <v>83</v>
      </c>
    </row>
    <row r="9" customFormat="false" ht="39.75" hidden="false" customHeight="true" outlineLevel="0" collapsed="false">
      <c r="A9" s="40" t="s">
        <v>504</v>
      </c>
      <c r="B9" s="19" t="s">
        <v>505</v>
      </c>
      <c r="C9" s="19" t="s">
        <v>506</v>
      </c>
      <c r="D9" s="19" t="s">
        <v>507</v>
      </c>
      <c r="E9" s="19" t="s">
        <v>508</v>
      </c>
      <c r="F9" s="19" t="s">
        <v>509</v>
      </c>
      <c r="G9" s="21" t="s">
        <v>510</v>
      </c>
      <c r="H9" s="21" t="s">
        <v>511</v>
      </c>
    </row>
    <row r="10" customFormat="false" ht="39.75" hidden="false" customHeight="true" outlineLevel="0" collapsed="false">
      <c r="A10" s="44" t="s">
        <v>512</v>
      </c>
      <c r="B10" s="23" t="s">
        <v>513</v>
      </c>
      <c r="C10" s="23" t="s">
        <v>514</v>
      </c>
      <c r="D10" s="23" t="s">
        <v>515</v>
      </c>
      <c r="E10" s="23" t="s">
        <v>516</v>
      </c>
      <c r="F10" s="23" t="s">
        <v>517</v>
      </c>
      <c r="G10" s="25" t="s">
        <v>518</v>
      </c>
      <c r="H10" s="25" t="s">
        <v>519</v>
      </c>
    </row>
    <row r="11" customFormat="false" ht="39.75" hidden="false" customHeight="true" outlineLevel="0" collapsed="false">
      <c r="A11" s="40" t="s">
        <v>520</v>
      </c>
      <c r="B11" s="19" t="s">
        <v>521</v>
      </c>
      <c r="C11" s="19" t="s">
        <v>522</v>
      </c>
      <c r="D11" s="19" t="s">
        <v>523</v>
      </c>
      <c r="E11" s="19" t="s">
        <v>524</v>
      </c>
      <c r="F11" s="19" t="s">
        <v>525</v>
      </c>
      <c r="G11" s="21" t="s">
        <v>526</v>
      </c>
      <c r="H11" s="21" t="s">
        <v>527</v>
      </c>
    </row>
    <row r="12" customFormat="false" ht="39.75" hidden="false" customHeight="true" outlineLevel="0" collapsed="false">
      <c r="A12" s="44" t="s">
        <v>528</v>
      </c>
      <c r="B12" s="23" t="s">
        <v>529</v>
      </c>
      <c r="C12" s="23" t="s">
        <v>530</v>
      </c>
      <c r="D12" s="23" t="s">
        <v>531</v>
      </c>
      <c r="E12" s="23" t="s">
        <v>532</v>
      </c>
      <c r="F12" s="23" t="s">
        <v>533</v>
      </c>
      <c r="G12" s="25" t="s">
        <v>534</v>
      </c>
      <c r="H12" s="25" t="s">
        <v>527</v>
      </c>
    </row>
    <row r="13" customFormat="false" ht="39.75" hidden="false" customHeight="true" outlineLevel="0" collapsed="false">
      <c r="A13" s="40" t="s">
        <v>535</v>
      </c>
      <c r="B13" s="19" t="s">
        <v>536</v>
      </c>
      <c r="C13" s="19" t="s">
        <v>537</v>
      </c>
      <c r="D13" s="19" t="s">
        <v>538</v>
      </c>
      <c r="E13" s="19" t="s">
        <v>539</v>
      </c>
      <c r="F13" s="19" t="s">
        <v>540</v>
      </c>
      <c r="G13" s="21" t="s">
        <v>541</v>
      </c>
      <c r="H13" s="21" t="s">
        <v>542</v>
      </c>
    </row>
    <row r="14" customFormat="false" ht="39.75" hidden="false" customHeight="true" outlineLevel="0" collapsed="false">
      <c r="A14" s="44" t="s">
        <v>543</v>
      </c>
      <c r="B14" s="23" t="s">
        <v>544</v>
      </c>
      <c r="C14" s="23" t="s">
        <v>545</v>
      </c>
      <c r="D14" s="23" t="s">
        <v>546</v>
      </c>
      <c r="E14" s="23" t="s">
        <v>547</v>
      </c>
      <c r="F14" s="23" t="s">
        <v>548</v>
      </c>
      <c r="G14" s="25" t="s">
        <v>549</v>
      </c>
      <c r="H14" s="25" t="s">
        <v>550</v>
      </c>
    </row>
    <row r="16" customFormat="false" ht="24" hidden="false" customHeight="true" outlineLevel="0" collapsed="false">
      <c r="A16" s="6" t="s">
        <v>551</v>
      </c>
      <c r="B16" s="6"/>
      <c r="C16" s="6"/>
      <c r="D16" s="6"/>
      <c r="E16" s="6"/>
      <c r="F16" s="6"/>
      <c r="G16" s="6"/>
      <c r="H16" s="6"/>
    </row>
    <row r="18" customFormat="false" ht="30" hidden="false" customHeight="true" outlineLevel="0" collapsed="false">
      <c r="A18" s="18" t="s">
        <v>552</v>
      </c>
      <c r="B18" s="18" t="s">
        <v>553</v>
      </c>
      <c r="C18" s="18" t="s">
        <v>84</v>
      </c>
      <c r="D18" s="18"/>
      <c r="E18" s="18"/>
      <c r="F18" s="18"/>
      <c r="G18" s="18"/>
      <c r="H18" s="18"/>
    </row>
    <row r="19" customFormat="false" ht="25.5" hidden="false" customHeight="true" outlineLevel="0" collapsed="false">
      <c r="A19" s="52" t="s">
        <v>554</v>
      </c>
      <c r="B19" s="73" t="n">
        <v>1150</v>
      </c>
      <c r="C19" s="74" t="s">
        <v>555</v>
      </c>
      <c r="D19" s="74"/>
      <c r="E19" s="74"/>
      <c r="F19" s="74"/>
    </row>
    <row r="20" customFormat="false" ht="25.5" hidden="false" customHeight="true" outlineLevel="0" collapsed="false">
      <c r="A20" s="53" t="s">
        <v>556</v>
      </c>
      <c r="B20" s="75" t="n">
        <v>1250</v>
      </c>
      <c r="C20" s="76" t="s">
        <v>557</v>
      </c>
      <c r="D20" s="76"/>
      <c r="E20" s="76"/>
      <c r="F20" s="76"/>
    </row>
    <row r="21" customFormat="false" ht="25.5" hidden="false" customHeight="true" outlineLevel="0" collapsed="false">
      <c r="A21" s="52" t="s">
        <v>558</v>
      </c>
      <c r="B21" s="73" t="n">
        <v>1150</v>
      </c>
      <c r="C21" s="74" t="s">
        <v>559</v>
      </c>
      <c r="D21" s="74"/>
      <c r="E21" s="74"/>
      <c r="F21" s="74"/>
    </row>
    <row r="22" customFormat="false" ht="25.5" hidden="false" customHeight="true" outlineLevel="0" collapsed="false">
      <c r="A22" s="53" t="s">
        <v>560</v>
      </c>
      <c r="B22" s="75" t="n">
        <v>1100</v>
      </c>
      <c r="C22" s="76" t="s">
        <v>561</v>
      </c>
      <c r="D22" s="76"/>
      <c r="E22" s="76"/>
      <c r="F22" s="76"/>
    </row>
    <row r="23" customFormat="false" ht="25.5" hidden="false" customHeight="true" outlineLevel="0" collapsed="false">
      <c r="A23" s="52" t="s">
        <v>562</v>
      </c>
      <c r="B23" s="73" t="n">
        <v>1150</v>
      </c>
      <c r="C23" s="74" t="s">
        <v>563</v>
      </c>
      <c r="D23" s="74"/>
      <c r="E23" s="74"/>
      <c r="F23" s="74"/>
    </row>
    <row r="25" customFormat="false" ht="24" hidden="false" customHeight="true" outlineLevel="0" collapsed="false">
      <c r="A25" s="6" t="s">
        <v>564</v>
      </c>
      <c r="B25" s="6"/>
      <c r="C25" s="6"/>
      <c r="D25" s="6"/>
      <c r="E25" s="6"/>
      <c r="F25" s="6"/>
      <c r="G25" s="6"/>
      <c r="H25" s="6"/>
    </row>
    <row r="27" customFormat="false" ht="15" hidden="false" customHeight="true" outlineLevel="0" collapsed="false">
      <c r="A27" s="70" t="s">
        <v>565</v>
      </c>
      <c r="B27" s="70"/>
      <c r="C27" s="70"/>
      <c r="D27" s="70"/>
      <c r="E27" s="70"/>
      <c r="F27" s="70"/>
    </row>
    <row r="28" customFormat="false" ht="15" hidden="false" customHeight="false" outlineLevel="0" collapsed="false">
      <c r="A28" s="70"/>
      <c r="B28" s="70"/>
      <c r="C28" s="70"/>
      <c r="D28" s="70"/>
      <c r="E28" s="70"/>
      <c r="F28" s="70"/>
    </row>
    <row r="29" customFormat="false" ht="15" hidden="false" customHeight="false" outlineLevel="0" collapsed="false">
      <c r="A29" s="70"/>
      <c r="B29" s="70"/>
      <c r="C29" s="70"/>
      <c r="D29" s="70"/>
      <c r="E29" s="70"/>
      <c r="F29" s="70"/>
    </row>
    <row r="30" customFormat="false" ht="15" hidden="false" customHeight="false" outlineLevel="0" collapsed="false">
      <c r="A30" s="70"/>
      <c r="B30" s="70"/>
      <c r="C30" s="70"/>
      <c r="D30" s="70"/>
      <c r="E30" s="70"/>
      <c r="F30" s="70"/>
    </row>
    <row r="31" customFormat="false" ht="15" hidden="false" customHeight="false" outlineLevel="0" collapsed="false">
      <c r="A31" s="70"/>
      <c r="B31" s="70"/>
      <c r="C31" s="70"/>
      <c r="D31" s="70"/>
      <c r="E31" s="70"/>
      <c r="F31" s="70"/>
    </row>
    <row r="33" customFormat="false" ht="30" hidden="false" customHeight="true" outlineLevel="0" collapsed="false">
      <c r="A33" s="27" t="s">
        <v>566</v>
      </c>
      <c r="B33" s="27"/>
      <c r="C33" s="27"/>
      <c r="D33" s="27"/>
      <c r="E33" s="27"/>
      <c r="F33" s="27"/>
      <c r="G33" s="27"/>
      <c r="H33" s="27"/>
    </row>
  </sheetData>
  <mergeCells count="14">
    <mergeCell ref="A1:H1"/>
    <mergeCell ref="A2:H2"/>
    <mergeCell ref="A3:H3"/>
    <mergeCell ref="A6:H6"/>
    <mergeCell ref="A16:H16"/>
    <mergeCell ref="C18:F18"/>
    <mergeCell ref="C19:F19"/>
    <mergeCell ref="C20:F20"/>
    <mergeCell ref="C21:F21"/>
    <mergeCell ref="C22:F22"/>
    <mergeCell ref="C23:F23"/>
    <mergeCell ref="A25:H25"/>
    <mergeCell ref="A27:F31"/>
    <mergeCell ref="A33:H33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567</v>
      </c>
      <c r="B2" s="16"/>
      <c r="C2" s="16"/>
      <c r="D2" s="16"/>
      <c r="E2" s="16"/>
      <c r="F2" s="16"/>
      <c r="G2" s="16"/>
      <c r="H2" s="16"/>
    </row>
    <row r="3" customFormat="false" ht="18" hidden="false" customHeight="true" outlineLevel="0" collapsed="false">
      <c r="A3" s="17" t="s">
        <v>568</v>
      </c>
      <c r="B3" s="17"/>
      <c r="C3" s="17"/>
      <c r="D3" s="17"/>
      <c r="E3" s="17"/>
      <c r="F3" s="17"/>
      <c r="G3" s="17"/>
      <c r="H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6" customFormat="false" ht="24" hidden="false" customHeight="true" outlineLevel="0" collapsed="false">
      <c r="A6" s="6" t="s">
        <v>569</v>
      </c>
      <c r="B6" s="6"/>
      <c r="C6" s="6"/>
      <c r="D6" s="6"/>
      <c r="E6" s="6"/>
      <c r="F6" s="6"/>
      <c r="G6" s="6"/>
      <c r="H6" s="6"/>
    </row>
    <row r="8" customFormat="false" ht="30" hidden="false" customHeight="true" outlineLevel="0" collapsed="false">
      <c r="A8" s="18" t="s">
        <v>365</v>
      </c>
      <c r="B8" s="18" t="s">
        <v>570</v>
      </c>
      <c r="C8" s="18" t="s">
        <v>571</v>
      </c>
      <c r="D8" s="18" t="s">
        <v>572</v>
      </c>
      <c r="E8" s="18" t="s">
        <v>573</v>
      </c>
      <c r="F8" s="18" t="s">
        <v>574</v>
      </c>
      <c r="G8" s="18" t="s">
        <v>575</v>
      </c>
      <c r="H8" s="18" t="s">
        <v>417</v>
      </c>
    </row>
    <row r="9" customFormat="false" ht="45.75" hidden="false" customHeight="true" outlineLevel="0" collapsed="false">
      <c r="A9" s="64" t="s">
        <v>576</v>
      </c>
      <c r="B9" s="19" t="s">
        <v>89</v>
      </c>
      <c r="C9" s="19" t="s">
        <v>89</v>
      </c>
      <c r="D9" s="77" t="s">
        <v>89</v>
      </c>
      <c r="E9" s="21" t="s">
        <v>577</v>
      </c>
      <c r="F9" s="21" t="s">
        <v>578</v>
      </c>
      <c r="G9" s="19" t="s">
        <v>579</v>
      </c>
      <c r="H9" s="19" t="s">
        <v>45</v>
      </c>
    </row>
    <row r="10" customFormat="false" ht="45.75" hidden="false" customHeight="true" outlineLevel="0" collapsed="false">
      <c r="A10" s="66" t="s">
        <v>580</v>
      </c>
      <c r="B10" s="23" t="s">
        <v>89</v>
      </c>
      <c r="C10" s="23" t="s">
        <v>89</v>
      </c>
      <c r="D10" s="77" t="s">
        <v>89</v>
      </c>
      <c r="E10" s="25" t="s">
        <v>581</v>
      </c>
      <c r="F10" s="25" t="s">
        <v>582</v>
      </c>
      <c r="G10" s="23" t="s">
        <v>579</v>
      </c>
      <c r="H10" s="23" t="s">
        <v>45</v>
      </c>
    </row>
    <row r="11" customFormat="false" ht="45.75" hidden="false" customHeight="true" outlineLevel="0" collapsed="false">
      <c r="A11" s="64" t="s">
        <v>583</v>
      </c>
      <c r="B11" s="19" t="s">
        <v>121</v>
      </c>
      <c r="C11" s="19" t="s">
        <v>89</v>
      </c>
      <c r="D11" s="77" t="s">
        <v>89</v>
      </c>
      <c r="E11" s="21" t="s">
        <v>584</v>
      </c>
      <c r="F11" s="21" t="s">
        <v>585</v>
      </c>
      <c r="G11" s="19" t="s">
        <v>579</v>
      </c>
      <c r="H11" s="19" t="s">
        <v>45</v>
      </c>
    </row>
    <row r="12" customFormat="false" ht="45.75" hidden="false" customHeight="true" outlineLevel="0" collapsed="false">
      <c r="A12" s="66" t="s">
        <v>586</v>
      </c>
      <c r="B12" s="23" t="s">
        <v>89</v>
      </c>
      <c r="C12" s="23" t="s">
        <v>121</v>
      </c>
      <c r="D12" s="26" t="s">
        <v>102</v>
      </c>
      <c r="E12" s="25" t="s">
        <v>587</v>
      </c>
      <c r="F12" s="25" t="s">
        <v>588</v>
      </c>
      <c r="G12" s="23" t="s">
        <v>579</v>
      </c>
      <c r="H12" s="23" t="s">
        <v>45</v>
      </c>
    </row>
    <row r="13" customFormat="false" ht="45.75" hidden="false" customHeight="true" outlineLevel="0" collapsed="false">
      <c r="A13" s="64" t="s">
        <v>589</v>
      </c>
      <c r="B13" s="19" t="s">
        <v>121</v>
      </c>
      <c r="C13" s="19" t="s">
        <v>121</v>
      </c>
      <c r="D13" s="47" t="s">
        <v>121</v>
      </c>
      <c r="E13" s="21" t="s">
        <v>590</v>
      </c>
      <c r="F13" s="21" t="s">
        <v>591</v>
      </c>
      <c r="G13" s="19" t="s">
        <v>579</v>
      </c>
      <c r="H13" s="19" t="s">
        <v>45</v>
      </c>
    </row>
    <row r="14" customFormat="false" ht="45.75" hidden="false" customHeight="true" outlineLevel="0" collapsed="false">
      <c r="A14" s="66" t="s">
        <v>592</v>
      </c>
      <c r="B14" s="23" t="s">
        <v>121</v>
      </c>
      <c r="C14" s="23" t="s">
        <v>121</v>
      </c>
      <c r="D14" s="47" t="s">
        <v>121</v>
      </c>
      <c r="E14" s="25" t="s">
        <v>593</v>
      </c>
      <c r="F14" s="25" t="s">
        <v>594</v>
      </c>
      <c r="G14" s="23" t="s">
        <v>579</v>
      </c>
      <c r="H14" s="23" t="s">
        <v>45</v>
      </c>
    </row>
    <row r="15" customFormat="false" ht="45.75" hidden="false" customHeight="true" outlineLevel="0" collapsed="false">
      <c r="A15" s="64" t="s">
        <v>595</v>
      </c>
      <c r="B15" s="19" t="s">
        <v>121</v>
      </c>
      <c r="C15" s="19" t="s">
        <v>121</v>
      </c>
      <c r="D15" s="47" t="s">
        <v>121</v>
      </c>
      <c r="E15" s="21" t="s">
        <v>596</v>
      </c>
      <c r="F15" s="21" t="s">
        <v>597</v>
      </c>
      <c r="G15" s="19" t="s">
        <v>579</v>
      </c>
      <c r="H15" s="19" t="s">
        <v>45</v>
      </c>
    </row>
    <row r="16" customFormat="false" ht="45.75" hidden="false" customHeight="true" outlineLevel="0" collapsed="false">
      <c r="A16" s="66" t="s">
        <v>598</v>
      </c>
      <c r="B16" s="23" t="s">
        <v>121</v>
      </c>
      <c r="C16" s="23" t="s">
        <v>121</v>
      </c>
      <c r="D16" s="47" t="s">
        <v>121</v>
      </c>
      <c r="E16" s="25" t="s">
        <v>599</v>
      </c>
      <c r="F16" s="25" t="s">
        <v>600</v>
      </c>
      <c r="G16" s="23" t="s">
        <v>579</v>
      </c>
      <c r="H16" s="23" t="s">
        <v>45</v>
      </c>
    </row>
    <row r="18" customFormat="false" ht="33.75" hidden="false" customHeight="true" outlineLevel="0" collapsed="false">
      <c r="A18" s="27" t="s">
        <v>601</v>
      </c>
      <c r="B18" s="27"/>
      <c r="C18" s="27"/>
      <c r="D18" s="27"/>
      <c r="E18" s="27"/>
      <c r="F18" s="27"/>
      <c r="G18" s="27"/>
      <c r="H18" s="27"/>
    </row>
  </sheetData>
  <mergeCells count="5">
    <mergeCell ref="A1:H1"/>
    <mergeCell ref="A2:H2"/>
    <mergeCell ref="A3:H3"/>
    <mergeCell ref="A6:H6"/>
    <mergeCell ref="A18:H18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25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5" t="s">
        <v>36</v>
      </c>
      <c r="B1" s="15"/>
      <c r="C1" s="15"/>
      <c r="D1" s="15"/>
      <c r="E1" s="15"/>
      <c r="F1" s="15"/>
    </row>
    <row r="2" customFormat="false" ht="19.5" hidden="false" customHeight="true" outlineLevel="0" collapsed="false">
      <c r="A2" s="16" t="s">
        <v>602</v>
      </c>
      <c r="B2" s="16"/>
      <c r="C2" s="16"/>
      <c r="D2" s="16"/>
      <c r="E2" s="16"/>
      <c r="F2" s="16"/>
    </row>
    <row r="3" customFormat="false" ht="18" hidden="false" customHeight="true" outlineLevel="0" collapsed="false">
      <c r="A3" s="17" t="s">
        <v>603</v>
      </c>
      <c r="B3" s="17"/>
      <c r="C3" s="17"/>
      <c r="D3" s="17"/>
      <c r="E3" s="17"/>
      <c r="F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</row>
    <row r="6" customFormat="false" ht="24" hidden="false" customHeight="true" outlineLevel="0" collapsed="false">
      <c r="A6" s="6" t="s">
        <v>36</v>
      </c>
      <c r="B6" s="6"/>
      <c r="C6" s="6"/>
      <c r="D6" s="6"/>
      <c r="E6" s="6"/>
      <c r="F6" s="6"/>
    </row>
    <row r="8" customFormat="false" ht="27.75" hidden="false" customHeight="true" outlineLevel="0" collapsed="false">
      <c r="A8" s="18" t="s">
        <v>604</v>
      </c>
      <c r="B8" s="78" t="s">
        <v>605</v>
      </c>
      <c r="C8" s="78"/>
      <c r="D8" s="78" t="s">
        <v>606</v>
      </c>
      <c r="E8" s="78"/>
      <c r="F8" s="18" t="s">
        <v>607</v>
      </c>
    </row>
    <row r="9" customFormat="false" ht="49.5" hidden="false" customHeight="true" outlineLevel="0" collapsed="false">
      <c r="A9" s="79" t="s">
        <v>608</v>
      </c>
      <c r="B9" s="74" t="s">
        <v>609</v>
      </c>
      <c r="C9" s="74"/>
      <c r="D9" s="74" t="s">
        <v>610</v>
      </c>
      <c r="E9" s="74"/>
      <c r="F9" s="74" t="s">
        <v>611</v>
      </c>
    </row>
    <row r="10" customFormat="false" ht="49.5" hidden="false" customHeight="true" outlineLevel="0" collapsed="false">
      <c r="A10" s="80" t="s">
        <v>612</v>
      </c>
      <c r="B10" s="76" t="s">
        <v>613</v>
      </c>
      <c r="C10" s="76"/>
      <c r="D10" s="76" t="s">
        <v>614</v>
      </c>
      <c r="E10" s="76"/>
      <c r="F10" s="76" t="s">
        <v>615</v>
      </c>
    </row>
    <row r="11" customFormat="false" ht="49.5" hidden="false" customHeight="true" outlineLevel="0" collapsed="false">
      <c r="A11" s="79" t="s">
        <v>616</v>
      </c>
      <c r="B11" s="74" t="s">
        <v>617</v>
      </c>
      <c r="C11" s="74"/>
      <c r="D11" s="74" t="s">
        <v>618</v>
      </c>
      <c r="E11" s="74"/>
      <c r="F11" s="74" t="s">
        <v>619</v>
      </c>
    </row>
    <row r="12" customFormat="false" ht="49.5" hidden="false" customHeight="true" outlineLevel="0" collapsed="false">
      <c r="A12" s="80" t="s">
        <v>620</v>
      </c>
      <c r="B12" s="76" t="s">
        <v>621</v>
      </c>
      <c r="C12" s="76"/>
      <c r="D12" s="76" t="s">
        <v>622</v>
      </c>
      <c r="E12" s="76"/>
      <c r="F12" s="76" t="s">
        <v>623</v>
      </c>
    </row>
    <row r="15" customFormat="false" ht="24" hidden="false" customHeight="true" outlineLevel="0" collapsed="false">
      <c r="A15" s="6" t="s">
        <v>624</v>
      </c>
      <c r="B15" s="6"/>
      <c r="C15" s="6"/>
      <c r="D15" s="6"/>
      <c r="E15" s="6"/>
      <c r="F15" s="6"/>
    </row>
    <row r="17" customFormat="false" ht="27.75" hidden="false" customHeight="true" outlineLevel="0" collapsed="false">
      <c r="A17" s="18" t="s">
        <v>625</v>
      </c>
      <c r="B17" s="78" t="s">
        <v>626</v>
      </c>
      <c r="C17" s="78"/>
      <c r="D17" s="78" t="s">
        <v>627</v>
      </c>
      <c r="E17" s="78"/>
      <c r="F17" s="18" t="s">
        <v>316</v>
      </c>
    </row>
    <row r="18" customFormat="false" ht="25.5" hidden="false" customHeight="true" outlineLevel="0" collapsed="false">
      <c r="A18" s="52" t="s">
        <v>628</v>
      </c>
      <c r="B18" s="74" t="s">
        <v>629</v>
      </c>
      <c r="C18" s="74"/>
      <c r="D18" s="74" t="s">
        <v>630</v>
      </c>
      <c r="E18" s="74"/>
      <c r="F18" s="81" t="n">
        <v>0.55</v>
      </c>
    </row>
    <row r="19" customFormat="false" ht="25.5" hidden="false" customHeight="true" outlineLevel="0" collapsed="false">
      <c r="A19" s="53" t="s">
        <v>631</v>
      </c>
      <c r="B19" s="76" t="s">
        <v>632</v>
      </c>
      <c r="C19" s="76"/>
      <c r="D19" s="76" t="s">
        <v>633</v>
      </c>
      <c r="E19" s="76"/>
      <c r="F19" s="82" t="n">
        <v>0.25</v>
      </c>
    </row>
    <row r="20" customFormat="false" ht="25.5" hidden="false" customHeight="true" outlineLevel="0" collapsed="false">
      <c r="A20" s="52" t="s">
        <v>634</v>
      </c>
      <c r="B20" s="74" t="s">
        <v>635</v>
      </c>
      <c r="C20" s="74"/>
      <c r="D20" s="74" t="s">
        <v>636</v>
      </c>
      <c r="E20" s="74"/>
      <c r="F20" s="81" t="n">
        <v>0.12</v>
      </c>
    </row>
    <row r="21" customFormat="false" ht="25.5" hidden="false" customHeight="true" outlineLevel="0" collapsed="false">
      <c r="A21" s="53" t="s">
        <v>637</v>
      </c>
      <c r="B21" s="76" t="s">
        <v>638</v>
      </c>
      <c r="C21" s="76"/>
      <c r="D21" s="76" t="s">
        <v>639</v>
      </c>
      <c r="E21" s="76"/>
      <c r="F21" s="82" t="n">
        <v>0.08</v>
      </c>
    </row>
    <row r="23" customFormat="false" ht="24" hidden="false" customHeight="true" outlineLevel="0" collapsed="false">
      <c r="A23" s="6" t="s">
        <v>640</v>
      </c>
      <c r="B23" s="6"/>
      <c r="C23" s="6"/>
      <c r="D23" s="6"/>
      <c r="E23" s="6"/>
      <c r="F23" s="6"/>
    </row>
    <row r="25" customFormat="false" ht="15" hidden="false" customHeight="true" outlineLevel="0" collapsed="false">
      <c r="A25" s="18" t="s">
        <v>641</v>
      </c>
      <c r="B25" s="18" t="s">
        <v>642</v>
      </c>
      <c r="C25" s="18" t="s">
        <v>643</v>
      </c>
      <c r="D25" s="78" t="s">
        <v>488</v>
      </c>
      <c r="E25" s="78"/>
      <c r="F25" s="78"/>
    </row>
    <row r="26" customFormat="false" ht="25.5" hidden="false" customHeight="true" outlineLevel="0" collapsed="false">
      <c r="A26" s="83" t="s">
        <v>644</v>
      </c>
      <c r="B26" s="84" t="n">
        <v>5</v>
      </c>
      <c r="C26" s="85" t="s">
        <v>645</v>
      </c>
      <c r="D26" s="85" t="s">
        <v>646</v>
      </c>
      <c r="E26" s="85"/>
      <c r="F26" s="85"/>
    </row>
    <row r="27" customFormat="false" ht="25.5" hidden="false" customHeight="true" outlineLevel="0" collapsed="false">
      <c r="A27" s="83" t="s">
        <v>647</v>
      </c>
      <c r="B27" s="84" t="n">
        <v>1063</v>
      </c>
      <c r="C27" s="85" t="s">
        <v>67</v>
      </c>
      <c r="D27" s="85" t="s">
        <v>648</v>
      </c>
      <c r="E27" s="85"/>
      <c r="F27" s="85"/>
    </row>
    <row r="28" customFormat="false" ht="25.5" hidden="false" customHeight="true" outlineLevel="0" collapsed="false">
      <c r="A28" s="83" t="s">
        <v>649</v>
      </c>
      <c r="B28" s="84" t="n">
        <v>150</v>
      </c>
      <c r="C28" s="85" t="s">
        <v>67</v>
      </c>
      <c r="D28" s="85" t="s">
        <v>650</v>
      </c>
      <c r="E28" s="85"/>
      <c r="F28" s="85"/>
    </row>
    <row r="29" customFormat="false" ht="25.5" hidden="false" customHeight="true" outlineLevel="0" collapsed="false">
      <c r="A29" s="83" t="s">
        <v>651</v>
      </c>
      <c r="B29" s="84" t="n">
        <v>30</v>
      </c>
      <c r="C29" s="85" t="s">
        <v>652</v>
      </c>
      <c r="D29" s="85" t="s">
        <v>653</v>
      </c>
      <c r="E29" s="85"/>
      <c r="F29" s="85"/>
    </row>
    <row r="31" customFormat="false" ht="27.75" hidden="false" customHeight="true" outlineLevel="0" collapsed="false">
      <c r="A31" s="86" t="s">
        <v>654</v>
      </c>
      <c r="B31" s="87" t="n">
        <f aca="false">B26*10000*(B27+B28)/10000</f>
        <v>6065</v>
      </c>
      <c r="C31" s="88" t="s">
        <v>655</v>
      </c>
      <c r="D31" s="88" t="s">
        <v>656</v>
      </c>
      <c r="E31" s="88"/>
      <c r="F31" s="88"/>
    </row>
    <row r="32" customFormat="false" ht="27.75" hidden="false" customHeight="true" outlineLevel="0" collapsed="false">
      <c r="A32" s="52" t="s">
        <v>657</v>
      </c>
      <c r="B32" s="89" t="n">
        <f aca="false">B26*10000/12</f>
        <v>4166.66666666667</v>
      </c>
      <c r="C32" s="74" t="s">
        <v>658</v>
      </c>
      <c r="D32" s="74" t="s">
        <v>659</v>
      </c>
      <c r="E32" s="74"/>
      <c r="F32" s="74"/>
    </row>
    <row r="33" customFormat="false" ht="27.75" hidden="false" customHeight="true" outlineLevel="0" collapsed="false">
      <c r="A33" s="52" t="s">
        <v>660</v>
      </c>
      <c r="B33" s="89" t="n">
        <f aca="false">B26*10000*B29/365</f>
        <v>4109.58904109589</v>
      </c>
      <c r="C33" s="74" t="s">
        <v>658</v>
      </c>
      <c r="D33" s="74" t="s">
        <v>661</v>
      </c>
      <c r="E33" s="74"/>
      <c r="F33" s="74"/>
    </row>
    <row r="34" customFormat="false" ht="27.75" hidden="false" customHeight="true" outlineLevel="0" collapsed="false">
      <c r="A34" s="52" t="s">
        <v>662</v>
      </c>
      <c r="B34" s="89" t="n">
        <f aca="false">B26*100</f>
        <v>500</v>
      </c>
      <c r="C34" s="74" t="s">
        <v>663</v>
      </c>
      <c r="D34" s="74" t="s">
        <v>664</v>
      </c>
      <c r="E34" s="74"/>
      <c r="F34" s="74"/>
    </row>
    <row r="36" customFormat="false" ht="37.5" hidden="false" customHeight="true" outlineLevel="0" collapsed="false">
      <c r="A36" s="27" t="s">
        <v>665</v>
      </c>
      <c r="B36" s="27"/>
      <c r="C36" s="27"/>
      <c r="D36" s="27"/>
      <c r="E36" s="27"/>
      <c r="F36" s="27"/>
    </row>
  </sheetData>
  <mergeCells count="36">
    <mergeCell ref="A1:F1"/>
    <mergeCell ref="A2:F2"/>
    <mergeCell ref="A3:F3"/>
    <mergeCell ref="A6:F6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A15:F15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A23:F23"/>
    <mergeCell ref="D25:F25"/>
    <mergeCell ref="D26:F26"/>
    <mergeCell ref="D27:F27"/>
    <mergeCell ref="D28:F28"/>
    <mergeCell ref="D29:F29"/>
    <mergeCell ref="D31:F31"/>
    <mergeCell ref="D32:F32"/>
    <mergeCell ref="D33:F33"/>
    <mergeCell ref="D34:F34"/>
    <mergeCell ref="A36:F36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64"/>
    <col collapsed="false" customWidth="true" hidden="false" outlineLevel="0" max="4" min="4" style="0" width="32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22"/>
  </cols>
  <sheetData>
    <row r="1" customFormat="false" ht="36" hidden="false" customHeight="true" outlineLevel="0" collapsed="false">
      <c r="A1" s="15" t="s">
        <v>666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667</v>
      </c>
      <c r="B2" s="16"/>
      <c r="C2" s="16"/>
      <c r="D2" s="16"/>
      <c r="E2" s="16"/>
      <c r="F2" s="16"/>
      <c r="G2" s="16"/>
      <c r="H2" s="16"/>
    </row>
    <row r="3" customFormat="false" ht="18" hidden="false" customHeight="true" outlineLevel="0" collapsed="false">
      <c r="A3" s="17" t="s">
        <v>668</v>
      </c>
      <c r="B3" s="17"/>
      <c r="C3" s="17"/>
      <c r="D3" s="17"/>
      <c r="E3" s="17"/>
      <c r="F3" s="17"/>
      <c r="G3" s="17"/>
      <c r="H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6" customFormat="false" ht="30" hidden="false" customHeight="true" outlineLevel="0" collapsed="false">
      <c r="A6" s="18" t="s">
        <v>78</v>
      </c>
      <c r="B6" s="18" t="s">
        <v>669</v>
      </c>
      <c r="C6" s="18" t="s">
        <v>670</v>
      </c>
      <c r="D6" s="18" t="s">
        <v>671</v>
      </c>
      <c r="E6" s="18" t="s">
        <v>672</v>
      </c>
      <c r="F6" s="18" t="s">
        <v>673</v>
      </c>
      <c r="G6" s="18" t="s">
        <v>674</v>
      </c>
      <c r="H6" s="18" t="s">
        <v>84</v>
      </c>
    </row>
    <row r="7" customFormat="false" ht="31.5" hidden="false" customHeight="true" outlineLevel="0" collapsed="false">
      <c r="A7" s="19" t="n">
        <v>1</v>
      </c>
      <c r="B7" s="90" t="s">
        <v>675</v>
      </c>
      <c r="C7" s="21" t="s">
        <v>676</v>
      </c>
      <c r="D7" s="21" t="s">
        <v>677</v>
      </c>
      <c r="E7" s="41" t="n">
        <v>8</v>
      </c>
      <c r="F7" s="91"/>
      <c r="G7" s="92" t="n">
        <f aca="false">E7*F7</f>
        <v>0</v>
      </c>
      <c r="H7" s="21"/>
    </row>
    <row r="8" customFormat="false" ht="31.5" hidden="false" customHeight="true" outlineLevel="0" collapsed="false">
      <c r="A8" s="23" t="n">
        <v>2</v>
      </c>
      <c r="B8" s="93" t="s">
        <v>675</v>
      </c>
      <c r="C8" s="25" t="s">
        <v>678</v>
      </c>
      <c r="D8" s="25" t="s">
        <v>677</v>
      </c>
      <c r="E8" s="45" t="n">
        <v>8</v>
      </c>
      <c r="F8" s="91"/>
      <c r="G8" s="94" t="n">
        <f aca="false">E8*F8</f>
        <v>0</v>
      </c>
      <c r="H8" s="25"/>
    </row>
    <row r="9" customFormat="false" ht="31.5" hidden="false" customHeight="true" outlineLevel="0" collapsed="false">
      <c r="A9" s="19" t="n">
        <v>3</v>
      </c>
      <c r="B9" s="90" t="s">
        <v>675</v>
      </c>
      <c r="C9" s="21" t="s">
        <v>679</v>
      </c>
      <c r="D9" s="21" t="s">
        <v>677</v>
      </c>
      <c r="E9" s="41" t="n">
        <v>8</v>
      </c>
      <c r="F9" s="91"/>
      <c r="G9" s="92" t="n">
        <f aca="false">E9*F9</f>
        <v>0</v>
      </c>
      <c r="H9" s="21"/>
    </row>
    <row r="10" customFormat="false" ht="31.5" hidden="false" customHeight="true" outlineLevel="0" collapsed="false">
      <c r="A10" s="23" t="n">
        <v>4</v>
      </c>
      <c r="B10" s="93" t="s">
        <v>675</v>
      </c>
      <c r="C10" s="25" t="s">
        <v>680</v>
      </c>
      <c r="D10" s="25" t="s">
        <v>677</v>
      </c>
      <c r="E10" s="45" t="n">
        <v>8</v>
      </c>
      <c r="F10" s="91"/>
      <c r="G10" s="94" t="n">
        <f aca="false">E10*F10</f>
        <v>0</v>
      </c>
      <c r="H10" s="25"/>
    </row>
    <row r="11" customFormat="false" ht="31.5" hidden="false" customHeight="true" outlineLevel="0" collapsed="false">
      <c r="A11" s="19" t="n">
        <v>5</v>
      </c>
      <c r="B11" s="90" t="s">
        <v>675</v>
      </c>
      <c r="C11" s="21" t="s">
        <v>681</v>
      </c>
      <c r="D11" s="21" t="s">
        <v>677</v>
      </c>
      <c r="E11" s="41" t="n">
        <v>8</v>
      </c>
      <c r="F11" s="91"/>
      <c r="G11" s="92" t="n">
        <f aca="false">E11*F11</f>
        <v>0</v>
      </c>
      <c r="H11" s="21"/>
    </row>
    <row r="12" customFormat="false" ht="31.5" hidden="false" customHeight="true" outlineLevel="0" collapsed="false">
      <c r="A12" s="23" t="n">
        <v>6</v>
      </c>
      <c r="B12" s="93" t="s">
        <v>682</v>
      </c>
      <c r="C12" s="25" t="s">
        <v>683</v>
      </c>
      <c r="D12" s="25" t="s">
        <v>684</v>
      </c>
      <c r="E12" s="45" t="n">
        <v>8</v>
      </c>
      <c r="F12" s="91"/>
      <c r="G12" s="94" t="n">
        <f aca="false">E12*F12</f>
        <v>0</v>
      </c>
      <c r="H12" s="25"/>
    </row>
    <row r="13" customFormat="false" ht="31.5" hidden="false" customHeight="true" outlineLevel="0" collapsed="false">
      <c r="A13" s="19" t="n">
        <v>7</v>
      </c>
      <c r="B13" s="90" t="s">
        <v>682</v>
      </c>
      <c r="C13" s="21" t="s">
        <v>685</v>
      </c>
      <c r="D13" s="21" t="s">
        <v>684</v>
      </c>
      <c r="E13" s="41" t="n">
        <v>8</v>
      </c>
      <c r="F13" s="91"/>
      <c r="G13" s="92" t="n">
        <f aca="false">E13*F13</f>
        <v>0</v>
      </c>
      <c r="H13" s="21"/>
    </row>
    <row r="14" customFormat="false" ht="31.5" hidden="false" customHeight="true" outlineLevel="0" collapsed="false">
      <c r="A14" s="23" t="n">
        <v>8</v>
      </c>
      <c r="B14" s="93" t="s">
        <v>682</v>
      </c>
      <c r="C14" s="25" t="s">
        <v>686</v>
      </c>
      <c r="D14" s="25" t="s">
        <v>684</v>
      </c>
      <c r="E14" s="45" t="n">
        <v>8</v>
      </c>
      <c r="F14" s="91"/>
      <c r="G14" s="94" t="n">
        <f aca="false">E14*F14</f>
        <v>0</v>
      </c>
      <c r="H14" s="25"/>
    </row>
    <row r="15" customFormat="false" ht="31.5" hidden="false" customHeight="true" outlineLevel="0" collapsed="false">
      <c r="A15" s="19" t="n">
        <v>9</v>
      </c>
      <c r="B15" s="90" t="s">
        <v>682</v>
      </c>
      <c r="C15" s="21" t="s">
        <v>687</v>
      </c>
      <c r="D15" s="21" t="s">
        <v>684</v>
      </c>
      <c r="E15" s="41" t="n">
        <v>8</v>
      </c>
      <c r="F15" s="91"/>
      <c r="G15" s="92" t="n">
        <f aca="false">E15*F15</f>
        <v>0</v>
      </c>
      <c r="H15" s="21"/>
    </row>
    <row r="16" customFormat="false" ht="31.5" hidden="false" customHeight="true" outlineLevel="0" collapsed="false">
      <c r="A16" s="23" t="n">
        <v>10</v>
      </c>
      <c r="B16" s="93" t="s">
        <v>688</v>
      </c>
      <c r="C16" s="25" t="s">
        <v>689</v>
      </c>
      <c r="D16" s="25" t="s">
        <v>690</v>
      </c>
      <c r="E16" s="45" t="n">
        <v>8</v>
      </c>
      <c r="F16" s="91"/>
      <c r="G16" s="94" t="n">
        <f aca="false">E16*F16</f>
        <v>0</v>
      </c>
      <c r="H16" s="25"/>
    </row>
    <row r="17" customFormat="false" ht="31.5" hidden="false" customHeight="true" outlineLevel="0" collapsed="false">
      <c r="A17" s="19" t="n">
        <v>11</v>
      </c>
      <c r="B17" s="90" t="s">
        <v>688</v>
      </c>
      <c r="C17" s="21" t="s">
        <v>691</v>
      </c>
      <c r="D17" s="21" t="s">
        <v>690</v>
      </c>
      <c r="E17" s="41" t="n">
        <v>8</v>
      </c>
      <c r="F17" s="91"/>
      <c r="G17" s="92" t="n">
        <f aca="false">E17*F17</f>
        <v>0</v>
      </c>
      <c r="H17" s="21"/>
    </row>
    <row r="18" customFormat="false" ht="31.5" hidden="false" customHeight="true" outlineLevel="0" collapsed="false">
      <c r="A18" s="23" t="n">
        <v>12</v>
      </c>
      <c r="B18" s="93" t="s">
        <v>688</v>
      </c>
      <c r="C18" s="25" t="s">
        <v>692</v>
      </c>
      <c r="D18" s="25" t="s">
        <v>690</v>
      </c>
      <c r="E18" s="45" t="n">
        <v>8</v>
      </c>
      <c r="F18" s="91"/>
      <c r="G18" s="94" t="n">
        <f aca="false">E18*F18</f>
        <v>0</v>
      </c>
      <c r="H18" s="25"/>
    </row>
    <row r="19" customFormat="false" ht="31.5" hidden="false" customHeight="true" outlineLevel="0" collapsed="false">
      <c r="A19" s="19" t="n">
        <v>13</v>
      </c>
      <c r="B19" s="90" t="s">
        <v>688</v>
      </c>
      <c r="C19" s="21" t="s">
        <v>693</v>
      </c>
      <c r="D19" s="21" t="s">
        <v>690</v>
      </c>
      <c r="E19" s="41" t="n">
        <v>8</v>
      </c>
      <c r="F19" s="91"/>
      <c r="G19" s="92" t="n">
        <f aca="false">E19*F19</f>
        <v>0</v>
      </c>
      <c r="H19" s="21"/>
    </row>
    <row r="20" customFormat="false" ht="31.5" hidden="false" customHeight="true" outlineLevel="0" collapsed="false">
      <c r="A20" s="23" t="n">
        <v>14</v>
      </c>
      <c r="B20" s="93" t="s">
        <v>694</v>
      </c>
      <c r="C20" s="25" t="s">
        <v>695</v>
      </c>
      <c r="D20" s="25" t="s">
        <v>696</v>
      </c>
      <c r="E20" s="45" t="n">
        <v>8</v>
      </c>
      <c r="F20" s="91"/>
      <c r="G20" s="94" t="n">
        <f aca="false">E20*F20</f>
        <v>0</v>
      </c>
      <c r="H20" s="25"/>
    </row>
    <row r="21" customFormat="false" ht="31.5" hidden="false" customHeight="true" outlineLevel="0" collapsed="false">
      <c r="A21" s="19" t="n">
        <v>15</v>
      </c>
      <c r="B21" s="90" t="s">
        <v>694</v>
      </c>
      <c r="C21" s="21" t="s">
        <v>697</v>
      </c>
      <c r="D21" s="21" t="s">
        <v>696</v>
      </c>
      <c r="E21" s="41" t="n">
        <v>8</v>
      </c>
      <c r="F21" s="91"/>
      <c r="G21" s="92" t="n">
        <f aca="false">E21*F21</f>
        <v>0</v>
      </c>
      <c r="H21" s="21"/>
    </row>
    <row r="22" customFormat="false" ht="31.5" hidden="false" customHeight="true" outlineLevel="0" collapsed="false">
      <c r="A22" s="23" t="n">
        <v>16</v>
      </c>
      <c r="B22" s="93" t="s">
        <v>694</v>
      </c>
      <c r="C22" s="25" t="s">
        <v>698</v>
      </c>
      <c r="D22" s="25" t="s">
        <v>696</v>
      </c>
      <c r="E22" s="45" t="n">
        <v>8</v>
      </c>
      <c r="F22" s="91"/>
      <c r="G22" s="94" t="n">
        <f aca="false">E22*F22</f>
        <v>0</v>
      </c>
      <c r="H22" s="25"/>
    </row>
    <row r="23" customFormat="false" ht="31.5" hidden="false" customHeight="true" outlineLevel="0" collapsed="false">
      <c r="A23" s="19" t="n">
        <v>17</v>
      </c>
      <c r="B23" s="90" t="s">
        <v>694</v>
      </c>
      <c r="C23" s="21" t="s">
        <v>699</v>
      </c>
      <c r="D23" s="21" t="s">
        <v>696</v>
      </c>
      <c r="E23" s="41" t="n">
        <v>8</v>
      </c>
      <c r="F23" s="91"/>
      <c r="G23" s="92" t="n">
        <f aca="false">E23*F23</f>
        <v>0</v>
      </c>
      <c r="H23" s="21"/>
    </row>
    <row r="24" customFormat="false" ht="31.5" hidden="false" customHeight="true" outlineLevel="0" collapsed="false">
      <c r="A24" s="23" t="n">
        <v>18</v>
      </c>
      <c r="B24" s="93" t="s">
        <v>700</v>
      </c>
      <c r="C24" s="25" t="s">
        <v>701</v>
      </c>
      <c r="D24" s="25" t="s">
        <v>702</v>
      </c>
      <c r="E24" s="45" t="n">
        <v>8</v>
      </c>
      <c r="F24" s="91"/>
      <c r="G24" s="94" t="n">
        <f aca="false">E24*F24</f>
        <v>0</v>
      </c>
      <c r="H24" s="25"/>
    </row>
    <row r="25" customFormat="false" ht="31.5" hidden="false" customHeight="true" outlineLevel="0" collapsed="false">
      <c r="A25" s="19" t="n">
        <v>19</v>
      </c>
      <c r="B25" s="90" t="s">
        <v>700</v>
      </c>
      <c r="C25" s="21" t="s">
        <v>703</v>
      </c>
      <c r="D25" s="21" t="s">
        <v>702</v>
      </c>
      <c r="E25" s="41" t="n">
        <v>8</v>
      </c>
      <c r="F25" s="91"/>
      <c r="G25" s="92" t="n">
        <f aca="false">E25*F25</f>
        <v>0</v>
      </c>
      <c r="H25" s="21"/>
    </row>
    <row r="26" customFormat="false" ht="31.5" hidden="false" customHeight="true" outlineLevel="0" collapsed="false">
      <c r="A26" s="23" t="n">
        <v>20</v>
      </c>
      <c r="B26" s="93" t="s">
        <v>700</v>
      </c>
      <c r="C26" s="25" t="s">
        <v>704</v>
      </c>
      <c r="D26" s="25" t="s">
        <v>702</v>
      </c>
      <c r="E26" s="45" t="n">
        <v>8</v>
      </c>
      <c r="F26" s="91"/>
      <c r="G26" s="94" t="n">
        <f aca="false">E26*F26</f>
        <v>0</v>
      </c>
      <c r="H26" s="25"/>
    </row>
    <row r="27" customFormat="false" ht="31.5" hidden="false" customHeight="true" outlineLevel="0" collapsed="false">
      <c r="A27" s="19" t="n">
        <v>21</v>
      </c>
      <c r="B27" s="90" t="s">
        <v>700</v>
      </c>
      <c r="C27" s="21" t="s">
        <v>705</v>
      </c>
      <c r="D27" s="21" t="s">
        <v>702</v>
      </c>
      <c r="E27" s="41" t="n">
        <v>8</v>
      </c>
      <c r="F27" s="91"/>
      <c r="G27" s="92" t="n">
        <f aca="false">E27*F27</f>
        <v>0</v>
      </c>
      <c r="H27" s="21"/>
    </row>
    <row r="28" customFormat="false" ht="31.5" hidden="false" customHeight="true" outlineLevel="0" collapsed="false">
      <c r="A28" s="23" t="n">
        <v>22</v>
      </c>
      <c r="B28" s="93" t="s">
        <v>706</v>
      </c>
      <c r="C28" s="25" t="s">
        <v>707</v>
      </c>
      <c r="D28" s="25" t="s">
        <v>708</v>
      </c>
      <c r="E28" s="45" t="n">
        <v>8</v>
      </c>
      <c r="F28" s="91"/>
      <c r="G28" s="94" t="n">
        <f aca="false">E28*F28</f>
        <v>0</v>
      </c>
      <c r="H28" s="25"/>
    </row>
    <row r="29" customFormat="false" ht="31.5" hidden="false" customHeight="true" outlineLevel="0" collapsed="false">
      <c r="A29" s="19" t="n">
        <v>23</v>
      </c>
      <c r="B29" s="90" t="s">
        <v>706</v>
      </c>
      <c r="C29" s="21" t="s">
        <v>709</v>
      </c>
      <c r="D29" s="21" t="s">
        <v>708</v>
      </c>
      <c r="E29" s="41" t="n">
        <v>8</v>
      </c>
      <c r="F29" s="91"/>
      <c r="G29" s="92" t="n">
        <f aca="false">E29*F29</f>
        <v>0</v>
      </c>
      <c r="H29" s="21"/>
    </row>
    <row r="30" customFormat="false" ht="31.5" hidden="false" customHeight="true" outlineLevel="0" collapsed="false">
      <c r="A30" s="23" t="n">
        <v>24</v>
      </c>
      <c r="B30" s="93" t="s">
        <v>706</v>
      </c>
      <c r="C30" s="25" t="s">
        <v>710</v>
      </c>
      <c r="D30" s="25" t="s">
        <v>708</v>
      </c>
      <c r="E30" s="45" t="n">
        <v>8</v>
      </c>
      <c r="F30" s="91"/>
      <c r="G30" s="94" t="n">
        <f aca="false">E30*F30</f>
        <v>0</v>
      </c>
      <c r="H30" s="25"/>
    </row>
    <row r="31" customFormat="false" ht="31.5" hidden="false" customHeight="true" outlineLevel="0" collapsed="false">
      <c r="A31" s="19" t="n">
        <v>25</v>
      </c>
      <c r="B31" s="90" t="s">
        <v>711</v>
      </c>
      <c r="C31" s="21" t="s">
        <v>712</v>
      </c>
      <c r="D31" s="21" t="s">
        <v>713</v>
      </c>
      <c r="E31" s="41" t="n">
        <v>8</v>
      </c>
      <c r="F31" s="91"/>
      <c r="G31" s="92" t="n">
        <f aca="false">E31*F31</f>
        <v>0</v>
      </c>
      <c r="H31" s="21"/>
    </row>
    <row r="32" customFormat="false" ht="31.5" hidden="false" customHeight="true" outlineLevel="0" collapsed="false">
      <c r="A32" s="23" t="n">
        <v>26</v>
      </c>
      <c r="B32" s="93" t="s">
        <v>711</v>
      </c>
      <c r="C32" s="25" t="s">
        <v>714</v>
      </c>
      <c r="D32" s="25" t="s">
        <v>713</v>
      </c>
      <c r="E32" s="45" t="n">
        <v>8</v>
      </c>
      <c r="F32" s="91"/>
      <c r="G32" s="94" t="n">
        <f aca="false">E32*F32</f>
        <v>0</v>
      </c>
      <c r="H32" s="25"/>
    </row>
    <row r="33" customFormat="false" ht="31.5" hidden="false" customHeight="true" outlineLevel="0" collapsed="false">
      <c r="A33" s="19" t="n">
        <v>27</v>
      </c>
      <c r="B33" s="90" t="s">
        <v>711</v>
      </c>
      <c r="C33" s="21" t="s">
        <v>715</v>
      </c>
      <c r="D33" s="21" t="s">
        <v>713</v>
      </c>
      <c r="E33" s="41" t="n">
        <v>8</v>
      </c>
      <c r="F33" s="91"/>
      <c r="G33" s="92" t="n">
        <f aca="false">E33*F33</f>
        <v>0</v>
      </c>
      <c r="H33" s="21"/>
    </row>
    <row r="34" customFormat="false" ht="31.5" hidden="false" customHeight="true" outlineLevel="0" collapsed="false">
      <c r="A34" s="23" t="n">
        <v>28</v>
      </c>
      <c r="B34" s="93" t="s">
        <v>716</v>
      </c>
      <c r="C34" s="25" t="s">
        <v>717</v>
      </c>
      <c r="D34" s="25" t="s">
        <v>718</v>
      </c>
      <c r="E34" s="45" t="n">
        <v>8</v>
      </c>
      <c r="F34" s="91"/>
      <c r="G34" s="94" t="n">
        <f aca="false">E34*F34</f>
        <v>0</v>
      </c>
      <c r="H34" s="25"/>
    </row>
    <row r="35" customFormat="false" ht="31.5" hidden="false" customHeight="true" outlineLevel="0" collapsed="false">
      <c r="A35" s="19" t="n">
        <v>29</v>
      </c>
      <c r="B35" s="90" t="s">
        <v>719</v>
      </c>
      <c r="C35" s="21" t="s">
        <v>720</v>
      </c>
      <c r="D35" s="21" t="s">
        <v>721</v>
      </c>
      <c r="E35" s="41" t="n">
        <v>8</v>
      </c>
      <c r="F35" s="91"/>
      <c r="G35" s="92" t="n">
        <f aca="false">E35*F35</f>
        <v>0</v>
      </c>
      <c r="H35" s="21"/>
    </row>
    <row r="36" customFormat="false" ht="31.5" hidden="false" customHeight="true" outlineLevel="0" collapsed="false">
      <c r="A36" s="23" t="n">
        <v>30</v>
      </c>
      <c r="B36" s="93" t="s">
        <v>719</v>
      </c>
      <c r="C36" s="25" t="s">
        <v>722</v>
      </c>
      <c r="D36" s="25" t="s">
        <v>721</v>
      </c>
      <c r="E36" s="45" t="n">
        <v>8</v>
      </c>
      <c r="F36" s="91"/>
      <c r="G36" s="94" t="n">
        <f aca="false">E36*F36</f>
        <v>0</v>
      </c>
      <c r="H36" s="25"/>
    </row>
    <row r="37" customFormat="false" ht="25.5" hidden="false" customHeight="true" outlineLevel="0" collapsed="false">
      <c r="A37" s="35" t="s">
        <v>723</v>
      </c>
      <c r="B37" s="36"/>
      <c r="C37" s="36"/>
      <c r="D37" s="36"/>
      <c r="E37" s="36"/>
      <c r="F37" s="36"/>
      <c r="G37" s="95" t="n">
        <f aca="false">SUM(G7:G36)</f>
        <v>0</v>
      </c>
      <c r="H37" s="39" t="s">
        <v>724</v>
      </c>
    </row>
    <row r="39" customFormat="false" ht="37.5" hidden="false" customHeight="true" outlineLevel="0" collapsed="false">
      <c r="A39" s="27" t="s">
        <v>725</v>
      </c>
      <c r="B39" s="27"/>
      <c r="C39" s="27"/>
      <c r="D39" s="27"/>
      <c r="E39" s="27"/>
      <c r="F39" s="27"/>
      <c r="G39" s="27"/>
      <c r="H39" s="27"/>
    </row>
  </sheetData>
  <autoFilter ref="A6:H36"/>
  <mergeCells count="4">
    <mergeCell ref="A1:H1"/>
    <mergeCell ref="A2:H2"/>
    <mergeCell ref="A3:H3"/>
    <mergeCell ref="A39:H39"/>
  </mergeCells>
  <conditionalFormatting sqref="G7:G36">
    <cfRule type="colorScale" priority="2">
      <colorScale>
        <cfvo type="min" val="0"/>
        <cfvo type="percentile" val="50"/>
        <cfvo type="max" val="0"/>
        <color rgb="FFFEE2E2"/>
        <color rgb="FFFEF3C7"/>
        <color rgb="FFCCFBF1"/>
      </colorScale>
    </cfRule>
  </conditionalFormatting>
  <dataValidations count="1">
    <dataValidation allowBlank="true" error="请输入 1–5 的整数" errorStyle="stop" errorTitle="评分范围" operator="between" showDropDown="false" showErrorMessage="false" showInputMessage="false" sqref="F7:F36" type="whole">
      <formula1>1</formula1>
      <formula2>5</formula2>
    </dataValidation>
  </dataValidation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58"/>
    <col collapsed="false" customWidth="true" hidden="false" outlineLevel="0" max="7" min="4" style="0" width="13"/>
  </cols>
  <sheetData>
    <row r="1" customFormat="false" ht="36" hidden="false" customHeight="true" outlineLevel="0" collapsed="false">
      <c r="A1" s="15" t="s">
        <v>726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727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728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18" t="s">
        <v>729</v>
      </c>
      <c r="B6" s="18" t="s">
        <v>672</v>
      </c>
      <c r="C6" s="18" t="s">
        <v>730</v>
      </c>
      <c r="D6" s="18" t="s">
        <v>731</v>
      </c>
      <c r="E6" s="18" t="s">
        <v>732</v>
      </c>
      <c r="F6" s="18" t="s">
        <v>733</v>
      </c>
      <c r="G6" s="18" t="s">
        <v>734</v>
      </c>
    </row>
    <row r="7" customFormat="false" ht="30" hidden="false" customHeight="true" outlineLevel="0" collapsed="false">
      <c r="A7" s="64" t="s">
        <v>675</v>
      </c>
      <c r="B7" s="41" t="n">
        <v>20</v>
      </c>
      <c r="C7" s="21" t="s">
        <v>735</v>
      </c>
      <c r="D7" s="91"/>
      <c r="E7" s="91"/>
      <c r="F7" s="91"/>
      <c r="G7" s="91"/>
    </row>
    <row r="8" customFormat="false" ht="30" hidden="false" customHeight="true" outlineLevel="0" collapsed="false">
      <c r="A8" s="66" t="s">
        <v>736</v>
      </c>
      <c r="B8" s="45" t="n">
        <v>20</v>
      </c>
      <c r="C8" s="25" t="s">
        <v>737</v>
      </c>
      <c r="D8" s="91"/>
      <c r="E8" s="91"/>
      <c r="F8" s="91"/>
      <c r="G8" s="91"/>
    </row>
    <row r="9" customFormat="false" ht="30" hidden="false" customHeight="true" outlineLevel="0" collapsed="false">
      <c r="A9" s="64" t="s">
        <v>738</v>
      </c>
      <c r="B9" s="41" t="n">
        <v>15</v>
      </c>
      <c r="C9" s="21" t="s">
        <v>739</v>
      </c>
      <c r="D9" s="91"/>
      <c r="E9" s="91"/>
      <c r="F9" s="91"/>
      <c r="G9" s="91"/>
    </row>
    <row r="10" customFormat="false" ht="30" hidden="false" customHeight="true" outlineLevel="0" collapsed="false">
      <c r="A10" s="66" t="s">
        <v>740</v>
      </c>
      <c r="B10" s="45" t="n">
        <v>15</v>
      </c>
      <c r="C10" s="25" t="s">
        <v>741</v>
      </c>
      <c r="D10" s="91"/>
      <c r="E10" s="91"/>
      <c r="F10" s="91"/>
      <c r="G10" s="91"/>
    </row>
    <row r="11" customFormat="false" ht="30" hidden="false" customHeight="true" outlineLevel="0" collapsed="false">
      <c r="A11" s="64" t="s">
        <v>742</v>
      </c>
      <c r="B11" s="41" t="n">
        <v>10</v>
      </c>
      <c r="C11" s="21" t="s">
        <v>743</v>
      </c>
      <c r="D11" s="91"/>
      <c r="E11" s="91"/>
      <c r="F11" s="91"/>
      <c r="G11" s="91"/>
    </row>
    <row r="12" customFormat="false" ht="30" hidden="false" customHeight="true" outlineLevel="0" collapsed="false">
      <c r="A12" s="66" t="s">
        <v>744</v>
      </c>
      <c r="B12" s="45" t="n">
        <v>10</v>
      </c>
      <c r="C12" s="25" t="s">
        <v>745</v>
      </c>
      <c r="D12" s="91"/>
      <c r="E12" s="91"/>
      <c r="F12" s="91"/>
      <c r="G12" s="91"/>
    </row>
    <row r="13" customFormat="false" ht="30" hidden="false" customHeight="true" outlineLevel="0" collapsed="false">
      <c r="A13" s="64" t="s">
        <v>746</v>
      </c>
      <c r="B13" s="41" t="n">
        <v>10</v>
      </c>
      <c r="C13" s="21" t="s">
        <v>747</v>
      </c>
      <c r="D13" s="91"/>
      <c r="E13" s="91"/>
      <c r="F13" s="91"/>
      <c r="G13" s="91"/>
    </row>
    <row r="14" customFormat="false" ht="27.75" hidden="false" customHeight="true" outlineLevel="0" collapsed="false">
      <c r="A14" s="35" t="s">
        <v>748</v>
      </c>
      <c r="B14" s="96" t="n">
        <f aca="false">SUM(B7:B13)</f>
        <v>100</v>
      </c>
      <c r="C14" s="36"/>
      <c r="D14" s="97" t="n">
        <f aca="false">SUMPRODUCT($B$7:$B$13,D7:D13)/SUM($B$7:$B$13)</f>
        <v>0</v>
      </c>
      <c r="E14" s="97" t="n">
        <f aca="false">SUMPRODUCT($B$7:$B$13,E7:E13)/SUM($B$7:$B$13)</f>
        <v>0</v>
      </c>
      <c r="F14" s="97" t="n">
        <f aca="false">SUMPRODUCT($B$7:$B$13,F7:F13)/SUM($B$7:$B$13)</f>
        <v>0</v>
      </c>
      <c r="G14" s="97" t="n">
        <f aca="false">SUMPRODUCT($B$7:$B$13,G7:G13)/SUM($B$7:$B$13)</f>
        <v>0</v>
      </c>
    </row>
    <row r="16" customFormat="false" ht="33.75" hidden="false" customHeight="true" outlineLevel="0" collapsed="false">
      <c r="A16" s="27" t="s">
        <v>749</v>
      </c>
      <c r="B16" s="27"/>
      <c r="C16" s="27"/>
      <c r="D16" s="27"/>
      <c r="E16" s="27"/>
      <c r="F16" s="27"/>
      <c r="G16" s="27"/>
    </row>
  </sheetData>
  <mergeCells count="4">
    <mergeCell ref="A1:G1"/>
    <mergeCell ref="A2:G2"/>
    <mergeCell ref="A3:G3"/>
    <mergeCell ref="A16:G16"/>
  </mergeCells>
  <dataValidations count="1">
    <dataValidation allowBlank="true" error="请输入 1–5 的整数" errorStyle="stop" errorTitle="评分范围" operator="between" showDropDown="false" showErrorMessage="false" showInputMessage="false" sqref="D7:G13" type="whole">
      <formula1>1</formula1>
      <formula2>5</formula2>
    </dataValidation>
  </dataValidation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5" t="s">
        <v>45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750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751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18" t="s">
        <v>752</v>
      </c>
      <c r="B6" s="18" t="s">
        <v>571</v>
      </c>
      <c r="C6" s="18" t="s">
        <v>753</v>
      </c>
      <c r="D6" s="18" t="s">
        <v>754</v>
      </c>
      <c r="E6" s="18" t="s">
        <v>755</v>
      </c>
      <c r="F6" s="18" t="s">
        <v>756</v>
      </c>
      <c r="G6" s="18" t="s">
        <v>757</v>
      </c>
    </row>
    <row r="7" customFormat="false" ht="39.75" hidden="false" customHeight="true" outlineLevel="0" collapsed="false">
      <c r="A7" s="64" t="s">
        <v>758</v>
      </c>
      <c r="B7" s="21" t="s">
        <v>759</v>
      </c>
      <c r="C7" s="21" t="s">
        <v>760</v>
      </c>
      <c r="D7" s="21" t="s">
        <v>761</v>
      </c>
      <c r="E7" s="77" t="s">
        <v>89</v>
      </c>
      <c r="F7" s="19" t="s">
        <v>762</v>
      </c>
      <c r="G7" s="19" t="s">
        <v>45</v>
      </c>
    </row>
    <row r="8" customFormat="false" ht="39.75" hidden="false" customHeight="true" outlineLevel="0" collapsed="false">
      <c r="A8" s="66" t="s">
        <v>763</v>
      </c>
      <c r="B8" s="25" t="s">
        <v>764</v>
      </c>
      <c r="C8" s="25" t="s">
        <v>765</v>
      </c>
      <c r="D8" s="25" t="s">
        <v>766</v>
      </c>
      <c r="E8" s="77" t="s">
        <v>89</v>
      </c>
      <c r="F8" s="23" t="s">
        <v>762</v>
      </c>
      <c r="G8" s="23" t="s">
        <v>45</v>
      </c>
    </row>
    <row r="9" customFormat="false" ht="39.75" hidden="false" customHeight="true" outlineLevel="0" collapsed="false">
      <c r="A9" s="64" t="s">
        <v>767</v>
      </c>
      <c r="B9" s="21" t="s">
        <v>768</v>
      </c>
      <c r="C9" s="21" t="s">
        <v>769</v>
      </c>
      <c r="D9" s="21" t="s">
        <v>770</v>
      </c>
      <c r="E9" s="77" t="s">
        <v>89</v>
      </c>
      <c r="F9" s="19" t="s">
        <v>762</v>
      </c>
      <c r="G9" s="19" t="s">
        <v>45</v>
      </c>
    </row>
    <row r="10" customFormat="false" ht="39.75" hidden="false" customHeight="true" outlineLevel="0" collapsed="false">
      <c r="A10" s="66" t="s">
        <v>771</v>
      </c>
      <c r="B10" s="25" t="s">
        <v>772</v>
      </c>
      <c r="C10" s="25" t="s">
        <v>773</v>
      </c>
      <c r="D10" s="25" t="s">
        <v>774</v>
      </c>
      <c r="E10" s="26" t="s">
        <v>102</v>
      </c>
      <c r="F10" s="23" t="s">
        <v>762</v>
      </c>
      <c r="G10" s="23" t="s">
        <v>45</v>
      </c>
    </row>
    <row r="11" customFormat="false" ht="39.75" hidden="false" customHeight="true" outlineLevel="0" collapsed="false">
      <c r="A11" s="64" t="s">
        <v>775</v>
      </c>
      <c r="B11" s="21" t="s">
        <v>776</v>
      </c>
      <c r="C11" s="21" t="s">
        <v>773</v>
      </c>
      <c r="D11" s="21" t="s">
        <v>777</v>
      </c>
      <c r="E11" s="26" t="s">
        <v>102</v>
      </c>
      <c r="F11" s="19" t="s">
        <v>762</v>
      </c>
      <c r="G11" s="19" t="s">
        <v>45</v>
      </c>
    </row>
    <row r="12" customFormat="false" ht="39.75" hidden="false" customHeight="true" outlineLevel="0" collapsed="false">
      <c r="A12" s="66" t="s">
        <v>778</v>
      </c>
      <c r="B12" s="25" t="s">
        <v>779</v>
      </c>
      <c r="C12" s="25" t="s">
        <v>780</v>
      </c>
      <c r="D12" s="25" t="s">
        <v>781</v>
      </c>
      <c r="E12" s="47" t="s">
        <v>121</v>
      </c>
      <c r="F12" s="23" t="s">
        <v>762</v>
      </c>
      <c r="G12" s="23" t="s">
        <v>45</v>
      </c>
    </row>
    <row r="13" customFormat="false" ht="39.75" hidden="false" customHeight="true" outlineLevel="0" collapsed="false">
      <c r="A13" s="64" t="s">
        <v>782</v>
      </c>
      <c r="B13" s="21" t="s">
        <v>783</v>
      </c>
      <c r="C13" s="21" t="s">
        <v>784</v>
      </c>
      <c r="D13" s="21" t="s">
        <v>785</v>
      </c>
      <c r="E13" s="47" t="s">
        <v>121</v>
      </c>
      <c r="F13" s="19" t="s">
        <v>762</v>
      </c>
      <c r="G13" s="19" t="s">
        <v>45</v>
      </c>
    </row>
    <row r="14" customFormat="false" ht="39.75" hidden="false" customHeight="true" outlineLevel="0" collapsed="false">
      <c r="A14" s="66" t="s">
        <v>786</v>
      </c>
      <c r="B14" s="25" t="s">
        <v>787</v>
      </c>
      <c r="C14" s="25" t="s">
        <v>788</v>
      </c>
      <c r="D14" s="25" t="s">
        <v>789</v>
      </c>
      <c r="E14" s="47" t="s">
        <v>121</v>
      </c>
      <c r="F14" s="23" t="s">
        <v>762</v>
      </c>
      <c r="G14" s="23" t="s">
        <v>45</v>
      </c>
    </row>
    <row r="16" customFormat="false" ht="42" hidden="false" customHeight="true" outlineLevel="0" collapsed="false">
      <c r="A16" s="27" t="s">
        <v>790</v>
      </c>
      <c r="B16" s="27"/>
      <c r="C16" s="27"/>
      <c r="D16" s="27"/>
      <c r="E16" s="27"/>
      <c r="F16" s="27"/>
      <c r="G16" s="27"/>
    </row>
  </sheetData>
  <autoFilter ref="A6:G14"/>
  <mergeCells count="4">
    <mergeCell ref="A1:G1"/>
    <mergeCell ref="A2:G2"/>
    <mergeCell ref="A3:G3"/>
    <mergeCell ref="A16:G16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56"/>
    <col collapsed="false" customWidth="true" hidden="false" outlineLevel="0" max="6" min="6" style="0" width="46"/>
    <col collapsed="false" customWidth="true" hidden="false" outlineLevel="0" max="7" min="7" style="0" width="8"/>
  </cols>
  <sheetData>
    <row r="1" customFormat="false" ht="36" hidden="false" customHeight="true" outlineLevel="0" collapsed="false">
      <c r="A1" s="15" t="s">
        <v>48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791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792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24" hidden="false" customHeight="true" outlineLevel="0" collapsed="false">
      <c r="A6" s="6" t="s">
        <v>793</v>
      </c>
      <c r="B6" s="6"/>
      <c r="C6" s="6"/>
      <c r="D6" s="6"/>
      <c r="E6" s="6"/>
      <c r="F6" s="6"/>
      <c r="G6" s="6"/>
    </row>
    <row r="8" customFormat="false" ht="30" hidden="false" customHeight="true" outlineLevel="0" collapsed="false">
      <c r="A8" s="18" t="s">
        <v>414</v>
      </c>
      <c r="B8" s="18" t="s">
        <v>794</v>
      </c>
      <c r="C8" s="18" t="s">
        <v>795</v>
      </c>
      <c r="D8" s="18" t="s">
        <v>796</v>
      </c>
    </row>
    <row r="9" customFormat="false" ht="30" hidden="false" customHeight="true" outlineLevel="0" collapsed="false">
      <c r="A9" s="40" t="s">
        <v>797</v>
      </c>
      <c r="B9" s="21" t="s">
        <v>798</v>
      </c>
      <c r="C9" s="21" t="s">
        <v>799</v>
      </c>
      <c r="D9" s="21" t="s">
        <v>800</v>
      </c>
    </row>
    <row r="10" customFormat="false" ht="30" hidden="false" customHeight="true" outlineLevel="0" collapsed="false">
      <c r="A10" s="44" t="s">
        <v>801</v>
      </c>
      <c r="B10" s="25" t="s">
        <v>802</v>
      </c>
      <c r="C10" s="25" t="s">
        <v>803</v>
      </c>
      <c r="D10" s="25" t="s">
        <v>804</v>
      </c>
    </row>
    <row r="11" customFormat="false" ht="30" hidden="false" customHeight="true" outlineLevel="0" collapsed="false">
      <c r="A11" s="40" t="s">
        <v>805</v>
      </c>
      <c r="B11" s="21" t="s">
        <v>54</v>
      </c>
      <c r="C11" s="21" t="s">
        <v>806</v>
      </c>
      <c r="D11" s="21" t="s">
        <v>807</v>
      </c>
    </row>
    <row r="12" customFormat="false" ht="30" hidden="false" customHeight="true" outlineLevel="0" collapsed="false">
      <c r="A12" s="44" t="s">
        <v>62</v>
      </c>
      <c r="B12" s="25" t="s">
        <v>65</v>
      </c>
      <c r="C12" s="25" t="s">
        <v>808</v>
      </c>
      <c r="D12" s="25" t="s">
        <v>809</v>
      </c>
    </row>
    <row r="13" customFormat="false" ht="30" hidden="false" customHeight="true" outlineLevel="0" collapsed="false">
      <c r="A13" s="40" t="s">
        <v>810</v>
      </c>
      <c r="B13" s="21" t="s">
        <v>45</v>
      </c>
      <c r="C13" s="21" t="s">
        <v>811</v>
      </c>
      <c r="D13" s="21" t="s">
        <v>812</v>
      </c>
    </row>
    <row r="14" customFormat="false" ht="19.5" hidden="false" customHeight="true" outlineLevel="0" collapsed="false">
      <c r="A14" s="7" t="s">
        <v>813</v>
      </c>
      <c r="B14" s="7"/>
      <c r="C14" s="7"/>
      <c r="D14" s="7"/>
    </row>
    <row r="15" customFormat="false" ht="19.5" hidden="false" customHeight="true" outlineLevel="0" collapsed="false">
      <c r="A15" s="7" t="s">
        <v>814</v>
      </c>
      <c r="B15" s="7"/>
      <c r="C15" s="7"/>
      <c r="D15" s="7"/>
    </row>
    <row r="16" customFormat="false" ht="19.5" hidden="false" customHeight="true" outlineLevel="0" collapsed="false">
      <c r="A16" s="7" t="s">
        <v>815</v>
      </c>
      <c r="B16" s="7"/>
      <c r="C16" s="7"/>
      <c r="D16" s="7"/>
    </row>
    <row r="18" customFormat="false" ht="24" hidden="false" customHeight="true" outlineLevel="0" collapsed="false">
      <c r="A18" s="6" t="s">
        <v>816</v>
      </c>
      <c r="B18" s="6"/>
      <c r="C18" s="6"/>
      <c r="D18" s="6"/>
      <c r="E18" s="6"/>
      <c r="F18" s="6"/>
      <c r="G18" s="6"/>
    </row>
    <row r="20" customFormat="false" ht="30" hidden="false" customHeight="true" outlineLevel="0" collapsed="false">
      <c r="A20" s="18" t="s">
        <v>817</v>
      </c>
      <c r="B20" s="18" t="s">
        <v>818</v>
      </c>
      <c r="C20" s="18" t="s">
        <v>819</v>
      </c>
      <c r="D20" s="18" t="s">
        <v>820</v>
      </c>
      <c r="E20" s="18" t="s">
        <v>821</v>
      </c>
      <c r="F20" s="18" t="s">
        <v>822</v>
      </c>
      <c r="G20" s="18" t="s">
        <v>82</v>
      </c>
    </row>
    <row r="21" customFormat="false" ht="33.75" hidden="false" customHeight="true" outlineLevel="0" collapsed="false">
      <c r="A21" s="90" t="s">
        <v>823</v>
      </c>
      <c r="B21" s="52" t="s">
        <v>824</v>
      </c>
      <c r="C21" s="21" t="s">
        <v>825</v>
      </c>
      <c r="D21" s="19" t="s">
        <v>826</v>
      </c>
      <c r="E21" s="98" t="s">
        <v>827</v>
      </c>
      <c r="F21" s="21" t="s">
        <v>828</v>
      </c>
      <c r="G21" s="19" t="s">
        <v>89</v>
      </c>
    </row>
    <row r="22" customFormat="false" ht="33.75" hidden="false" customHeight="true" outlineLevel="0" collapsed="false">
      <c r="A22" s="93" t="s">
        <v>829</v>
      </c>
      <c r="B22" s="53" t="s">
        <v>830</v>
      </c>
      <c r="C22" s="25" t="s">
        <v>831</v>
      </c>
      <c r="D22" s="23" t="s">
        <v>832</v>
      </c>
      <c r="E22" s="99" t="s">
        <v>833</v>
      </c>
      <c r="F22" s="25" t="s">
        <v>834</v>
      </c>
      <c r="G22" s="23" t="s">
        <v>89</v>
      </c>
    </row>
    <row r="23" customFormat="false" ht="33.75" hidden="false" customHeight="true" outlineLevel="0" collapsed="false">
      <c r="A23" s="90" t="s">
        <v>835</v>
      </c>
      <c r="B23" s="52" t="s">
        <v>836</v>
      </c>
      <c r="C23" s="21" t="s">
        <v>837</v>
      </c>
      <c r="D23" s="19" t="s">
        <v>838</v>
      </c>
      <c r="E23" s="98" t="s">
        <v>839</v>
      </c>
      <c r="F23" s="21" t="s">
        <v>840</v>
      </c>
      <c r="G23" s="19" t="s">
        <v>89</v>
      </c>
    </row>
    <row r="24" customFormat="false" ht="33.75" hidden="false" customHeight="true" outlineLevel="0" collapsed="false">
      <c r="A24" s="93" t="s">
        <v>841</v>
      </c>
      <c r="B24" s="53" t="s">
        <v>842</v>
      </c>
      <c r="C24" s="25" t="s">
        <v>843</v>
      </c>
      <c r="D24" s="23" t="s">
        <v>844</v>
      </c>
      <c r="E24" s="99" t="s">
        <v>845</v>
      </c>
      <c r="F24" s="25" t="s">
        <v>846</v>
      </c>
      <c r="G24" s="23" t="s">
        <v>89</v>
      </c>
    </row>
    <row r="25" customFormat="false" ht="33.75" hidden="false" customHeight="true" outlineLevel="0" collapsed="false">
      <c r="A25" s="90" t="s">
        <v>847</v>
      </c>
      <c r="B25" s="52" t="s">
        <v>848</v>
      </c>
      <c r="C25" s="21" t="s">
        <v>849</v>
      </c>
      <c r="D25" s="19" t="s">
        <v>832</v>
      </c>
      <c r="E25" s="98" t="s">
        <v>850</v>
      </c>
      <c r="F25" s="21" t="s">
        <v>851</v>
      </c>
      <c r="G25" s="19" t="s">
        <v>89</v>
      </c>
    </row>
    <row r="26" customFormat="false" ht="33.75" hidden="false" customHeight="true" outlineLevel="0" collapsed="false">
      <c r="A26" s="93" t="s">
        <v>852</v>
      </c>
      <c r="B26" s="53" t="s">
        <v>853</v>
      </c>
      <c r="C26" s="25" t="s">
        <v>854</v>
      </c>
      <c r="D26" s="23" t="s">
        <v>855</v>
      </c>
      <c r="E26" s="99" t="s">
        <v>856</v>
      </c>
      <c r="F26" s="25" t="s">
        <v>857</v>
      </c>
      <c r="G26" s="23" t="s">
        <v>89</v>
      </c>
    </row>
    <row r="27" customFormat="false" ht="33.75" hidden="false" customHeight="true" outlineLevel="0" collapsed="false">
      <c r="A27" s="90" t="s">
        <v>858</v>
      </c>
      <c r="B27" s="52" t="s">
        <v>859</v>
      </c>
      <c r="C27" s="21" t="s">
        <v>860</v>
      </c>
      <c r="D27" s="19" t="s">
        <v>832</v>
      </c>
      <c r="E27" s="98" t="s">
        <v>861</v>
      </c>
      <c r="F27" s="21" t="s">
        <v>862</v>
      </c>
      <c r="G27" s="19" t="s">
        <v>89</v>
      </c>
    </row>
    <row r="28" customFormat="false" ht="33.75" hidden="false" customHeight="true" outlineLevel="0" collapsed="false">
      <c r="A28" s="93" t="s">
        <v>863</v>
      </c>
      <c r="B28" s="53" t="s">
        <v>864</v>
      </c>
      <c r="C28" s="25" t="s">
        <v>865</v>
      </c>
      <c r="D28" s="23" t="s">
        <v>838</v>
      </c>
      <c r="E28" s="99" t="s">
        <v>866</v>
      </c>
      <c r="F28" s="25" t="s">
        <v>867</v>
      </c>
      <c r="G28" s="23" t="s">
        <v>89</v>
      </c>
    </row>
    <row r="29" customFormat="false" ht="33.75" hidden="false" customHeight="true" outlineLevel="0" collapsed="false">
      <c r="A29" s="90" t="s">
        <v>868</v>
      </c>
      <c r="B29" s="52" t="s">
        <v>869</v>
      </c>
      <c r="C29" s="21" t="s">
        <v>870</v>
      </c>
      <c r="D29" s="19" t="s">
        <v>826</v>
      </c>
      <c r="E29" s="98" t="s">
        <v>871</v>
      </c>
      <c r="F29" s="21" t="s">
        <v>872</v>
      </c>
      <c r="G29" s="19" t="s">
        <v>89</v>
      </c>
    </row>
    <row r="30" customFormat="false" ht="33.75" hidden="false" customHeight="true" outlineLevel="0" collapsed="false">
      <c r="A30" s="93" t="s">
        <v>873</v>
      </c>
      <c r="B30" s="53" t="s">
        <v>874</v>
      </c>
      <c r="C30" s="25" t="s">
        <v>875</v>
      </c>
      <c r="D30" s="23" t="s">
        <v>876</v>
      </c>
      <c r="E30" s="99" t="s">
        <v>877</v>
      </c>
      <c r="F30" s="25" t="s">
        <v>878</v>
      </c>
      <c r="G30" s="23" t="s">
        <v>89</v>
      </c>
    </row>
    <row r="31" customFormat="false" ht="33.75" hidden="false" customHeight="true" outlineLevel="0" collapsed="false">
      <c r="A31" s="90" t="s">
        <v>879</v>
      </c>
      <c r="B31" s="52" t="s">
        <v>880</v>
      </c>
      <c r="C31" s="21" t="s">
        <v>881</v>
      </c>
      <c r="D31" s="19" t="s">
        <v>882</v>
      </c>
      <c r="E31" s="98" t="s">
        <v>883</v>
      </c>
      <c r="F31" s="21" t="s">
        <v>884</v>
      </c>
      <c r="G31" s="19" t="s">
        <v>89</v>
      </c>
    </row>
    <row r="32" customFormat="false" ht="33.75" hidden="false" customHeight="true" outlineLevel="0" collapsed="false">
      <c r="A32" s="93" t="s">
        <v>885</v>
      </c>
      <c r="B32" s="53" t="s">
        <v>886</v>
      </c>
      <c r="C32" s="25" t="s">
        <v>542</v>
      </c>
      <c r="D32" s="23" t="s">
        <v>887</v>
      </c>
      <c r="E32" s="99" t="s">
        <v>888</v>
      </c>
      <c r="F32" s="25" t="s">
        <v>889</v>
      </c>
      <c r="G32" s="23" t="s">
        <v>102</v>
      </c>
    </row>
    <row r="33" customFormat="false" ht="33.75" hidden="false" customHeight="true" outlineLevel="0" collapsed="false">
      <c r="A33" s="90" t="s">
        <v>890</v>
      </c>
      <c r="B33" s="52" t="s">
        <v>891</v>
      </c>
      <c r="C33" s="21" t="s">
        <v>542</v>
      </c>
      <c r="D33" s="19" t="s">
        <v>892</v>
      </c>
      <c r="E33" s="98" t="s">
        <v>893</v>
      </c>
      <c r="F33" s="21" t="s">
        <v>894</v>
      </c>
      <c r="G33" s="19" t="s">
        <v>102</v>
      </c>
    </row>
    <row r="34" customFormat="false" ht="33.75" hidden="false" customHeight="true" outlineLevel="0" collapsed="false">
      <c r="A34" s="93" t="s">
        <v>895</v>
      </c>
      <c r="B34" s="53" t="s">
        <v>896</v>
      </c>
      <c r="C34" s="25" t="s">
        <v>897</v>
      </c>
      <c r="D34" s="23" t="s">
        <v>892</v>
      </c>
      <c r="E34" s="99" t="s">
        <v>898</v>
      </c>
      <c r="F34" s="25" t="s">
        <v>899</v>
      </c>
      <c r="G34" s="23" t="s">
        <v>102</v>
      </c>
    </row>
    <row r="35" customFormat="false" ht="33.75" hidden="false" customHeight="true" outlineLevel="0" collapsed="false">
      <c r="A35" s="90" t="s">
        <v>900</v>
      </c>
      <c r="B35" s="52" t="s">
        <v>901</v>
      </c>
      <c r="C35" s="21" t="s">
        <v>902</v>
      </c>
      <c r="D35" s="19" t="s">
        <v>903</v>
      </c>
      <c r="E35" s="98" t="s">
        <v>904</v>
      </c>
      <c r="F35" s="21" t="s">
        <v>905</v>
      </c>
      <c r="G35" s="19" t="s">
        <v>102</v>
      </c>
    </row>
    <row r="36" customFormat="false" ht="33.75" hidden="false" customHeight="true" outlineLevel="0" collapsed="false">
      <c r="A36" s="93" t="s">
        <v>906</v>
      </c>
      <c r="B36" s="53" t="s">
        <v>907</v>
      </c>
      <c r="C36" s="25" t="s">
        <v>908</v>
      </c>
      <c r="D36" s="23" t="s">
        <v>909</v>
      </c>
      <c r="E36" s="99" t="s">
        <v>910</v>
      </c>
      <c r="F36" s="25" t="s">
        <v>911</v>
      </c>
      <c r="G36" s="23" t="s">
        <v>89</v>
      </c>
    </row>
    <row r="37" customFormat="false" ht="33.75" hidden="false" customHeight="true" outlineLevel="0" collapsed="false">
      <c r="A37" s="90" t="s">
        <v>912</v>
      </c>
      <c r="B37" s="52" t="s">
        <v>913</v>
      </c>
      <c r="C37" s="21" t="s">
        <v>542</v>
      </c>
      <c r="D37" s="19" t="s">
        <v>914</v>
      </c>
      <c r="E37" s="98" t="s">
        <v>915</v>
      </c>
      <c r="F37" s="21" t="s">
        <v>916</v>
      </c>
      <c r="G37" s="19" t="s">
        <v>89</v>
      </c>
    </row>
    <row r="38" customFormat="false" ht="33.75" hidden="false" customHeight="true" outlineLevel="0" collapsed="false">
      <c r="A38" s="93" t="s">
        <v>917</v>
      </c>
      <c r="B38" s="53" t="s">
        <v>918</v>
      </c>
      <c r="C38" s="25" t="s">
        <v>919</v>
      </c>
      <c r="D38" s="23" t="s">
        <v>920</v>
      </c>
      <c r="E38" s="99" t="s">
        <v>921</v>
      </c>
      <c r="F38" s="25" t="s">
        <v>922</v>
      </c>
      <c r="G38" s="23" t="s">
        <v>102</v>
      </c>
    </row>
    <row r="39" customFormat="false" ht="33.75" hidden="false" customHeight="true" outlineLevel="0" collapsed="false">
      <c r="A39" s="90" t="s">
        <v>923</v>
      </c>
      <c r="B39" s="52" t="s">
        <v>924</v>
      </c>
      <c r="C39" s="21" t="s">
        <v>925</v>
      </c>
      <c r="D39" s="19" t="s">
        <v>926</v>
      </c>
      <c r="E39" s="98" t="s">
        <v>927</v>
      </c>
      <c r="F39" s="21" t="s">
        <v>928</v>
      </c>
      <c r="G39" s="19" t="s">
        <v>102</v>
      </c>
    </row>
    <row r="40" customFormat="false" ht="33.75" hidden="false" customHeight="true" outlineLevel="0" collapsed="false">
      <c r="A40" s="93" t="s">
        <v>929</v>
      </c>
      <c r="B40" s="53" t="s">
        <v>930</v>
      </c>
      <c r="C40" s="25" t="s">
        <v>931</v>
      </c>
      <c r="D40" s="23" t="s">
        <v>932</v>
      </c>
      <c r="E40" s="99" t="s">
        <v>933</v>
      </c>
      <c r="F40" s="25" t="s">
        <v>934</v>
      </c>
      <c r="G40" s="23" t="s">
        <v>102</v>
      </c>
    </row>
    <row r="41" customFormat="false" ht="33.75" hidden="false" customHeight="true" outlineLevel="0" collapsed="false">
      <c r="A41" s="90" t="s">
        <v>935</v>
      </c>
      <c r="B41" s="52" t="s">
        <v>936</v>
      </c>
      <c r="C41" s="21" t="s">
        <v>937</v>
      </c>
      <c r="D41" s="19" t="s">
        <v>938</v>
      </c>
      <c r="E41" s="98" t="s">
        <v>939</v>
      </c>
      <c r="F41" s="21" t="s">
        <v>940</v>
      </c>
      <c r="G41" s="19" t="s">
        <v>102</v>
      </c>
    </row>
    <row r="42" customFormat="false" ht="33.75" hidden="false" customHeight="true" outlineLevel="0" collapsed="false">
      <c r="A42" s="93" t="s">
        <v>941</v>
      </c>
      <c r="B42" s="53" t="s">
        <v>942</v>
      </c>
      <c r="C42" s="25" t="s">
        <v>943</v>
      </c>
      <c r="D42" s="23" t="s">
        <v>944</v>
      </c>
      <c r="E42" s="99" t="s">
        <v>945</v>
      </c>
      <c r="F42" s="25" t="s">
        <v>946</v>
      </c>
      <c r="G42" s="23" t="s">
        <v>121</v>
      </c>
    </row>
    <row r="43" customFormat="false" ht="33.75" hidden="false" customHeight="true" outlineLevel="0" collapsed="false">
      <c r="A43" s="90" t="s">
        <v>947</v>
      </c>
      <c r="B43" s="52" t="s">
        <v>948</v>
      </c>
      <c r="C43" s="21" t="s">
        <v>943</v>
      </c>
      <c r="D43" s="19" t="s">
        <v>949</v>
      </c>
      <c r="E43" s="98" t="s">
        <v>950</v>
      </c>
      <c r="F43" s="21" t="s">
        <v>951</v>
      </c>
      <c r="G43" s="19" t="s">
        <v>121</v>
      </c>
    </row>
    <row r="44" customFormat="false" ht="33.75" hidden="false" customHeight="true" outlineLevel="0" collapsed="false">
      <c r="A44" s="93" t="s">
        <v>952</v>
      </c>
      <c r="B44" s="53" t="s">
        <v>953</v>
      </c>
      <c r="C44" s="25" t="s">
        <v>156</v>
      </c>
      <c r="D44" s="23" t="s">
        <v>954</v>
      </c>
      <c r="E44" s="99" t="s">
        <v>955</v>
      </c>
      <c r="F44" s="25" t="s">
        <v>956</v>
      </c>
      <c r="G44" s="23" t="s">
        <v>89</v>
      </c>
    </row>
    <row r="45" customFormat="false" ht="33.75" hidden="false" customHeight="true" outlineLevel="0" collapsed="false">
      <c r="A45" s="90" t="s">
        <v>957</v>
      </c>
      <c r="B45" s="52" t="s">
        <v>958</v>
      </c>
      <c r="C45" s="21" t="s">
        <v>959</v>
      </c>
      <c r="D45" s="19" t="s">
        <v>960</v>
      </c>
      <c r="E45" s="98" t="s">
        <v>961</v>
      </c>
      <c r="F45" s="21" t="s">
        <v>962</v>
      </c>
      <c r="G45" s="19" t="s">
        <v>102</v>
      </c>
    </row>
    <row r="46" customFormat="false" ht="33.75" hidden="false" customHeight="true" outlineLevel="0" collapsed="false">
      <c r="A46" s="93" t="s">
        <v>963</v>
      </c>
      <c r="B46" s="53" t="s">
        <v>964</v>
      </c>
      <c r="C46" s="25" t="s">
        <v>965</v>
      </c>
      <c r="D46" s="23" t="s">
        <v>966</v>
      </c>
      <c r="E46" s="99" t="s">
        <v>967</v>
      </c>
      <c r="F46" s="25" t="s">
        <v>968</v>
      </c>
      <c r="G46" s="23" t="s">
        <v>89</v>
      </c>
    </row>
    <row r="47" customFormat="false" ht="33.75" hidden="false" customHeight="true" outlineLevel="0" collapsed="false">
      <c r="A47" s="90" t="s">
        <v>969</v>
      </c>
      <c r="B47" s="52" t="s">
        <v>970</v>
      </c>
      <c r="C47" s="21" t="s">
        <v>971</v>
      </c>
      <c r="D47" s="19" t="s">
        <v>972</v>
      </c>
      <c r="E47" s="98" t="s">
        <v>973</v>
      </c>
      <c r="F47" s="21" t="s">
        <v>974</v>
      </c>
      <c r="G47" s="19" t="s">
        <v>89</v>
      </c>
    </row>
    <row r="48" customFormat="false" ht="33.75" hidden="false" customHeight="true" outlineLevel="0" collapsed="false">
      <c r="A48" s="93" t="s">
        <v>975</v>
      </c>
      <c r="B48" s="53" t="s">
        <v>976</v>
      </c>
      <c r="C48" s="25" t="s">
        <v>977</v>
      </c>
      <c r="D48" s="23" t="s">
        <v>978</v>
      </c>
      <c r="E48" s="99" t="s">
        <v>979</v>
      </c>
      <c r="F48" s="25" t="s">
        <v>980</v>
      </c>
      <c r="G48" s="23" t="s">
        <v>102</v>
      </c>
    </row>
    <row r="49" customFormat="false" ht="33.75" hidden="false" customHeight="true" outlineLevel="0" collapsed="false">
      <c r="A49" s="90" t="s">
        <v>981</v>
      </c>
      <c r="B49" s="52" t="s">
        <v>982</v>
      </c>
      <c r="C49" s="21" t="s">
        <v>983</v>
      </c>
      <c r="D49" s="19" t="s">
        <v>984</v>
      </c>
      <c r="E49" s="98" t="s">
        <v>985</v>
      </c>
      <c r="F49" s="21" t="s">
        <v>986</v>
      </c>
      <c r="G49" s="19" t="s">
        <v>102</v>
      </c>
    </row>
    <row r="50" customFormat="false" ht="33.75" hidden="false" customHeight="true" outlineLevel="0" collapsed="false">
      <c r="A50" s="93" t="s">
        <v>987</v>
      </c>
      <c r="B50" s="53" t="s">
        <v>988</v>
      </c>
      <c r="C50" s="25" t="s">
        <v>989</v>
      </c>
      <c r="D50" s="23" t="s">
        <v>990</v>
      </c>
      <c r="E50" s="99" t="s">
        <v>991</v>
      </c>
      <c r="F50" s="25" t="s">
        <v>992</v>
      </c>
      <c r="G50" s="23" t="s">
        <v>121</v>
      </c>
    </row>
    <row r="52" customFormat="false" ht="42" hidden="false" customHeight="true" outlineLevel="0" collapsed="false">
      <c r="A52" s="27" t="s">
        <v>993</v>
      </c>
      <c r="B52" s="27"/>
      <c r="C52" s="27"/>
      <c r="D52" s="27"/>
      <c r="E52" s="27"/>
      <c r="F52" s="27"/>
      <c r="G52" s="27"/>
    </row>
  </sheetData>
  <autoFilter ref="A20:G50"/>
  <mergeCells count="9">
    <mergeCell ref="A1:G1"/>
    <mergeCell ref="A2:G2"/>
    <mergeCell ref="A3:G3"/>
    <mergeCell ref="A6:G6"/>
    <mergeCell ref="A14:D14"/>
    <mergeCell ref="A15:D15"/>
    <mergeCell ref="A16:D16"/>
    <mergeCell ref="A18:G18"/>
    <mergeCell ref="A52:G52"/>
  </mergeCells>
  <hyperlinks>
    <hyperlink ref="E21" r:id="rId1" display="http://dataclouds.cninfo.com.cn/shgonggao/hsomarket/2026/20260429/f0f0b3057b0c40d9941d00be40097953.PDF"/>
    <hyperlink ref="E22" r:id="rId2" display="https://disc.static.szse.cn/disc/disk03/finalpage/2026-04-21/02f8f6ce-0dcd-4ddd-9c8a-d4873b8e986a.PDF"/>
    <hyperlink ref="E23" r:id="rId3" display="http://file.finance.sina.com.cn/211.154.219.97:9494/MRGG/CNSESH_STOCK/2026/2026-4/2026-04-25/12180724.PDF"/>
    <hyperlink ref="E24" r:id="rId4" display="http://static.cninfo.com.cn/finalpage/2026-03-21/1225022066.PDF"/>
    <hyperlink ref="E25" r:id="rId5" display="https://static.cninfo.com.cn/finalpage/2026-04-21/1225126516.PDF"/>
    <hyperlink ref="E26" r:id="rId6" display="https://static.cninfo.com.cn/finalpage/2026-04-15/1225100697.PDF"/>
    <hyperlink ref="E27" r:id="rId7" display="http://static.cninfo.com.cn/finalpage/2026-04-21/1225130635.PDF"/>
    <hyperlink ref="E28" r:id="rId8" display="https://static.sse.com.cn/disclosure/listedinfo/announcement/c/new/2026-04-25/600586_20260425_AM36.pdf"/>
    <hyperlink ref="E29" r:id="rId9" display="https://static.cninfo.com.cn/finalpage/2026-04-29/1225240408.PDF"/>
    <hyperlink ref="E30" r:id="rId10" display="http://static.cninfo.com.cn/finalpage/2026-04-18/1225115190.PDF"/>
    <hyperlink ref="E31" r:id="rId11" display="https://finance.sina.com.cn/jjxw/2026-05-15/doc-inhxypte8059749.shtml"/>
    <hyperlink ref="E32" r:id="rId12" display="https://www.100ppi.com/forecast/detail-20260105-201890.html"/>
    <hyperlink ref="E33" r:id="rId13" display="https://www.100ppi.com/dzh/10031/detail-20250103-197372.html"/>
    <hyperlink ref="E34" r:id="rId14" display="https://finance.sina.com.cn/money/future/roll/2025-01-03/doc-inecsvux6433846.shtml"/>
    <hyperlink ref="E35" r:id="rId15" display="http://www.cfachina.org/servicesupport/analygarden/nyhgl/cj_5769/202202/P020220221529615314165.pdf"/>
    <hyperlink ref="E36" r:id="rId16" display="https://news.10jqka.com.cn/20261015/c680735910.shtml"/>
    <hyperlink ref="E37" r:id="rId17" display="https://chem.100ppi.com/news/list--533-1.html"/>
    <hyperlink ref="E38" r:id="rId18" display="https://x.qhkch.com/reports/reportId?id=211720"/>
    <hyperlink ref="E39" r:id="rId19" display="https://caifuhao.eastmoney.com/news/20260730201740389910380"/>
    <hyperlink ref="E40" r:id="rId20" display="https://www.chyxx.com/industry/1278161.html"/>
    <hyperlink ref="E41" r:id="rId21" display="http://www.jshgjt.com/a/xinwenzhongxin/xingyexinwen/3140.html"/>
    <hyperlink ref="E42" r:id="rId22" display="https://finance.sina.com.cn/roll/2026-01-27/doc-inhiuixs5455896.shtml"/>
    <hyperlink ref="E43" r:id="rId23" display="https://finance.sina.cn/futuremarket/qszx/2019-11-22/detail-iihnzhfz0921055.d.html"/>
    <hyperlink ref="E44" r:id="rId24" display="https://stockmc.xueqiu.com/202606/600328_20260604_27SP.pdf"/>
    <hyperlink ref="E45" r:id="rId25" display="https://news.qq.com/rain/a/20250403A070K300"/>
    <hyperlink ref="E46" r:id="rId26" display="https://www.hengyang.gov.cn/gxj/xxgk/tzgg/20240327/i3301098.html"/>
    <hyperlink ref="E47" r:id="rId27" display="https://news.chemnet.com/toutiao/detail-89799.html"/>
    <hyperlink ref="E48" r:id="rId28" display="https://m.cnfin.com/dz-lb//zixun/20251231/4358688_1.html"/>
    <hyperlink ref="E49" r:id="rId29" display="https://news.haiwainet.cn/n/2025/0122/c3541089-32832061.html"/>
    <hyperlink ref="E50" r:id="rId30" display="https://www.askci.com/news/20251020/170514276095111281687534.shtml"/>
  </hyperlink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2026-10-19T07:30:04Z</dcterms:created>
  <dc:creator>chemical-supply-market-map</dc:creator>
  <dc:description>数据截止 2026-10-19；公开信息整理，缺口明确标注。</dc:description>
  <dc:language>en-US</dc:language>
  <cp:lastModifiedBy/>
  <dcterms:modified xsi:type="dcterms:W3CDTF">2026-10-19T15:30:33Z</dcterms:modified>
  <cp:revision>1</cp:revision>
  <dc:subject>采购视角：产能、区域、工艺、项目、价格与风险</dc:subject>
  <dc:title>纯碱供应格局数据包 2025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
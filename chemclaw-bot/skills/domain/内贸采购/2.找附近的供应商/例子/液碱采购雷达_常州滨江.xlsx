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封面与说明" sheetId="1" state="visible" r:id="rId1"/>
    <sheet xmlns:r="http://schemas.openxmlformats.org/officeDocument/2006/relationships" name="01 供应商总表" sheetId="2" state="visible" r:id="rId2"/>
    <sheet xmlns:r="http://schemas.openxmlformats.org/officeDocument/2006/relationships" name="02 匹配度评分" sheetId="3" state="visible" r:id="rId3"/>
    <sheet xmlns:r="http://schemas.openxmlformats.org/officeDocument/2006/relationships" name="03 证据链" sheetId="4" state="visible" r:id="rId4"/>
    <sheet xmlns:r="http://schemas.openxmlformats.org/officeDocument/2006/relationships" name="04 距离测算" sheetId="5" state="visible" r:id="rId5"/>
    <sheet xmlns:r="http://schemas.openxmlformats.org/officeDocument/2006/relationships" name="05 运输与合规" sheetId="6" state="visible" r:id="rId6"/>
    <sheet xmlns:r="http://schemas.openxmlformats.org/officeDocument/2006/relationships" name="06 数据缺口" sheetId="7" state="visible" r:id="rId7"/>
    <sheet xmlns:r="http://schemas.openxmlformats.org/officeDocument/2006/relationships" name="07 询价清单" sheetId="8" state="visible" r:id="rId8"/>
  </sheets>
  <definedNames>
    <definedName name="_xlnm._FilterDatabase" localSheetId="1" hidden="1">'01 供应商总表'!$A$3:$W$10</definedName>
    <definedName name="_xlnm._FilterDatabase" localSheetId="2" hidden="1">'02 匹配度评分'!$A$3:$K$10</definedName>
    <definedName name="_xlnm._FilterDatabase" localSheetId="3" hidden="1">'03 证据链'!$A$3:$I$19</definedName>
    <definedName name="_xlnm._FilterDatabase" localSheetId="4" hidden="1">'04 距离测算'!$A$3:$K$10</definedName>
    <definedName name="_xlnm._FilterDatabase" localSheetId="6" hidden="1">'06 数据缺口'!$A$3:$G$24</definedName>
    <definedName name="_xlnm._FilterDatabase" localSheetId="7" hidden="1">'07 询价清单'!$A$3:$L$10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4">
    <font>
      <name val="Calibri"/>
      <family val="2"/>
      <color theme="1"/>
      <sz val="11"/>
      <scheme val="minor"/>
    </font>
    <font>
      <name val="Microsoft YaHei"/>
      <b val="1"/>
      <color rgb="000D2438"/>
      <sz val="19"/>
    </font>
    <font>
      <name val="Microsoft YaHei"/>
      <color rgb="0066768A"/>
      <sz val="10"/>
    </font>
    <font>
      <name val="Microsoft YaHei"/>
      <b val="1"/>
      <color rgb="0066768A"/>
      <sz val="9"/>
    </font>
    <font>
      <name val="Microsoft YaHei"/>
      <color rgb="001F2937"/>
      <sz val="9"/>
    </font>
    <font>
      <name val="Microsoft YaHei"/>
      <b val="1"/>
      <color rgb="007A4206"/>
      <sz val="9"/>
    </font>
    <font>
      <name val="Microsoft YaHei"/>
      <b val="1"/>
      <color rgb="000D2438"/>
      <sz val="11"/>
    </font>
    <font>
      <name val="Microsoft YaHei"/>
      <b val="1"/>
      <color rgb="0066768A"/>
      <sz val="8.5"/>
    </font>
    <font>
      <name val="Microsoft YaHei"/>
      <b val="1"/>
      <color rgb="000D7A6B"/>
      <sz val="14"/>
    </font>
    <font>
      <name val="Microsoft YaHei"/>
      <b val="1"/>
      <color rgb="000D7A6B"/>
      <sz val="9.5"/>
    </font>
    <font>
      <name val="Microsoft YaHei"/>
      <b val="1"/>
      <color rgb="000D7A6B"/>
      <sz val="9"/>
    </font>
    <font>
      <name val="Microsoft YaHei"/>
      <color rgb="0066768A"/>
      <sz val="8.800000000000001"/>
    </font>
    <font>
      <name val="Microsoft YaHei"/>
      <color rgb="0066768A"/>
      <sz val="8.5"/>
    </font>
    <font>
      <name val="Microsoft YaHei"/>
      <b val="1"/>
      <color rgb="000D2438"/>
      <sz val="13"/>
    </font>
    <font>
      <name val="Microsoft YaHei"/>
      <color rgb="008B98A8"/>
      <sz val="8.5"/>
    </font>
    <font>
      <name val="Microsoft YaHei"/>
      <b val="1"/>
      <color rgb="00FFFFFF"/>
      <sz val="9"/>
    </font>
    <font>
      <name val="Microsoft YaHei"/>
      <b val="1"/>
      <color rgb="000A5C50"/>
      <sz val="9"/>
    </font>
    <font>
      <name val="Microsoft YaHei"/>
      <b val="1"/>
      <color rgb="000D2438"/>
      <sz val="9"/>
    </font>
    <font>
      <name val="Microsoft YaHei"/>
      <b val="1"/>
      <color rgb="00475569"/>
      <sz val="9"/>
    </font>
    <font>
      <name val="Microsoft YaHei"/>
      <b val="1"/>
      <color rgb="000D2438"/>
      <sz val="10"/>
    </font>
    <font>
      <name val="Microsoft YaHei"/>
      <color rgb="0066768A"/>
      <sz val="9"/>
    </font>
    <font>
      <name val="Microsoft YaHei"/>
      <b val="1"/>
      <color rgb="001A5F9E"/>
      <sz val="9"/>
    </font>
    <font>
      <name val="Microsoft YaHei"/>
      <color rgb="001A5F9E"/>
      <sz val="8.5"/>
    </font>
    <font>
      <name val="Microsoft YaHei"/>
      <b val="1"/>
      <color rgb="00FFFFFF"/>
      <sz val="10.5"/>
    </font>
  </fonts>
  <fills count="9">
    <fill>
      <patternFill/>
    </fill>
    <fill>
      <patternFill patternType="gray125"/>
    </fill>
    <fill>
      <patternFill patternType="solid">
        <fgColor rgb="00F5F8FA"/>
      </patternFill>
    </fill>
    <fill>
      <patternFill patternType="solid">
        <fgColor rgb="00FBF1E2"/>
      </patternFill>
    </fill>
    <fill>
      <patternFill patternType="solid">
        <fgColor rgb="0015334C"/>
      </patternFill>
    </fill>
    <fill>
      <patternFill patternType="solid">
        <fgColor rgb="00E7F3F0"/>
      </patternFill>
    </fill>
    <fill>
      <patternFill patternType="solid">
        <fgColor rgb="00EEF1F5"/>
      </patternFill>
    </fill>
    <fill>
      <patternFill patternType="solid">
        <fgColor rgb="00E8F0F9"/>
      </patternFill>
    </fill>
    <fill>
      <patternFill patternType="solid">
        <fgColor rgb="00FDF1F0"/>
      </patternFill>
    </fill>
  </fills>
  <borders count="3">
    <border>
      <left/>
      <right/>
      <top/>
      <bottom/>
      <diagonal/>
    </border>
    <border>
      <bottom style="hair">
        <color rgb="00E4E9EF"/>
      </bottom>
    </border>
    <border>
      <left style="thin">
        <color rgb="00E4E9EF"/>
      </left>
      <right style="thin">
        <color rgb="00E4E9EF"/>
      </right>
      <top style="thin">
        <color rgb="00E4E9EF"/>
      </top>
      <bottom style="thin">
        <color rgb="00E4E9EF"/>
      </bottom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0" borderId="0" applyAlignment="1" pivotButton="0" quotePrefix="0" xfId="0">
      <alignment vertical="center" indent="1"/>
    </xf>
    <xf numFmtId="0" fontId="2" fillId="0" borderId="0" applyAlignment="1" pivotButton="0" quotePrefix="0" xfId="0">
      <alignment vertical="center" indent="1"/>
    </xf>
    <xf numFmtId="0" fontId="3" fillId="2" borderId="1" applyAlignment="1" pivotButton="0" quotePrefix="0" xfId="0">
      <alignment vertical="center" indent="1"/>
    </xf>
    <xf numFmtId="0" fontId="4" fillId="0" borderId="1" applyAlignment="1" pivotButton="0" quotePrefix="0" xfId="0">
      <alignment vertical="center" wrapText="1" indent="1"/>
    </xf>
    <xf numFmtId="0" fontId="0" fillId="0" borderId="1" pivotButton="0" quotePrefix="0" xfId="0"/>
    <xf numFmtId="0" fontId="5" fillId="3" borderId="2" applyAlignment="1" pivotButton="0" quotePrefix="0" xfId="0">
      <alignment vertical="center" indent="1"/>
    </xf>
    <xf numFmtId="0" fontId="6" fillId="0" borderId="0" applyAlignment="1" pivotButton="0" quotePrefix="0" xfId="0">
      <alignment vertical="center" indent="1"/>
    </xf>
    <xf numFmtId="0" fontId="7" fillId="0" borderId="0" applyAlignment="1" pivotButton="0" quotePrefix="0" xfId="0">
      <alignment vertical="center" indent="1"/>
    </xf>
    <xf numFmtId="0" fontId="8" fillId="0" borderId="0" applyAlignment="1" pivotButton="0" quotePrefix="0" xfId="0">
      <alignment vertical="center" indent="1"/>
    </xf>
    <xf numFmtId="0" fontId="9" fillId="0" borderId="1" applyAlignment="1" pivotButton="0" quotePrefix="0" xfId="0">
      <alignment vertical="top" indent="1"/>
    </xf>
    <xf numFmtId="0" fontId="4" fillId="0" borderId="1" applyAlignment="1" pivotButton="0" quotePrefix="0" xfId="0">
      <alignment vertical="top" wrapText="1" indent="1"/>
    </xf>
    <xf numFmtId="0" fontId="10" fillId="0" borderId="0" applyAlignment="1" pivotButton="0" quotePrefix="0" xfId="0">
      <alignment vertical="center" indent="1"/>
    </xf>
    <xf numFmtId="0" fontId="11" fillId="0" borderId="0" applyAlignment="1" pivotButton="0" quotePrefix="0" xfId="0">
      <alignment vertical="center" indent="1"/>
    </xf>
    <xf numFmtId="0" fontId="12" fillId="0" borderId="0" applyAlignment="1" pivotButton="0" quotePrefix="0" xfId="0">
      <alignment vertical="top" wrapText="1" indent="1"/>
    </xf>
    <xf numFmtId="0" fontId="13" fillId="0" borderId="0" applyAlignment="1" pivotButton="0" quotePrefix="0" xfId="0">
      <alignment vertical="center" indent="1"/>
    </xf>
    <xf numFmtId="0" fontId="14" fillId="0" borderId="0" applyAlignment="1" pivotButton="0" quotePrefix="0" xfId="0">
      <alignment vertical="center" indent="1"/>
    </xf>
    <xf numFmtId="0" fontId="15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vertical="top" wrapText="1" indent="1"/>
    </xf>
    <xf numFmtId="0" fontId="17" fillId="0" borderId="2" applyAlignment="1" pivotButton="0" quotePrefix="0" xfId="0">
      <alignment vertical="top" wrapText="1" indent="1"/>
    </xf>
    <xf numFmtId="0" fontId="16" fillId="5" borderId="2" applyAlignment="1" pivotButton="0" quotePrefix="0" xfId="0">
      <alignment vertical="top" wrapText="1" indent="1"/>
    </xf>
    <xf numFmtId="0" fontId="4" fillId="2" borderId="2" applyAlignment="1" pivotButton="0" quotePrefix="0" xfId="0">
      <alignment vertical="top" wrapText="1" indent="1"/>
    </xf>
    <xf numFmtId="0" fontId="17" fillId="2" borderId="2" applyAlignment="1" pivotButton="0" quotePrefix="0" xfId="0">
      <alignment vertical="top" wrapText="1" indent="1"/>
    </xf>
    <xf numFmtId="0" fontId="5" fillId="3" borderId="2" applyAlignment="1" pivotButton="0" quotePrefix="0" xfId="0">
      <alignment vertical="top" wrapText="1" indent="1"/>
    </xf>
    <xf numFmtId="0" fontId="18" fillId="6" borderId="2" applyAlignment="1" pivotButton="0" quotePrefix="0" xfId="0">
      <alignment vertical="top" wrapText="1" indent="1"/>
    </xf>
    <xf numFmtId="0" fontId="19" fillId="0" borderId="0" applyAlignment="1" pivotButton="0" quotePrefix="0" xfId="0">
      <alignment indent="1"/>
    </xf>
    <xf numFmtId="0" fontId="10" fillId="0" borderId="0" pivotButton="0" quotePrefix="0" xfId="0"/>
    <xf numFmtId="0" fontId="17" fillId="0" borderId="0" pivotButton="0" quotePrefix="0" xfId="0"/>
    <xf numFmtId="0" fontId="20" fillId="0" borderId="0" applyAlignment="1" pivotButton="0" quotePrefix="0" xfId="0">
      <alignment vertical="center" wrapText="1" indent="1"/>
    </xf>
    <xf numFmtId="0" fontId="21" fillId="7" borderId="2" applyAlignment="1" pivotButton="0" quotePrefix="0" xfId="0">
      <alignment horizontal="center" vertical="center" wrapText="1"/>
    </xf>
    <xf numFmtId="0" fontId="22" fillId="0" borderId="2" applyAlignment="1" pivotButton="0" quotePrefix="0" xfId="0">
      <alignment vertical="top" wrapText="1" indent="1"/>
    </xf>
    <xf numFmtId="0" fontId="22" fillId="2" borderId="2" applyAlignment="1" pivotButton="0" quotePrefix="0" xfId="0">
      <alignment vertical="top" wrapText="1" indent="1"/>
    </xf>
    <xf numFmtId="0" fontId="5" fillId="3" borderId="2" applyAlignment="1" pivotButton="0" quotePrefix="0" xfId="0">
      <alignment horizontal="center" vertical="center" wrapText="1"/>
    </xf>
    <xf numFmtId="0" fontId="16" fillId="5" borderId="2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0" borderId="0" pivotButton="0" quotePrefix="0" xfId="0"/>
    <xf numFmtId="0" fontId="23" fillId="4" borderId="0" applyAlignment="1" pivotButton="0" quotePrefix="0" xfId="0">
      <alignment vertical="center" indent="1"/>
    </xf>
    <xf numFmtId="0" fontId="3" fillId="2" borderId="1" applyAlignment="1" pivotButton="0" quotePrefix="0" xfId="0">
      <alignment vertical="top" indent="1"/>
    </xf>
    <xf numFmtId="0" fontId="4" fillId="8" borderId="1" applyAlignment="1" pivotButton="0" quotePrefix="0" xfId="0">
      <alignment vertical="top" wrapText="1" indent="1"/>
    </xf>
    <xf numFmtId="0" fontId="4" fillId="3" borderId="1" applyAlignment="1" pivotButton="0" quotePrefix="0" xfId="0">
      <alignment vertical="top" wrapText="1" indent="1"/>
    </xf>
    <xf numFmtId="3" fontId="4" fillId="0" borderId="2" applyAlignment="1" pivotButton="0" quotePrefix="0" xfId="0">
      <alignment vertical="top" wrapText="1" indent="1"/>
    </xf>
    <xf numFmtId="3" fontId="4" fillId="2" borderId="2" applyAlignment="1" pivotButton="0" quotePrefix="0" xfId="0">
      <alignment vertical="top" wrapText="1" indent="1"/>
    </xf>
  </cellXfs>
  <cellStyles count="1">
    <cellStyle name="Normal" xfId="0" builtinId="0" hidden="0"/>
  </cellStyles>
  <dxfs count="2">
    <dxf>
      <font>
        <name val="Microsoft YaHei"/>
        <b val="1"/>
        <color rgb="008C2B23"/>
        <sz val="9"/>
      </font>
      <fill>
        <patternFill patternType="solid">
          <fgColor rgb="00FDF1F0"/>
        </patternFill>
      </fill>
    </dxf>
    <dxf>
      <font>
        <name val="Microsoft YaHei"/>
        <b val="1"/>
        <color rgb="007A4206"/>
        <sz val="9"/>
      </font>
      <fill>
        <patternFill patternType="solid">
          <fgColor rgb="00FBF1E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01 &#20379;&#24212;&#21830;&#24635;&#34920;'!A1" TargetMode="External" Id="rId1"/><Relationship Type="http://schemas.openxmlformats.org/officeDocument/2006/relationships/hyperlink" Target="#'02 &#21305;&#37197;&#24230;&#35780;&#20998;'!A1" TargetMode="External" Id="rId2"/><Relationship Type="http://schemas.openxmlformats.org/officeDocument/2006/relationships/hyperlink" Target="#'03 &#35777;&#25454;&#38142;'!A1" TargetMode="External" Id="rId3"/><Relationship Type="http://schemas.openxmlformats.org/officeDocument/2006/relationships/hyperlink" Target="#'04 &#36317;&#31163;&#27979;&#31639;'!A1" TargetMode="External" Id="rId4"/><Relationship Type="http://schemas.openxmlformats.org/officeDocument/2006/relationships/hyperlink" Target="#'05 &#36816;&#36755;&#19982;&#21512;&#35268;'!A1" TargetMode="External" Id="rId5"/><Relationship Type="http://schemas.openxmlformats.org/officeDocument/2006/relationships/hyperlink" Target="#'06 &#25968;&#25454;&#32570;&#21475;'!A1" TargetMode="External" Id="rId6"/><Relationship Type="http://schemas.openxmlformats.org/officeDocument/2006/relationships/hyperlink" Target="#'07 &#35810;&#20215;&#28165;&#21333;'!A1" TargetMode="External" Id="rId7"/></Relationships>
</file>

<file path=xl/worksheets/_rels/sheet4.xml.rels><Relationships xmlns="http://schemas.openxmlformats.org/package/2006/relationships"><Relationship Type="http://schemas.openxmlformats.org/officeDocument/2006/relationships/hyperlink" Target="https://www.spchemicals.com.cn/about.html" TargetMode="External" Id="rId1"/><Relationship Type="http://schemas.openxmlformats.org/officeDocument/2006/relationships/hyperlink" Target="https://www.xhby.net/content/s67a5f40fe4b0a731ead751e5.html" TargetMode="External" Id="rId2"/><Relationship Type="http://schemas.openxmlformats.org/officeDocument/2006/relationships/hyperlink" Target="https://www.yokogawa.com/cn/library/resources/references/spchemicals-taixing/" TargetMode="External" Id="rId3"/><Relationship Type="http://schemas.openxmlformats.org/officeDocument/2006/relationships/hyperlink" Target="https://www.china-tender.com.cn/zbgc/26840.jhtml" TargetMode="External" Id="rId4"/><Relationship Type="http://schemas.openxmlformats.org/officeDocument/2006/relationships/hyperlink" Target="https://www.kczg.org.cn/org/orgdetail?id=304098" TargetMode="External" Id="rId5"/><Relationship Type="http://schemas.openxmlformats.org/officeDocument/2006/relationships/hyperlink" Target="https://baike.baidu.com/item/%E4%B8%AD%E7%9B%90%E5%B8%B8%E5%B7%9E%E5%8C%96%E5%B7%A5%E8%82%A1%E4%BB%BD%E6%9C%89%E9%99%90%E5%85%AC%E5%8F%B8/10799794" TargetMode="External" Id="rId6"/><Relationship Type="http://schemas.openxmlformats.org/officeDocument/2006/relationships/hyperlink" Target="http://file.finance.sina.com.cn/211.154.219.97:9494/MRGG/CNSESH_STOCK/2025/2025-4/2025-04-15/10871533.PDF" TargetMode="External" Id="rId7"/><Relationship Type="http://schemas.openxmlformats.org/officeDocument/2006/relationships/hyperlink" Target="https://baike.baidu.com/item/%E4%B8%8A%E6%B5%B7%E6%B0%AF%E7%A2%B1%E5%8C%96%E5%B7%A5%E8%82%A1%E4%BB%BD%E6%9C%89%E9%99%90%E5%85%AC%E5%8F%B8/7014044" TargetMode="External" Id="rId8"/><Relationship Type="http://schemas.openxmlformats.org/officeDocument/2006/relationships/hyperlink" Target="http://www.polymer.cn/resource/13480resource.html" TargetMode="External" Id="rId9"/><Relationship Type="http://schemas.openxmlformats.org/officeDocument/2006/relationships/hyperlink" Target="https://www.china-tender.com.cn/zbgc/26840.jhtml" TargetMode="External" Id="rId10"/><Relationship Type="http://schemas.openxmlformats.org/officeDocument/2006/relationships/hyperlink" Target="https://www.kczg.org.cn/org/orgdetail?id=304098" TargetMode="External" Id="rId11"/><Relationship Type="http://schemas.openxmlformats.org/officeDocument/2006/relationships/hyperlink" Target="https://static.cninfo.com.cn/finalpage/2026-04-10/1225089985.PDF" TargetMode="External" Id="rId12"/><Relationship Type="http://schemas.openxmlformats.org/officeDocument/2006/relationships/hyperlink" Target="https://baike.baidu.com/item/%E6%B5%99%E6%B1%9F%E5%98%89%E5%8C%96%E8%83%BD%E6%BA%90%E5%8C%96%E5%B7%A5%E8%82%A1%E4%BB%BD%E6%9C%89%E9%99%90%E5%85%AC%E5%8F%B8/16408198" TargetMode="External" Id="rId13"/><Relationship Type="http://schemas.openxmlformats.org/officeDocument/2006/relationships/hyperlink" Target="http://www.sopo.com.cn/list/index/id/91-93-2/m/Home/p/25.html" TargetMode="External" Id="rId14"/><Relationship Type="http://schemas.openxmlformats.org/officeDocument/2006/relationships/hyperlink" Target="http://www.sasac.gov.cn/n2588025/n2588129/c9725244/content.html" TargetMode="External" Id="rId15"/><Relationship Type="http://schemas.openxmlformats.org/officeDocument/2006/relationships/hyperlink" Target="https://pdf.dfcfw.com/pdf/H3_AP202605291823018596_1.pdf" TargetMode="External" Id="rId16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43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26" customWidth="1" min="3" max="3"/>
    <col width="26" customWidth="1" min="4" max="4"/>
    <col width="22" customWidth="1" min="5" max="5"/>
    <col width="18" customWidth="1" min="6" max="6"/>
  </cols>
  <sheetData>
    <row r="1" ht="40" customHeight="1">
      <c r="A1" s="1" t="inlineStr">
        <is>
          <t>离子膜液碱 32% · 就近供应商与运距评估</t>
        </is>
      </c>
    </row>
    <row r="2" ht="22" customHeight="1">
      <c r="A2" s="2" t="inlineStr">
        <is>
          <t>离子膜液碱 32%（氢氧化钠溶液）　|　单次约 30 吨（1 车，示例）　|　数据基准日 2026-10-19</t>
        </is>
      </c>
    </row>
    <row r="4" ht="21" customHeight="1">
      <c r="A4" s="3" t="inlineStr">
        <is>
          <t>采购标的</t>
        </is>
      </c>
      <c r="B4" s="4" t="inlineStr">
        <is>
          <t>离子膜液碱 32%（氢氧化钠溶液）</t>
        </is>
      </c>
      <c r="C4" s="5" t="n"/>
      <c r="D4" s="5" t="n"/>
      <c r="E4" s="5" t="n"/>
      <c r="F4" s="5" t="n"/>
    </row>
    <row r="5" ht="21" customHeight="1">
      <c r="A5" s="3" t="inlineStr">
        <is>
          <t>规格 / 牌号</t>
        </is>
      </c>
      <c r="B5" s="4" t="inlineStr">
        <is>
          <t>GB 209-2018 工业用氢氧化钠，NaOH 32%±0.5%，碳酸钠 ≤0.2%</t>
        </is>
      </c>
      <c r="C5" s="5" t="n"/>
      <c r="D5" s="5" t="n"/>
      <c r="E5" s="5" t="n"/>
      <c r="F5" s="5" t="n"/>
    </row>
    <row r="6" ht="21" customHeight="1">
      <c r="A6" s="3" t="inlineStr">
        <is>
          <t>包装</t>
        </is>
      </c>
      <c r="B6" s="4" t="inlineStr">
        <is>
          <t>专用罐车 30 t/车（或罐箱）</t>
        </is>
      </c>
      <c r="C6" s="5" t="n"/>
      <c r="D6" s="5" t="n"/>
      <c r="E6" s="5" t="n"/>
      <c r="F6" s="5" t="n"/>
    </row>
    <row r="7" ht="21" customHeight="1">
      <c r="A7" s="3" t="inlineStr">
        <is>
          <t>单次批量</t>
        </is>
      </c>
      <c r="B7" s="4" t="inlineStr">
        <is>
          <t>单次约 30 吨（1 车，示例）</t>
        </is>
      </c>
      <c r="C7" s="5" t="n"/>
      <c r="D7" s="5" t="n"/>
      <c r="E7" s="5" t="n"/>
      <c r="F7" s="5" t="n"/>
    </row>
    <row r="8" ht="21" customHeight="1">
      <c r="A8" s="3" t="inlineStr">
        <is>
          <t>收货地</t>
        </is>
      </c>
      <c r="B8" s="4" t="inlineStr">
        <is>
          <t>江苏省常州市新北区春江镇 · 滨江经济开发区（化工园区）</t>
        </is>
      </c>
      <c r="C8" s="5" t="n"/>
      <c r="D8" s="5" t="n"/>
      <c r="E8" s="5" t="n"/>
      <c r="F8" s="5" t="n"/>
    </row>
    <row r="9" ht="21" customHeight="1">
      <c r="A9" s="3" t="inlineStr">
        <is>
          <t>坐标</t>
        </is>
      </c>
      <c r="B9" s="4" t="inlineStr">
        <is>
          <t>31.947, 119.932（示例收货点（园区中心近似，±3 km）。真实下单请替换为具体门牌/罐区，距离会随之变化。）</t>
        </is>
      </c>
      <c r="C9" s="5" t="n"/>
      <c r="D9" s="5" t="n"/>
      <c r="E9" s="5" t="n"/>
      <c r="F9" s="5" t="n"/>
    </row>
    <row r="10" ht="21" customHeight="1">
      <c r="A10" s="3" t="inlineStr">
        <is>
          <t>运输方式</t>
        </is>
      </c>
      <c r="B10" s="4" t="inlineStr">
        <is>
          <t>危化品罐车汽运为主；300 公里以上评估中转罐或水运</t>
        </is>
      </c>
      <c r="C10" s="5" t="n"/>
      <c r="D10" s="5" t="n"/>
      <c r="E10" s="5" t="n"/>
      <c r="F10" s="5" t="n"/>
    </row>
    <row r="11" ht="21" customHeight="1">
      <c r="A11" s="3" t="inlineStr">
        <is>
          <t>自提</t>
        </is>
      </c>
      <c r="B11" s="4" t="inlineStr">
        <is>
          <t>不建议自提（需危货资质车辆与押运）</t>
        </is>
      </c>
      <c r="C11" s="5" t="n"/>
      <c r="D11" s="5" t="n"/>
      <c r="E11" s="5" t="n"/>
      <c r="F11" s="5" t="n"/>
    </row>
    <row r="12" ht="21" customHeight="1">
      <c r="A12" s="3" t="inlineStr">
        <is>
          <t>危化判定</t>
        </is>
      </c>
      <c r="B12" s="4" t="inlineStr">
        <is>
          <t>属于危险化学品</t>
        </is>
      </c>
      <c r="C12" s="5" t="n"/>
      <c r="D12" s="5" t="n"/>
      <c r="E12" s="5" t="n"/>
      <c r="F12" s="5" t="n"/>
    </row>
    <row r="14" ht="24" customHeight="1">
      <c r="A14" s="6" t="inlineStr">
        <is>
          <t>⚠ 示例收货点：示例收货点（园区中心近似，±3 km）。真实下单请替换为具体门牌/罐区，距离会随之变化。　换成真实地址后，全部距离与半径结论需重算。</t>
        </is>
      </c>
    </row>
    <row r="16">
      <c r="A16" s="7" t="inlineStr">
        <is>
          <t>关键数字</t>
        </is>
      </c>
    </row>
    <row r="17" ht="24" customHeight="1">
      <c r="A17" s="8" t="inlineStr">
        <is>
          <t>候选企业</t>
        </is>
      </c>
      <c r="B17" s="9" t="inlineStr">
        <is>
          <t>7 家</t>
        </is>
      </c>
    </row>
    <row r="18" ht="24" customHeight="1">
      <c r="A18" s="8" t="inlineStr">
        <is>
          <t>500 km 内</t>
        </is>
      </c>
      <c r="B18" s="9" t="inlineStr">
        <is>
          <t>6 家</t>
        </is>
      </c>
    </row>
    <row r="19" ht="24" customHeight="1">
      <c r="A19" s="8" t="inlineStr">
        <is>
          <t>100 km 内</t>
        </is>
      </c>
      <c r="B19" s="9" t="inlineStr">
        <is>
          <t>4 家</t>
        </is>
      </c>
    </row>
    <row r="20" ht="24" customHeight="1">
      <c r="A20" s="8" t="inlineStr">
        <is>
          <t>数据缺口</t>
        </is>
      </c>
      <c r="B20" s="9" t="inlineStr">
        <is>
          <t>21 项</t>
        </is>
      </c>
    </row>
    <row r="22">
      <c r="B22" s="7" t="inlineStr">
        <is>
          <t>建议采购路线</t>
        </is>
      </c>
    </row>
    <row r="23" ht="34" customHeight="1">
      <c r="B23" s="10" t="inlineStr">
        <is>
          <t>第 1 步 · 近场主供</t>
        </is>
      </c>
      <c r="C23" s="11" t="inlineStr">
        <is>
          <t>中盐常州（滨江基地，园区内）与新浦化学（泰兴，跨江约 25 km）同期询价，按 32% 折百单价对标；两家都是离子膜工艺，适合做一主一备。</t>
        </is>
      </c>
      <c r="D23" s="5" t="n"/>
      <c r="E23" s="5" t="n"/>
      <c r="F23" s="5" t="n"/>
    </row>
    <row r="24" ht="34" customHeight="1">
      <c r="B24" s="10" t="inlineStr">
        <is>
          <t>第 2 步 · 运力先行</t>
        </is>
      </c>
      <c r="C24" s="11" t="inlineStr">
        <is>
          <t>液碱是 8 类腐蚀品，先确认承运方危货资质、罐车数量与押运员配置，再谈价格；300 km 内可日配，超出则评估中转罐或水运。</t>
        </is>
      </c>
      <c r="D24" s="5" t="n"/>
      <c r="E24" s="5" t="n"/>
      <c r="F24" s="5" t="n"/>
    </row>
    <row r="25" ht="34" customHeight="1">
      <c r="B25" s="10" t="inlineStr">
        <is>
          <t>第 3 步 · 远距仅作参照</t>
        </is>
      </c>
      <c r="C25" s="11" t="inlineStr">
        <is>
          <t>上海化工区（约 200 km）、嘉兴乍浦（约 180 km）作为二源与价格锚；滨州（600 km 以上）只用于行情参照，不进日常供应。</t>
        </is>
      </c>
      <c r="D25" s="5" t="n"/>
      <c r="E25" s="5" t="n"/>
      <c r="F25" s="5" t="n"/>
    </row>
    <row r="27">
      <c r="B27" s="7" t="inlineStr">
        <is>
          <t>工作表导航</t>
        </is>
      </c>
    </row>
    <row r="28">
      <c r="B28" s="12" t="inlineStr">
        <is>
          <t>01 供应商总表</t>
        </is>
      </c>
      <c r="C28" s="13" t="inlineStr">
        <is>
          <t>一企一行：角色、地址、匹配/物流/距离、动作</t>
        </is>
      </c>
    </row>
    <row r="29">
      <c r="B29" s="12" t="inlineStr">
        <is>
          <t>02 匹配度评分</t>
        </is>
      </c>
      <c r="C29" s="13" t="inlineStr">
        <is>
          <t>五个维度的分项打分，可直接改权重复盘</t>
        </is>
      </c>
    </row>
    <row r="30">
      <c r="B30" s="12" t="inlineStr">
        <is>
          <t>03 证据链</t>
        </is>
      </c>
      <c r="C30" s="13" t="inlineStr">
        <is>
          <t>每条事实的来源、级别、链接（A 交易所/政府 &gt; D 名录）</t>
        </is>
      </c>
    </row>
    <row r="31">
      <c r="B31" s="12" t="inlineStr">
        <is>
          <t>04 距离测算</t>
        </is>
      </c>
      <c r="C31" s="13" t="inlineStr">
        <is>
          <t>直线/公路/绕行系数/在途时间，含降级标注</t>
        </is>
      </c>
    </row>
    <row r="32">
      <c r="B32" s="12" t="inlineStr">
        <is>
          <t>05 运输与合规</t>
        </is>
      </c>
      <c r="C32" s="13" t="inlineStr">
        <is>
          <t>危化判定、资质要求、运费口径（不含金额）</t>
        </is>
      </c>
    </row>
    <row r="33">
      <c r="B33" s="12" t="inlineStr">
        <is>
          <t>06 数据缺口</t>
        </is>
      </c>
      <c r="C33" s="13" t="inlineStr">
        <is>
          <t>每条缺口的影响与下一步动作，带状态下拉</t>
        </is>
      </c>
    </row>
    <row r="34">
      <c r="B34" s="12" t="inlineStr">
        <is>
          <t>07 询价清单</t>
        </is>
      </c>
      <c r="C34" s="13" t="inlineStr">
        <is>
          <t>发起询价用的字段与话术，可打印</t>
        </is>
      </c>
    </row>
    <row r="36">
      <c r="A36" s="7" t="inlineStr">
        <is>
          <t>口径与免责</t>
        </is>
      </c>
    </row>
    <row r="37" ht="30" customHeight="1">
      <c r="A37" s="14" t="inlineStr">
        <is>
          <t>· 本表为采购决策辅助材料，不构成任何交易建议、供应商背书或价格承诺。</t>
        </is>
      </c>
    </row>
    <row r="38" ht="30" customHeight="1">
      <c r="A38" s="14" t="inlineStr">
        <is>
          <t>· 所有距离为坐标间测算值：公路里程来自 OSRM 路网规划，直线为 haversine 球面距离；坐标精度见各企业字段。</t>
        </is>
      </c>
    </row>
    <row r="39" ht="30" customHeight="1">
      <c r="A39" s="14" t="inlineStr">
        <is>
          <t>· 产能与产量数据来自公开渠道并标注证据等级，未核实项一律列入缺口，不做推测填充。</t>
        </is>
      </c>
    </row>
    <row r="40" ht="30" customHeight="1">
      <c r="A40" s="14" t="inlineStr">
        <is>
          <t>· 本表不提供运费金额，仅提供计费口径；到厂价需以书面报价为准。</t>
        </is>
      </c>
    </row>
    <row r="41" ht="30" customHeight="1">
      <c r="A41" s="14" t="inlineStr">
        <is>
          <t>· 危险化学品的运输、储存与使用须遵守《危险化学品安全管理条例》及地方规定，签约前应核验承运方资质。</t>
        </is>
      </c>
    </row>
    <row r="42" ht="30" customHeight="1">
      <c r="A42" s="14" t="inlineStr">
        <is>
          <t>· 半径筛选按公路里程计算；坐标精度为区县级时，边界结论可能产生 ±15 km 偏移。</t>
        </is>
      </c>
    </row>
    <row r="43" ht="30" customHeight="1">
      <c r="A43" s="14" t="inlineStr">
        <is>
          <t>· 示例收货点为常州滨江化工园区；替换为真实门牌后，全部距离与档内排序需重算。</t>
        </is>
      </c>
    </row>
  </sheetData>
  <mergeCells count="33">
    <mergeCell ref="B4:F4"/>
    <mergeCell ref="A16:F16"/>
    <mergeCell ref="A41:F41"/>
    <mergeCell ref="B7:F7"/>
    <mergeCell ref="C23:F23"/>
    <mergeCell ref="A37:F37"/>
    <mergeCell ref="B22:F22"/>
    <mergeCell ref="C32:F32"/>
    <mergeCell ref="B27:F27"/>
    <mergeCell ref="C28:F28"/>
    <mergeCell ref="A2:F2"/>
    <mergeCell ref="B12:F12"/>
    <mergeCell ref="A42:F42"/>
    <mergeCell ref="A14:F14"/>
    <mergeCell ref="B11:F11"/>
    <mergeCell ref="C34:F34"/>
    <mergeCell ref="C30:F30"/>
    <mergeCell ref="C33:F33"/>
    <mergeCell ref="B8:F8"/>
    <mergeCell ref="C24:F24"/>
    <mergeCell ref="A43:F43"/>
    <mergeCell ref="A38:F38"/>
    <mergeCell ref="B10:F10"/>
    <mergeCell ref="C29:F29"/>
    <mergeCell ref="A40:F40"/>
    <mergeCell ref="C25:F25"/>
    <mergeCell ref="A39:F39"/>
    <mergeCell ref="B9:F9"/>
    <mergeCell ref="C31:F31"/>
    <mergeCell ref="B6:F6"/>
    <mergeCell ref="A36:F36"/>
    <mergeCell ref="A1:F1"/>
    <mergeCell ref="B5:F5"/>
  </mergeCells>
  <hyperlinks>
    <hyperlink xmlns:r="http://schemas.openxmlformats.org/officeDocument/2006/relationships" ref="B28" r:id="rId1"/>
    <hyperlink xmlns:r="http://schemas.openxmlformats.org/officeDocument/2006/relationships" ref="B29" r:id="rId2"/>
    <hyperlink xmlns:r="http://schemas.openxmlformats.org/officeDocument/2006/relationships" ref="B30" r:id="rId3"/>
    <hyperlink xmlns:r="http://schemas.openxmlformats.org/officeDocument/2006/relationships" ref="B31" r:id="rId4"/>
    <hyperlink xmlns:r="http://schemas.openxmlformats.org/officeDocument/2006/relationships" ref="B32" r:id="rId5"/>
    <hyperlink xmlns:r="http://schemas.openxmlformats.org/officeDocument/2006/relationships" ref="B33" r:id="rId6"/>
    <hyperlink xmlns:r="http://schemas.openxmlformats.org/officeDocument/2006/relationships" ref="B34" r:id="rId7"/>
  </hyperlink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W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0" customWidth="1" min="2" max="2"/>
    <col width="12" customWidth="1" min="3" max="3"/>
    <col width="11" customWidth="1" min="4" max="4"/>
    <col width="12" customWidth="1" min="5" max="5"/>
    <col width="8" customWidth="1" min="6" max="6"/>
    <col width="8" customWidth="1" min="7" max="7"/>
    <col width="34" customWidth="1" min="8" max="8"/>
    <col width="14" customWidth="1" min="9" max="9"/>
    <col width="16" customWidth="1" min="10" max="10"/>
    <col width="18" customWidth="1" min="11" max="11"/>
    <col width="7" customWidth="1" min="12" max="12"/>
    <col width="6" customWidth="1" min="13" max="13"/>
    <col width="8" customWidth="1" min="14" max="14"/>
    <col width="8" customWidth="1" min="15" max="15"/>
    <col width="6" customWidth="1" min="16" max="16"/>
    <col width="8" customWidth="1" min="17" max="17"/>
    <col width="7" customWidth="1" min="18" max="18"/>
    <col width="8" customWidth="1" min="19" max="19"/>
    <col width="6" customWidth="1" min="20" max="20"/>
    <col width="16" customWidth="1" min="21" max="21"/>
    <col width="18" customWidth="1" min="22" max="22"/>
    <col width="44" customWidth="1" min="23" max="23"/>
  </cols>
  <sheetData>
    <row r="1" ht="26" customHeight="1">
      <c r="A1" s="15" t="inlineStr">
        <is>
          <t>01 供应商总表</t>
        </is>
      </c>
    </row>
    <row r="2" ht="17" customHeight="1">
      <c r="A2" s="16" t="inlineStr">
        <is>
          <t>32% 液碱 · 常州 · 滨江化工园 · 按「先档位后距离」排序，匹配与物流分列展示、不加权合并</t>
        </is>
      </c>
    </row>
    <row r="3" ht="30" customHeight="1">
      <c r="A3" s="17" t="inlineStr">
        <is>
          <t>序号</t>
        </is>
      </c>
      <c r="B3" s="17" t="inlineStr">
        <is>
          <t>企业名称</t>
        </is>
      </c>
      <c r="C3" s="17" t="inlineStr">
        <is>
          <t>简称</t>
        </is>
      </c>
      <c r="D3" s="17" t="inlineStr">
        <is>
          <t>角色</t>
        </is>
      </c>
      <c r="E3" s="17" t="inlineStr">
        <is>
          <t>类型</t>
        </is>
      </c>
      <c r="F3" s="17" t="inlineStr">
        <is>
          <t>省份</t>
        </is>
      </c>
      <c r="G3" s="17" t="inlineStr">
        <is>
          <t>城市</t>
        </is>
      </c>
      <c r="H3" s="17" t="inlineStr">
        <is>
          <t>详细地址</t>
        </is>
      </c>
      <c r="I3" s="17" t="inlineStr">
        <is>
          <t>工艺/性质</t>
        </is>
      </c>
      <c r="J3" s="17" t="inlineStr">
        <is>
          <t>产能规模</t>
        </is>
      </c>
      <c r="K3" s="17" t="inlineStr">
        <is>
          <t>牌号/品牌</t>
        </is>
      </c>
      <c r="L3" s="17" t="inlineStr">
        <is>
          <t>匹配度</t>
        </is>
      </c>
      <c r="M3" s="17" t="inlineStr">
        <is>
          <t>档位</t>
        </is>
      </c>
      <c r="N3" s="17" t="inlineStr">
        <is>
          <t>公路 km</t>
        </is>
      </c>
      <c r="O3" s="17" t="inlineStr">
        <is>
          <t>直线 km</t>
        </is>
      </c>
      <c r="P3" s="17" t="inlineStr">
        <is>
          <t>绕行</t>
        </is>
      </c>
      <c r="Q3" s="17" t="inlineStr">
        <is>
          <t>运距等级</t>
        </is>
      </c>
      <c r="R3" s="17" t="inlineStr">
        <is>
          <t>物流分</t>
        </is>
      </c>
      <c r="S3" s="17" t="inlineStr">
        <is>
          <t>证据 A/B</t>
        </is>
      </c>
      <c r="T3" s="17" t="inlineStr">
        <is>
          <t>缺口</t>
        </is>
      </c>
      <c r="U3" s="17" t="inlineStr">
        <is>
          <t>定位精度</t>
        </is>
      </c>
      <c r="V3" s="17" t="inlineStr">
        <is>
          <t>运输建议</t>
        </is>
      </c>
      <c r="W3" s="17" t="inlineStr">
        <is>
          <t>关键动作</t>
        </is>
      </c>
    </row>
    <row r="4" ht="46" customHeight="1">
      <c r="A4" s="18" t="n">
        <v>1</v>
      </c>
      <c r="B4" s="18" t="inlineStr">
        <is>
          <t>新浦化学（泰兴）有限公司</t>
        </is>
      </c>
      <c r="C4" s="18" t="inlineStr">
        <is>
          <t>新浦化学</t>
        </is>
      </c>
      <c r="D4" s="18" t="inlineStr">
        <is>
          <t>生产厂家</t>
        </is>
      </c>
      <c r="E4" s="18" t="inlineStr">
        <is>
          <t>生产厂家</t>
        </is>
      </c>
      <c r="F4" s="18" t="inlineStr">
        <is>
          <t>江苏省</t>
        </is>
      </c>
      <c r="G4" s="18" t="inlineStr">
        <is>
          <t>泰州市</t>
        </is>
      </c>
      <c r="H4" s="18" t="inlineStr">
        <is>
          <t>江苏省泰州市泰兴经济开发区疏港路 1 号</t>
        </is>
      </c>
      <c r="I4" s="18" t="inlineStr">
        <is>
          <t>离子膜电解（氯碱联产，配套码头）</t>
        </is>
      </c>
      <c r="J4" s="18" t="inlineStr">
        <is>
          <t>烧碱 75 万吨/年（离子膜）</t>
        </is>
      </c>
      <c r="K4" s="18" t="inlineStr">
        <is>
          <t>新浦牌（自营出口，2024 年烧碱出口约 60 万吨）</t>
        </is>
      </c>
      <c r="L4" s="19" t="n">
        <v>97</v>
      </c>
      <c r="M4" s="20" t="inlineStr">
        <is>
          <t>A</t>
        </is>
      </c>
      <c r="N4" s="18" t="n">
        <v>34</v>
      </c>
      <c r="O4" s="18" t="n">
        <v>24.6</v>
      </c>
      <c r="P4" s="18" t="n">
        <v>1.38</v>
      </c>
      <c r="Q4" s="18" t="inlineStr">
        <is>
          <t>近场</t>
        </is>
      </c>
      <c r="R4" s="18" t="n">
        <v>95.2</v>
      </c>
      <c r="S4" s="18" t="inlineStr">
        <is>
          <t>A0/B3</t>
        </is>
      </c>
      <c r="T4" s="18" t="n">
        <v>3</v>
      </c>
      <c r="U4" s="18" t="inlineStr">
        <is>
          <t>园区厂区中心近似，±2 km</t>
        </is>
      </c>
      <c r="V4" s="18" t="inlineStr">
        <is>
          <t>危化品罐车（过江约 25–40 km）；亦可水运至常州港后短驳</t>
        </is>
      </c>
      <c r="W4" s="18" t="inlineStr">
        <is>
          <t>列为一线主供首选：规模最大、出口检验记录完整，适合作为主源；缺点是跨江且车流集中，需锁定装车时段。</t>
        </is>
      </c>
    </row>
    <row r="5" ht="46" customHeight="1">
      <c r="A5" s="21" t="n">
        <v>2</v>
      </c>
      <c r="B5" s="21" t="inlineStr">
        <is>
          <t>中盐常州化工股份有限公司（金坛基地）</t>
        </is>
      </c>
      <c r="C5" s="21" t="inlineStr">
        <is>
          <t>中盐常州·金坛</t>
        </is>
      </c>
      <c r="D5" s="21" t="inlineStr">
        <is>
          <t>生产厂家</t>
        </is>
      </c>
      <c r="E5" s="21" t="inlineStr">
        <is>
          <t>生产厂家</t>
        </is>
      </c>
      <c r="F5" s="21" t="inlineStr">
        <is>
          <t>江苏省</t>
        </is>
      </c>
      <c r="G5" s="21" t="inlineStr">
        <is>
          <t>常州市</t>
        </is>
      </c>
      <c r="H5" s="21" t="inlineStr">
        <is>
          <t>江苏省常州市金坛区经济开发区建材路 18 号</t>
        </is>
      </c>
      <c r="I5" s="21" t="inlineStr">
        <is>
          <t>离子膜电解（烧碱 + 双氧水）</t>
        </is>
      </c>
      <c r="J5" s="21" t="inlineStr">
        <is>
          <t>烧碱 18 万吨/年（金坛基地）+ 8 万吨/年（滨江基地）</t>
        </is>
      </c>
      <c r="K5" s="21" t="inlineStr">
        <is>
          <t>兰陵牌 / 常化牌</t>
        </is>
      </c>
      <c r="L5" s="22" t="n">
        <v>85</v>
      </c>
      <c r="M5" s="20" t="inlineStr">
        <is>
          <t>A</t>
        </is>
      </c>
      <c r="N5" s="21" t="n">
        <v>57.2</v>
      </c>
      <c r="O5" s="21" t="n">
        <v>40.5</v>
      </c>
      <c r="P5" s="21" t="n">
        <v>1.41</v>
      </c>
      <c r="Q5" s="21" t="inlineStr">
        <is>
          <t>近场</t>
        </is>
      </c>
      <c r="R5" s="21" t="n">
        <v>92</v>
      </c>
      <c r="S5" s="21" t="inlineStr">
        <is>
          <t>A0/B2</t>
        </is>
      </c>
      <c r="T5" s="21" t="n">
        <v>3</v>
      </c>
      <c r="U5" s="21" t="inlineStr">
        <is>
          <t>园区厂区中心近似，±2 km</t>
        </is>
      </c>
      <c r="V5" s="21" t="inlineStr">
        <is>
          <t>危化品罐车（约 50 km，全程高速）</t>
        </is>
      </c>
      <c r="W5" s="21" t="inlineStr">
        <is>
          <t>作为一主一备中的“备”：距离近、可日配，规模小于新浦但有本地服务优势。签约前先解决产能口径矛盾。</t>
        </is>
      </c>
    </row>
    <row r="6" ht="46" customHeight="1">
      <c r="A6" s="18" t="n">
        <v>3</v>
      </c>
      <c r="B6" s="18" t="inlineStr">
        <is>
          <t>上海氯碱化工股份有限公司（上海化学工业区基地）</t>
        </is>
      </c>
      <c r="C6" s="18" t="inlineStr">
        <is>
          <t>上海氯碱</t>
        </is>
      </c>
      <c r="D6" s="18" t="inlineStr">
        <is>
          <t>生产厂家</t>
        </is>
      </c>
      <c r="E6" s="18" t="inlineStr">
        <is>
          <t>生产厂家</t>
        </is>
      </c>
      <c r="F6" s="18" t="inlineStr">
        <is>
          <t>上海市</t>
        </is>
      </c>
      <c r="G6" s="18" t="inlineStr">
        <is>
          <t>金山区</t>
        </is>
      </c>
      <c r="H6" s="18" t="inlineStr">
        <is>
          <t>上海市金山区上海化学工业区（漕泾）</t>
        </is>
      </c>
      <c r="I6" s="18" t="inlineStr">
        <is>
          <t>离子膜电解（烧碱 + PVC + 氯系列）</t>
        </is>
      </c>
      <c r="J6" s="18" t="inlineStr">
        <is>
          <t>烧碱约 35 万吨/年（历史口径，现产能含钦州基地）</t>
        </is>
      </c>
      <c r="K6" s="18" t="inlineStr">
        <is>
          <t>申峰牌等</t>
        </is>
      </c>
      <c r="L6" s="19" t="n">
        <v>85</v>
      </c>
      <c r="M6" s="20" t="inlineStr">
        <is>
          <t>A</t>
        </is>
      </c>
      <c r="N6" s="18" t="n">
        <v>229.8</v>
      </c>
      <c r="O6" s="18" t="n">
        <v>191.5</v>
      </c>
      <c r="P6" s="18" t="n">
        <v>1.2</v>
      </c>
      <c r="Q6" s="18" t="inlineStr">
        <is>
          <t>区域</t>
        </is>
      </c>
      <c r="R6" s="18" t="n">
        <v>71.09999999999999</v>
      </c>
      <c r="S6" s="18" t="inlineStr">
        <is>
          <t>A1/B0</t>
        </is>
      </c>
      <c r="T6" s="18" t="n">
        <v>3</v>
      </c>
      <c r="U6" s="18" t="inlineStr">
        <is>
          <t>化工区基地近似，±3 km（吴泾基地另有装置，未计入）</t>
        </is>
      </c>
      <c r="V6" s="18" t="inlineStr">
        <is>
          <t>危化品罐车（约 200 km，跨省，需通行证）</t>
        </is>
      </c>
      <c r="W6" s="18" t="inlineStr">
        <is>
          <t>作为二源与价格锚：规模与品质稳定，但跨省危化品运输时效与通行证是主要变量。</t>
        </is>
      </c>
    </row>
    <row r="7" ht="46" customHeight="1">
      <c r="A7" s="21" t="n">
        <v>4</v>
      </c>
      <c r="B7" s="21" t="inlineStr">
        <is>
          <t>中盐常州化工股份有限公司（滨江基地）</t>
        </is>
      </c>
      <c r="C7" s="21" t="inlineStr">
        <is>
          <t>中盐常州·滨江</t>
        </is>
      </c>
      <c r="D7" s="21" t="inlineStr">
        <is>
          <t>生产厂家</t>
        </is>
      </c>
      <c r="E7" s="21" t="inlineStr">
        <is>
          <t>生产厂家</t>
        </is>
      </c>
      <c r="F7" s="21" t="inlineStr">
        <is>
          <t>江苏省</t>
        </is>
      </c>
      <c r="G7" s="21" t="inlineStr">
        <is>
          <t>常州市</t>
        </is>
      </c>
      <c r="H7" s="21" t="inlineStr">
        <is>
          <t>江苏省常州市新北区滨江经济开发区（春江镇）</t>
        </is>
      </c>
      <c r="I7" s="21" t="inlineStr">
        <is>
          <t>离子膜电解（烧碱 + 氯化苄等精细产品）</t>
        </is>
      </c>
      <c r="J7" s="21" t="inlineStr">
        <is>
          <t>烧碱 8 万吨/年</t>
        </is>
      </c>
      <c r="K7" s="21" t="inlineStr">
        <is>
          <t>兰陵牌 / 常化牌</t>
        </is>
      </c>
      <c r="L7" s="22" t="n">
        <v>84</v>
      </c>
      <c r="M7" s="23" t="inlineStr">
        <is>
          <t>B</t>
        </is>
      </c>
      <c r="N7" s="21" t="n">
        <v>5.2</v>
      </c>
      <c r="O7" s="21" t="n">
        <v>1.7</v>
      </c>
      <c r="P7" s="21" t="n">
        <v>3.06</v>
      </c>
      <c r="Q7" s="21" t="inlineStr">
        <is>
          <t>近场</t>
        </is>
      </c>
      <c r="R7" s="21" t="n">
        <v>99.3</v>
      </c>
      <c r="S7" s="21" t="inlineStr">
        <is>
          <t>A0/B2</t>
        </is>
      </c>
      <c r="T7" s="21" t="n">
        <v>3</v>
      </c>
      <c r="U7" s="21" t="inlineStr">
        <is>
          <t>园区内厂区近似，±2 km（门牌未取得）</t>
        </is>
      </c>
      <c r="V7" s="21" t="inlineStr">
        <is>
          <t>危化品罐车（约 3 km，园区内短驳）</t>
        </is>
      </c>
      <c r="W7" s="21" t="inlineStr">
        <is>
          <t>同园区首选：运距几乎可忽略，适合做 JIT 补货与应急；规模小，不宜作为唯一主供。</t>
        </is>
      </c>
    </row>
    <row r="8" ht="46" customHeight="1">
      <c r="A8" s="18" t="n">
        <v>5</v>
      </c>
      <c r="B8" s="18" t="inlineStr">
        <is>
          <t>浙江嘉化能源化工股份有限公司</t>
        </is>
      </c>
      <c r="C8" s="18" t="inlineStr">
        <is>
          <t>嘉化能源</t>
        </is>
      </c>
      <c r="D8" s="18" t="inlineStr">
        <is>
          <t>生产厂家</t>
        </is>
      </c>
      <c r="E8" s="18" t="inlineStr">
        <is>
          <t>生产厂家</t>
        </is>
      </c>
      <c r="F8" s="18" t="inlineStr">
        <is>
          <t>浙江省</t>
        </is>
      </c>
      <c r="G8" s="18" t="inlineStr">
        <is>
          <t>嘉兴市</t>
        </is>
      </c>
      <c r="H8" s="18" t="inlineStr">
        <is>
          <t>浙江省嘉兴市乍浦滨海大道 2288 号（中国化工新材料（嘉兴）园区）</t>
        </is>
      </c>
      <c r="I8" s="18" t="inlineStr">
        <is>
          <t>离子膜氯碱（配套热电联产与码头）</t>
        </is>
      </c>
      <c r="J8" s="18" t="inlineStr">
        <is>
          <t>氯碱装置在产；烧碱具体产能未在公开摘要中列明</t>
        </is>
      </c>
      <c r="K8" s="18" t="inlineStr">
        <is>
          <t>嘉化牌</t>
        </is>
      </c>
      <c r="L8" s="19" t="n">
        <v>74</v>
      </c>
      <c r="M8" s="23" t="inlineStr">
        <is>
          <t>B</t>
        </is>
      </c>
      <c r="N8" s="18" t="n">
        <v>218.9</v>
      </c>
      <c r="O8" s="18" t="n">
        <v>185.5</v>
      </c>
      <c r="P8" s="18" t="n">
        <v>1.18</v>
      </c>
      <c r="Q8" s="18" t="inlineStr">
        <is>
          <t>区域</t>
        </is>
      </c>
      <c r="R8" s="18" t="n">
        <v>72.3</v>
      </c>
      <c r="S8" s="18" t="inlineStr">
        <is>
          <t>A1/B0</t>
        </is>
      </c>
      <c r="T8" s="18" t="n">
        <v>3</v>
      </c>
      <c r="U8" s="18" t="inlineStr">
        <is>
          <t>园区厂区中心近似，±2 km</t>
        </is>
      </c>
      <c r="V8" s="18" t="inlineStr">
        <is>
          <t>危化品罐车（约 180 km）或水运至常州港</t>
        </is>
      </c>
      <c r="W8" s="18" t="inlineStr">
        <is>
          <t>列为二源候选：有码头与热电配套，成本结构可能优于内陆厂，但需先确认烧碱外销量。</t>
        </is>
      </c>
    </row>
    <row r="9" ht="46" customHeight="1">
      <c r="A9" s="21" t="n">
        <v>6</v>
      </c>
      <c r="B9" s="21" t="inlineStr">
        <is>
          <t>江苏索普（集团）有限公司</t>
        </is>
      </c>
      <c r="C9" s="21" t="inlineStr">
        <is>
          <t>江苏索普</t>
        </is>
      </c>
      <c r="D9" s="21" t="inlineStr">
        <is>
          <t>生产厂家</t>
        </is>
      </c>
      <c r="E9" s="21" t="inlineStr">
        <is>
          <t>生产厂家</t>
        </is>
      </c>
      <c r="F9" s="21" t="inlineStr">
        <is>
          <t>江苏省</t>
        </is>
      </c>
      <c r="G9" s="21" t="inlineStr">
        <is>
          <t>镇江市</t>
        </is>
      </c>
      <c r="H9" s="21" t="inlineStr">
        <is>
          <t>江苏省镇江市京口区求索路 101 号</t>
        </is>
      </c>
      <c r="I9" s="21" t="inlineStr">
        <is>
          <t>以醋酸、ADC 发泡剂为主；起家于氯碱（镇江化工厂）</t>
        </is>
      </c>
      <c r="J9" s="21" t="inlineStr">
        <is>
          <t>烧碱商品量未核实（现主业为醋酸及下游）</t>
        </is>
      </c>
      <c r="K9" s="21" t="inlineStr">
        <is>
          <t>索普（SOPO）</t>
        </is>
      </c>
      <c r="L9" s="22" t="n">
        <v>56</v>
      </c>
      <c r="M9" s="24" t="inlineStr">
        <is>
          <t>C</t>
        </is>
      </c>
      <c r="N9" s="21" t="n">
        <v>59.8</v>
      </c>
      <c r="O9" s="21" t="n">
        <v>49.7</v>
      </c>
      <c r="P9" s="21" t="n">
        <v>1.2</v>
      </c>
      <c r="Q9" s="21" t="inlineStr">
        <is>
          <t>近场</t>
        </is>
      </c>
      <c r="R9" s="21" t="n">
        <v>91.59999999999999</v>
      </c>
      <c r="S9" s="21" t="inlineStr">
        <is>
          <t>A0/B2</t>
        </is>
      </c>
      <c r="T9" s="21" t="n">
        <v>3</v>
      </c>
      <c r="U9" s="21" t="inlineStr">
        <is>
          <t>集团总部/厂区近似，±3 km</t>
        </is>
      </c>
      <c r="V9" s="21" t="inlineStr">
        <is>
          <t>若可供，罐车约 60 km</t>
        </is>
      </c>
      <c r="W9" s="21" t="inlineStr">
        <is>
          <t>仅作备选：先确认是否仍有商品液碱外销，否则不进入询价名单。保留此条是为了展示“近 ≠ 匹配”。</t>
        </is>
      </c>
    </row>
    <row r="10" ht="46" customHeight="1">
      <c r="A10" s="18" t="n">
        <v>7</v>
      </c>
      <c r="B10" s="18" t="inlineStr">
        <is>
          <t>滨化集团股份有限公司</t>
        </is>
      </c>
      <c r="C10" s="18" t="inlineStr">
        <is>
          <t>滨化股份</t>
        </is>
      </c>
      <c r="D10" s="18" t="inlineStr">
        <is>
          <t>生产厂家</t>
        </is>
      </c>
      <c r="E10" s="18" t="inlineStr">
        <is>
          <t>生产厂家</t>
        </is>
      </c>
      <c r="F10" s="18" t="inlineStr">
        <is>
          <t>山东省</t>
        </is>
      </c>
      <c r="G10" s="18" t="inlineStr">
        <is>
          <t>滨州市</t>
        </is>
      </c>
      <c r="H10" s="18" t="inlineStr">
        <is>
          <t>山东省滨州市滨城区（黄河三角洲，具体厂址未核实）</t>
        </is>
      </c>
      <c r="I10" s="18" t="inlineStr">
        <is>
          <t>氯碱（烧碱 + 环氧丙烷等）</t>
        </is>
      </c>
      <c r="J10" s="18" t="inlineStr">
        <is>
          <t>国内老牌氯碱龙头，烧碱具体产能未核实</t>
        </is>
      </c>
      <c r="K10" s="18" t="inlineStr">
        <is>
          <t>滨化牌</t>
        </is>
      </c>
      <c r="L10" s="19" t="n">
        <v>61</v>
      </c>
      <c r="M10" s="24" t="inlineStr">
        <is>
          <t>C</t>
        </is>
      </c>
      <c r="N10" s="18" t="n">
        <v>701.6</v>
      </c>
      <c r="O10" s="18" t="n">
        <v>628.1</v>
      </c>
      <c r="P10" s="18" t="n">
        <v>1.12</v>
      </c>
      <c r="Q10" s="18" t="inlineStr">
        <is>
          <t>远距</t>
        </is>
      </c>
      <c r="R10" s="18" t="n">
        <v>35.2</v>
      </c>
      <c r="S10" s="18" t="inlineStr">
        <is>
          <t>A0/B0</t>
        </is>
      </c>
      <c r="T10" s="18" t="n">
        <v>3</v>
      </c>
      <c r="U10" s="18" t="inlineStr">
        <is>
          <t>城市级坐标，±10 km（未取得厂址门牌）</t>
        </is>
      </c>
      <c r="V10" s="18" t="inlineStr">
        <is>
          <t>铁路/汽运均不经济；仅作行情参照</t>
        </is>
      </c>
      <c r="W10" s="18" t="inlineStr">
        <is>
          <t>不进入询价名单，仅用于判断山东与江苏的价差方向。</t>
        </is>
      </c>
    </row>
  </sheetData>
  <autoFilter ref="A3:W10"/>
  <mergeCells count="2">
    <mergeCell ref="A2:W2"/>
    <mergeCell ref="A1:W1"/>
  </mergeCells>
  <conditionalFormatting sqref="N4:N10">
    <cfRule type="dataBar" priority="1">
      <dataBar showValue="1">
        <cfvo type="num" val="0"/>
        <cfvo type="num" val="1200"/>
        <color rgb="001A5F9E"/>
      </dataBar>
    </cfRule>
  </conditionalFormatting>
  <conditionalFormatting sqref="R4:R10">
    <cfRule type="dataBar" priority="2">
      <dataBar showValue="1">
        <cfvo type="num" val="0"/>
        <cfvo type="num" val="100"/>
        <color rgb="000D7A6B"/>
      </dataBar>
    </cfRule>
  </conditionalFormatting>
  <conditionalFormatting sqref="T4:T10">
    <cfRule type="cellIs" priority="3" operator="greaterThanOrEqual" dxfId="0">
      <formula>3</formula>
    </cfRule>
  </conditionalFormatting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6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7" customWidth="1" min="9" max="9"/>
    <col width="6" customWidth="1" min="10" max="10"/>
    <col width="52" customWidth="1" min="11" max="11"/>
  </cols>
  <sheetData>
    <row r="1" ht="26" customHeight="1">
      <c r="A1" s="15" t="inlineStr">
        <is>
          <t>02 匹配度评分</t>
        </is>
      </c>
    </row>
    <row r="2" ht="17" customHeight="1">
      <c r="A2" s="16" t="inlineStr">
        <is>
          <t>满分 100；仓库/贸易主体在「产品符合」≤30、「供货能力」≤10；档位 A≥85 / B70–84 / C&lt;70</t>
        </is>
      </c>
    </row>
    <row r="3" ht="30" customHeight="1">
      <c r="A3" s="17" t="inlineStr">
        <is>
          <t>序号</t>
        </is>
      </c>
      <c r="B3" s="17" t="inlineStr">
        <is>
          <t>企业</t>
        </is>
      </c>
      <c r="C3" s="17" t="inlineStr">
        <is>
          <t>类型</t>
        </is>
      </c>
      <c r="D3" s="17" t="inlineStr">
        <is>
          <t>产品符合</t>
        </is>
      </c>
      <c r="E3" s="17" t="inlineStr">
        <is>
          <t>供货能力</t>
        </is>
      </c>
      <c r="F3" s="17" t="inlineStr">
        <is>
          <t>品质与牌号</t>
        </is>
      </c>
      <c r="G3" s="17" t="inlineStr">
        <is>
          <t>资质与证据</t>
        </is>
      </c>
      <c r="H3" s="17" t="inlineStr">
        <is>
          <t>交付模式</t>
        </is>
      </c>
      <c r="I3" s="17" t="inlineStr">
        <is>
          <t>合计</t>
        </is>
      </c>
      <c r="J3" s="17" t="inlineStr">
        <is>
          <t>档位</t>
        </is>
      </c>
      <c r="K3" s="17" t="inlineStr">
        <is>
          <t>说明</t>
        </is>
      </c>
    </row>
    <row r="4" ht="34" customHeight="1">
      <c r="A4" s="18" t="n">
        <v>1</v>
      </c>
      <c r="B4" s="18" t="inlineStr">
        <is>
          <t>新浦化学（泰兴）有限公司</t>
        </is>
      </c>
      <c r="C4" s="18" t="inlineStr">
        <is>
          <t>厂家</t>
        </is>
      </c>
      <c r="D4" s="18" t="n">
        <v>35</v>
      </c>
      <c r="E4" s="18" t="n">
        <v>20</v>
      </c>
      <c r="F4" s="18" t="n">
        <v>14</v>
      </c>
      <c r="G4" s="18" t="n">
        <v>14</v>
      </c>
      <c r="H4" s="18" t="n">
        <v>14</v>
      </c>
      <c r="I4" s="19" t="n">
        <v>97</v>
      </c>
      <c r="J4" s="20" t="inlineStr">
        <is>
          <t>A</t>
        </is>
      </c>
      <c r="K4" s="18" t="inlineStr">
        <is>
          <t>规模与出口检验记录支撑品质判断；跨江运输需过桥，实际里程高于直线</t>
        </is>
      </c>
    </row>
    <row r="5" ht="34" customHeight="1">
      <c r="A5" s="21" t="n">
        <v>2</v>
      </c>
      <c r="B5" s="21" t="inlineStr">
        <is>
          <t>中盐常州化工股份有限公司（金坛基地）</t>
        </is>
      </c>
      <c r="C5" s="21" t="inlineStr">
        <is>
          <t>厂家</t>
        </is>
      </c>
      <c r="D5" s="21" t="n">
        <v>33</v>
      </c>
      <c r="E5" s="21" t="n">
        <v>16</v>
      </c>
      <c r="F5" s="21" t="n">
        <v>12</v>
      </c>
      <c r="G5" s="21" t="n">
        <v>11</v>
      </c>
      <c r="H5" s="21" t="n">
        <v>13</v>
      </c>
      <c r="I5" s="22" t="n">
        <v>85</v>
      </c>
      <c r="J5" s="20" t="inlineStr">
        <is>
          <t>A</t>
        </is>
      </c>
      <c r="K5" s="21" t="inlineStr">
        <is>
          <t>产能口径与百科“30 万吨/年”存在差异，按招标文件分基地口径取低值</t>
        </is>
      </c>
    </row>
    <row r="6" ht="34" customHeight="1">
      <c r="A6" s="18" t="n">
        <v>3</v>
      </c>
      <c r="B6" s="18" t="inlineStr">
        <is>
          <t>上海氯碱化工股份有限公司（上海化学工业区基地）</t>
        </is>
      </c>
      <c r="C6" s="18" t="inlineStr">
        <is>
          <t>厂家</t>
        </is>
      </c>
      <c r="D6" s="18" t="n">
        <v>33</v>
      </c>
      <c r="E6" s="18" t="n">
        <v>15</v>
      </c>
      <c r="F6" s="18" t="n">
        <v>12</v>
      </c>
      <c r="G6" s="18" t="n">
        <v>12</v>
      </c>
      <c r="H6" s="18" t="n">
        <v>13</v>
      </c>
      <c r="I6" s="19" t="n">
        <v>85</v>
      </c>
      <c r="J6" s="20" t="inlineStr">
        <is>
          <t>A</t>
        </is>
      </c>
      <c r="K6" s="18" t="inlineStr">
        <is>
          <t>产能为历史口径，需以最新年报核实；上海方向危化品通行限制较多</t>
        </is>
      </c>
    </row>
    <row r="7" ht="34" customHeight="1">
      <c r="A7" s="21" t="n">
        <v>4</v>
      </c>
      <c r="B7" s="21" t="inlineStr">
        <is>
          <t>中盐常州化工股份有限公司（滨江基地）</t>
        </is>
      </c>
      <c r="C7" s="21" t="inlineStr">
        <is>
          <t>厂家</t>
        </is>
      </c>
      <c r="D7" s="21" t="n">
        <v>33</v>
      </c>
      <c r="E7" s="21" t="n">
        <v>14</v>
      </c>
      <c r="F7" s="21" t="n">
        <v>12</v>
      </c>
      <c r="G7" s="21" t="n">
        <v>11</v>
      </c>
      <c r="H7" s="21" t="n">
        <v>14</v>
      </c>
      <c r="I7" s="22" t="n">
        <v>84</v>
      </c>
      <c r="J7" s="23" t="inlineStr">
        <is>
          <t>B</t>
        </is>
      </c>
      <c r="K7" s="21" t="inlineStr">
        <is>
          <t>同园区，交付效率最高；但基地规模小，可供量需确认</t>
        </is>
      </c>
    </row>
    <row r="8" ht="34" customHeight="1">
      <c r="A8" s="18" t="n">
        <v>5</v>
      </c>
      <c r="B8" s="18" t="inlineStr">
        <is>
          <t>浙江嘉化能源化工股份有限公司</t>
        </is>
      </c>
      <c r="C8" s="18" t="inlineStr">
        <is>
          <t>厂家</t>
        </is>
      </c>
      <c r="D8" s="18" t="n">
        <v>30</v>
      </c>
      <c r="E8" s="18" t="n">
        <v>10</v>
      </c>
      <c r="F8" s="18" t="n">
        <v>10</v>
      </c>
      <c r="G8" s="18" t="n">
        <v>12</v>
      </c>
      <c r="H8" s="18" t="n">
        <v>12</v>
      </c>
      <c r="I8" s="19" t="n">
        <v>74</v>
      </c>
      <c r="J8" s="23" t="inlineStr">
        <is>
          <t>B</t>
        </is>
      </c>
      <c r="K8" s="18" t="inlineStr">
        <is>
          <t>上市公司（600273）在产可确认，但烧碱产能与商品量未核实，按保守原则打分</t>
        </is>
      </c>
    </row>
    <row r="9" ht="34" customHeight="1">
      <c r="A9" s="21" t="n">
        <v>6</v>
      </c>
      <c r="B9" s="21" t="inlineStr">
        <is>
          <t>江苏索普（集团）有限公司</t>
        </is>
      </c>
      <c r="C9" s="21" t="inlineStr">
        <is>
          <t>厂家</t>
        </is>
      </c>
      <c r="D9" s="21" t="n">
        <v>22</v>
      </c>
      <c r="E9" s="21" t="n">
        <v>8</v>
      </c>
      <c r="F9" s="21" t="n">
        <v>8</v>
      </c>
      <c r="G9" s="21" t="n">
        <v>8</v>
      </c>
      <c r="H9" s="21" t="n">
        <v>10</v>
      </c>
      <c r="I9" s="22" t="n">
        <v>56</v>
      </c>
      <c r="J9" s="24" t="inlineStr">
        <is>
          <t>C</t>
        </is>
      </c>
      <c r="K9" s="21" t="inlineStr">
        <is>
          <t>氯碱出身但现主业为醋酸，是否仍对外销售商品烧碱未核实——典型“近但不确定匹配”案例</t>
        </is>
      </c>
    </row>
    <row r="10" ht="34" customHeight="1">
      <c r="A10" s="18" t="n">
        <v>7</v>
      </c>
      <c r="B10" s="18" t="inlineStr">
        <is>
          <t>滨化集团股份有限公司</t>
        </is>
      </c>
      <c r="C10" s="18" t="inlineStr">
        <is>
          <t>厂家</t>
        </is>
      </c>
      <c r="D10" s="18" t="n">
        <v>28</v>
      </c>
      <c r="E10" s="18" t="n">
        <v>10</v>
      </c>
      <c r="F10" s="18" t="n">
        <v>8</v>
      </c>
      <c r="G10" s="18" t="n">
        <v>6</v>
      </c>
      <c r="H10" s="18" t="n">
        <v>9</v>
      </c>
      <c r="I10" s="19" t="n">
        <v>61</v>
      </c>
      <c r="J10" s="24" t="inlineStr">
        <is>
          <t>C</t>
        </is>
      </c>
      <c r="K10" s="18" t="inlineStr">
        <is>
          <t>仅有券商研报级证据，且运距 600 km 以上，对本地供应无实际意义</t>
        </is>
      </c>
    </row>
    <row r="12">
      <c r="A12" s="25" t="inlineStr">
        <is>
          <t>维度定义</t>
        </is>
      </c>
    </row>
    <row r="13">
      <c r="A13" s="26" t="inlineStr">
        <is>
          <t>产品符合</t>
        </is>
      </c>
      <c r="B13" s="27" t="n">
        <v>35</v>
      </c>
      <c r="C13" s="28" t="inlineStr">
        <is>
          <t>是否明确生产/供应 32% 离子膜液碱，而非片碱、50% 液碱或副产稀碱</t>
        </is>
      </c>
    </row>
    <row r="14">
      <c r="A14" s="26" t="inlineStr">
        <is>
          <t>供货能力</t>
        </is>
      </c>
      <c r="B14" s="27" t="n">
        <v>20</v>
      </c>
      <c r="C14" s="28" t="inlineStr">
        <is>
          <t>烧碱装置规模、单批 30 吨的连续发运能力、月度可供量</t>
        </is>
      </c>
    </row>
    <row r="15">
      <c r="A15" s="26" t="inlineStr">
        <is>
          <t>品质与牌号</t>
        </is>
      </c>
      <c r="B15" s="27" t="n">
        <v>15</v>
      </c>
      <c r="C15" s="28" t="inlineStr">
        <is>
          <t>离子膜法工艺、国标等级、第三方检测与出口检验记录</t>
        </is>
      </c>
    </row>
    <row r="16">
      <c r="A16" s="26" t="inlineStr">
        <is>
          <t>资质与证据</t>
        </is>
      </c>
      <c r="B16" s="27" t="n">
        <v>15</v>
      </c>
      <c r="C16" s="28" t="inlineStr">
        <is>
          <t>证据等级与条数（A 交易所/政府/年报 &gt; B 官网 &gt; C 媒体 &gt; D 名录）</t>
        </is>
      </c>
    </row>
    <row r="17">
      <c r="A17" s="26" t="inlineStr">
        <is>
          <t>交付模式</t>
        </is>
      </c>
      <c r="B17" s="27" t="n">
        <v>15</v>
      </c>
      <c r="C17" s="28" t="inlineStr">
        <is>
          <t>厂家直发罐车 &gt; 厂内装车点 &gt; 中转罐 &gt; 贸易转手</t>
        </is>
      </c>
    </row>
  </sheetData>
  <autoFilter ref="A3:K10"/>
  <mergeCells count="8">
    <mergeCell ref="C16:K16"/>
    <mergeCell ref="C15:K15"/>
    <mergeCell ref="A12:K12"/>
    <mergeCell ref="C14:K14"/>
    <mergeCell ref="C13:K13"/>
    <mergeCell ref="A2:K2"/>
    <mergeCell ref="C17:K17"/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I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2" customWidth="1" min="2" max="2"/>
    <col width="6" customWidth="1" min="3" max="3"/>
    <col width="12" customWidth="1" min="4" max="4"/>
    <col width="11" customWidth="1" min="5" max="5"/>
    <col width="56" customWidth="1" min="6" max="6"/>
    <col width="26" customWidth="1" min="7" max="7"/>
    <col width="30" customWidth="1" min="8" max="8"/>
    <col width="34" customWidth="1" min="9" max="9"/>
  </cols>
  <sheetData>
    <row r="1" ht="26" customHeight="1">
      <c r="A1" s="15" t="inlineStr">
        <is>
          <t>03 证据链</t>
        </is>
      </c>
    </row>
    <row r="2" ht="17" customHeight="1">
      <c r="A2" s="16" t="inlineStr">
        <is>
          <t>A 交易所/政府/上市公司年报　B 企业官网与公告　C 媒体/百科/研报　D 名录与摘要（仅线索）</t>
        </is>
      </c>
    </row>
    <row r="3" ht="30" customHeight="1">
      <c r="A3" s="17" t="inlineStr">
        <is>
          <t>序号</t>
        </is>
      </c>
      <c r="B3" s="17" t="inlineStr">
        <is>
          <t>企业</t>
        </is>
      </c>
      <c r="C3" s="17" t="inlineStr">
        <is>
          <t>级别</t>
        </is>
      </c>
      <c r="D3" s="17" t="inlineStr">
        <is>
          <t>类型</t>
        </is>
      </c>
      <c r="E3" s="17" t="inlineStr">
        <is>
          <t>日期</t>
        </is>
      </c>
      <c r="F3" s="17" t="inlineStr">
        <is>
          <t>事实（claim）</t>
        </is>
      </c>
      <c r="G3" s="17" t="inlineStr">
        <is>
          <t>来源</t>
        </is>
      </c>
      <c r="H3" s="17" t="inlineStr">
        <is>
          <t>链接</t>
        </is>
      </c>
      <c r="I3" s="17" t="inlineStr">
        <is>
          <t>支撑结论</t>
        </is>
      </c>
    </row>
    <row r="4" ht="40" customHeight="1">
      <c r="A4" s="18" t="n">
        <v>1</v>
      </c>
      <c r="B4" s="18" t="inlineStr">
        <is>
          <t>新浦化学</t>
        </is>
      </c>
      <c r="C4" s="29" t="inlineStr">
        <is>
          <t>B</t>
        </is>
      </c>
      <c r="D4" s="18" t="inlineStr">
        <is>
          <t>产能数字</t>
        </is>
      </c>
      <c r="E4" s="18" t="inlineStr">
        <is>
          <t>2026</t>
        </is>
      </c>
      <c r="F4" s="18" t="inlineStr">
        <is>
          <t>公司位于泰兴经济开发区疏港路 1 号，现有年产 75 万吨离子膜烧碱装置</t>
        </is>
      </c>
      <c r="G4" s="18" t="inlineStr">
        <is>
          <t>新浦化学（泰兴）· 公司简介</t>
        </is>
      </c>
      <c r="H4" s="30" t="inlineStr">
        <is>
          <t>https://www.spchemicals.com.cn/about.html</t>
        </is>
      </c>
      <c r="I4" s="18" t="inlineStr">
        <is>
          <t>在产规模与工艺路线</t>
        </is>
      </c>
    </row>
    <row r="5" ht="40" customHeight="1">
      <c r="A5" s="21" t="n">
        <v>2</v>
      </c>
      <c r="B5" s="21" t="inlineStr">
        <is>
          <t>新浦化学</t>
        </is>
      </c>
      <c r="C5" s="29" t="inlineStr">
        <is>
          <t>B</t>
        </is>
      </c>
      <c r="D5" s="21" t="inlineStr">
        <is>
          <t>产能数字</t>
        </is>
      </c>
      <c r="E5" s="21" t="inlineStr">
        <is>
          <t>2025</t>
        </is>
      </c>
      <c r="F5" s="21" t="inlineStr">
        <is>
          <t>2024 年新浦化学烧碱出口总量约 60 万吨，占全国出口总量约 15%</t>
        </is>
      </c>
      <c r="G5" s="21" t="inlineStr">
        <is>
          <t>新华日报 · 江苏泰兴“转身向海”拓市场</t>
        </is>
      </c>
      <c r="H5" s="31" t="inlineStr">
        <is>
          <t>https://www.xhby.net/content/s67a5f40fe4b0a731ead751e5.html</t>
        </is>
      </c>
      <c r="I5" s="21" t="inlineStr">
        <is>
          <t>实际产销与出口检验能力</t>
        </is>
      </c>
    </row>
    <row r="6" ht="40" customHeight="1">
      <c r="A6" s="18" t="n">
        <v>3</v>
      </c>
      <c r="B6" s="18" t="inlineStr">
        <is>
          <t>新浦化学</t>
        </is>
      </c>
      <c r="C6" s="29" t="inlineStr">
        <is>
          <t>B</t>
        </is>
      </c>
      <c r="D6" s="18" t="inlineStr">
        <is>
          <t>生产事实</t>
        </is>
      </c>
      <c r="E6" s="18" t="inlineStr">
        <is>
          <t>—</t>
        </is>
      </c>
      <c r="F6" s="18" t="inlineStr">
        <is>
          <t>烧碱四期 DCS 由横河电机完成改造，装置为离子膜工艺</t>
        </is>
      </c>
      <c r="G6" s="18" t="inlineStr">
        <is>
          <t>横河电机（中国）· 新浦化学案例</t>
        </is>
      </c>
      <c r="H6" s="30" t="inlineStr">
        <is>
          <t>https://www.yokogawa.com/cn/library/resources/references/spchemicals-taixing/</t>
        </is>
      </c>
      <c r="I6" s="18" t="inlineStr">
        <is>
          <t>工艺与自动化水平</t>
        </is>
      </c>
    </row>
    <row r="7" ht="40" customHeight="1">
      <c r="A7" s="21" t="n">
        <v>4</v>
      </c>
      <c r="B7" s="21" t="inlineStr">
        <is>
          <t>中盐常州·金坛</t>
        </is>
      </c>
      <c r="C7" s="29" t="inlineStr">
        <is>
          <t>B</t>
        </is>
      </c>
      <c r="D7" s="21" t="inlineStr">
        <is>
          <t>产能数字</t>
        </is>
      </c>
      <c r="E7" s="21" t="inlineStr">
        <is>
          <t>2026</t>
        </is>
      </c>
      <c r="F7" s="21" t="inlineStr">
        <is>
          <t>中盐常州化工在常州滨江经济开发区设有全资子公司，形成金坛与滨江两个生产基地；金坛基地烧碱 18 万吨/年、滨江基地 8 万吨/年</t>
        </is>
      </c>
      <c r="G7" s="21" t="inlineStr">
        <is>
          <t>中国通用招标网 · 中盐常州化工企业概况</t>
        </is>
      </c>
      <c r="H7" s="31" t="inlineStr">
        <is>
          <t>https://www.china-tender.com.cn/zbgc/26840.jhtml</t>
        </is>
      </c>
      <c r="I7" s="21" t="inlineStr">
        <is>
          <t>两个基地的烧碱规模与地址</t>
        </is>
      </c>
    </row>
    <row r="8" ht="40" customHeight="1">
      <c r="A8" s="18" t="n">
        <v>5</v>
      </c>
      <c r="B8" s="18" t="inlineStr">
        <is>
          <t>中盐常州·金坛</t>
        </is>
      </c>
      <c r="C8" s="29" t="inlineStr">
        <is>
          <t>B</t>
        </is>
      </c>
      <c r="D8" s="18" t="inlineStr">
        <is>
          <t>生产事实</t>
        </is>
      </c>
      <c r="E8" s="18" t="inlineStr">
        <is>
          <t>2026</t>
        </is>
      </c>
      <c r="F8" s="18" t="inlineStr">
        <is>
          <t>公司主营业务为氯碱产品，生产经营烧碱、液氯、盐酸、双氧水等，拥有兰陵、常化等商标</t>
        </is>
      </c>
      <c r="G8" s="18" t="inlineStr">
        <is>
          <t>科创中国 · 中盐常州化工机构主页</t>
        </is>
      </c>
      <c r="H8" s="30" t="inlineStr">
        <is>
          <t>https://www.kczg.org.cn/org/orgdetail?id=304098</t>
        </is>
      </c>
      <c r="I8" s="18" t="inlineStr">
        <is>
          <t>在产与产品结构</t>
        </is>
      </c>
    </row>
    <row r="9" ht="40" customHeight="1">
      <c r="A9" s="21" t="n">
        <v>6</v>
      </c>
      <c r="B9" s="21" t="inlineStr">
        <is>
          <t>中盐常州·金坛</t>
        </is>
      </c>
      <c r="C9" s="32" t="inlineStr">
        <is>
          <t>C</t>
        </is>
      </c>
      <c r="D9" s="21" t="inlineStr">
        <is>
          <t>产能数字</t>
        </is>
      </c>
      <c r="E9" s="21" t="inlineStr">
        <is>
          <t>2026</t>
        </is>
      </c>
      <c r="F9" s="21" t="inlineStr">
        <is>
          <t>公司拥有 30 万 t/a 烧碱、28 万 t/a 聚氯乙烯树脂产能（口径与分基地数据不一致）</t>
        </is>
      </c>
      <c r="G9" s="21" t="inlineStr">
        <is>
          <t>百度百科 · 中盐常州化工股份有限公司</t>
        </is>
      </c>
      <c r="H9" s="31" t="inlineStr">
        <is>
          <t>https://baike.baidu.com/item/%E4%B8%AD%E7%9B%90%E5%B8%B8%E5%B7%9E%E5%8C%96%E5%B7%A5%E8%82%A1%E4%BB%BD%E6%9C%89%E9%99%90%E5%85%AC%E5%8F%B8/10799794</t>
        </is>
      </c>
      <c r="I9" s="21" t="inlineStr">
        <is>
          <t>产能口径存在分歧，需向企业核实</t>
        </is>
      </c>
    </row>
    <row r="10" ht="40" customHeight="1">
      <c r="A10" s="18" t="n">
        <v>7</v>
      </c>
      <c r="B10" s="18" t="inlineStr">
        <is>
          <t>上海氯碱</t>
        </is>
      </c>
      <c r="C10" s="33" t="inlineStr">
        <is>
          <t>A</t>
        </is>
      </c>
      <c r="D10" s="18" t="inlineStr">
        <is>
          <t>生产事实</t>
        </is>
      </c>
      <c r="E10" s="18" t="inlineStr">
        <is>
          <t>2025-04</t>
        </is>
      </c>
      <c r="F10" s="18" t="inlineStr">
        <is>
          <t>2024 年年度报告确认公司主营烧碱、聚氯乙烯、氯系列等基础化工原料</t>
        </is>
      </c>
      <c r="G10" s="18" t="inlineStr">
        <is>
          <t>上海氯碱化工 2024 年年度报告（上交所）</t>
        </is>
      </c>
      <c r="H10" s="30" t="inlineStr">
        <is>
          <t>http://file.finance.sina.com.cn/211.154.219.97:9494/MRGG/CNSESH_STOCK/2025/2025-4/2025-04-15/10871533.PDF</t>
        </is>
      </c>
      <c r="I10" s="18" t="inlineStr">
        <is>
          <t>在产与主营结构（监管披露口径）</t>
        </is>
      </c>
    </row>
    <row r="11" ht="40" customHeight="1">
      <c r="A11" s="21" t="n">
        <v>8</v>
      </c>
      <c r="B11" s="21" t="inlineStr">
        <is>
          <t>上海氯碱</t>
        </is>
      </c>
      <c r="C11" s="32" t="inlineStr">
        <is>
          <t>C</t>
        </is>
      </c>
      <c r="D11" s="21" t="inlineStr">
        <is>
          <t>产能数字</t>
        </is>
      </c>
      <c r="E11" s="21" t="inlineStr">
        <is>
          <t>2026</t>
        </is>
      </c>
      <c r="F11" s="21" t="inlineStr">
        <is>
          <t>公司在上海化学工业区与广西钦州设有生产基地，烧碱、PVC 产能位居国内前列</t>
        </is>
      </c>
      <c r="G11" s="21" t="inlineStr">
        <is>
          <t>百度百科 · 上海氯碱化工股份有限公司</t>
        </is>
      </c>
      <c r="H11" s="31" t="inlineStr">
        <is>
          <t>https://baike.baidu.com/item/%E4%B8%8A%E6%B5%B7%E6%B0%AF%E7%A2%B1%E5%8C%96%E5%B7%A5%E8%82%A1%E4%BB%BD%E6%9C%89%E9%99%90%E5%85%AC%E5%8F%B8/7014044</t>
        </is>
      </c>
      <c r="I11" s="21" t="inlineStr">
        <is>
          <t>基地分布</t>
        </is>
      </c>
    </row>
    <row r="12" ht="40" customHeight="1">
      <c r="A12" s="18" t="n">
        <v>9</v>
      </c>
      <c r="B12" s="18" t="inlineStr">
        <is>
          <t>上海氯碱</t>
        </is>
      </c>
      <c r="C12" s="32" t="inlineStr">
        <is>
          <t>C</t>
        </is>
      </c>
      <c r="D12" s="18" t="inlineStr">
        <is>
          <t>产能数字</t>
        </is>
      </c>
      <c r="E12" s="18" t="inlineStr">
        <is>
          <t>—</t>
        </is>
      </c>
      <c r="F12" s="18" t="inlineStr">
        <is>
          <t>公司烧碱年产能力曾达 35 万吨，另有 PVC 30 万吨、盐酸 25 万吨</t>
        </is>
      </c>
      <c r="G12" s="18" t="inlineStr">
        <is>
          <t>中国聚合物网 · 上海氯碱化工企业介绍</t>
        </is>
      </c>
      <c r="H12" s="30" t="inlineStr">
        <is>
          <t>http://www.polymer.cn/resource/13480resource.html</t>
        </is>
      </c>
      <c r="I12" s="18" t="inlineStr">
        <is>
          <t>产能量级参考（需以年报更新）</t>
        </is>
      </c>
    </row>
    <row r="13" ht="40" customHeight="1">
      <c r="A13" s="21" t="n">
        <v>10</v>
      </c>
      <c r="B13" s="21" t="inlineStr">
        <is>
          <t>中盐常州·滨江</t>
        </is>
      </c>
      <c r="C13" s="29" t="inlineStr">
        <is>
          <t>B</t>
        </is>
      </c>
      <c r="D13" s="21" t="inlineStr">
        <is>
          <t>产能数字</t>
        </is>
      </c>
      <c r="E13" s="21" t="inlineStr">
        <is>
          <t>2026</t>
        </is>
      </c>
      <c r="F13" s="21" t="inlineStr">
        <is>
          <t>滨江基地烧碱产能 8 万吨/年，另有邻对氯甲苯、氯化苄等装置</t>
        </is>
      </c>
      <c r="G13" s="21" t="inlineStr">
        <is>
          <t>中国通用招标网 · 中盐常州化工企业概况</t>
        </is>
      </c>
      <c r="H13" s="31" t="inlineStr">
        <is>
          <t>https://www.china-tender.com.cn/zbgc/26840.jhtml</t>
        </is>
      </c>
      <c r="I13" s="21" t="inlineStr">
        <is>
          <t>基地在产与规模</t>
        </is>
      </c>
    </row>
    <row r="14" ht="40" customHeight="1">
      <c r="A14" s="18" t="n">
        <v>11</v>
      </c>
      <c r="B14" s="18" t="inlineStr">
        <is>
          <t>中盐常州·滨江</t>
        </is>
      </c>
      <c r="C14" s="29" t="inlineStr">
        <is>
          <t>B</t>
        </is>
      </c>
      <c r="D14" s="18" t="inlineStr">
        <is>
          <t>生产事实</t>
        </is>
      </c>
      <c r="E14" s="18" t="inlineStr">
        <is>
          <t>2026</t>
        </is>
      </c>
      <c r="F14" s="18" t="inlineStr">
        <is>
          <t>公司由中盐总公司 2010 年重组设立，氯碱为主业，产品含烧碱、液氯、盐酸</t>
        </is>
      </c>
      <c r="G14" s="18" t="inlineStr">
        <is>
          <t>科创中国 · 中盐常州化工机构主页</t>
        </is>
      </c>
      <c r="H14" s="30" t="inlineStr">
        <is>
          <t>https://www.kczg.org.cn/org/orgdetail?id=304098</t>
        </is>
      </c>
      <c r="I14" s="18" t="inlineStr">
        <is>
          <t>在产与产品结构</t>
        </is>
      </c>
    </row>
    <row r="15" ht="40" customHeight="1">
      <c r="A15" s="21" t="n">
        <v>12</v>
      </c>
      <c r="B15" s="21" t="inlineStr">
        <is>
          <t>嘉化能源</t>
        </is>
      </c>
      <c r="C15" s="33" t="inlineStr">
        <is>
          <t>A</t>
        </is>
      </c>
      <c r="D15" s="21" t="inlineStr">
        <is>
          <t>生产事实</t>
        </is>
      </c>
      <c r="E15" s="21" t="inlineStr">
        <is>
          <t>2026-04</t>
        </is>
      </c>
      <c r="F15" s="21" t="inlineStr">
        <is>
          <t>2025 年年度报告确认公司主要产品包括氯碱、聚氯乙烯、脂肪醇（酸）、蒸汽等，基地位于嘉兴乍浦</t>
        </is>
      </c>
      <c r="G15" s="21" t="inlineStr">
        <is>
          <t>嘉化能源 2025 年年度报告（上交所）</t>
        </is>
      </c>
      <c r="H15" s="31" t="inlineStr">
        <is>
          <t>https://static.cninfo.com.cn/finalpage/2026-04-10/1225089985.PDF</t>
        </is>
      </c>
      <c r="I15" s="21" t="inlineStr">
        <is>
          <t>在产与产品结构（监管披露口径）</t>
        </is>
      </c>
    </row>
    <row r="16" ht="40" customHeight="1">
      <c r="A16" s="18" t="n">
        <v>13</v>
      </c>
      <c r="B16" s="18" t="inlineStr">
        <is>
          <t>嘉化能源</t>
        </is>
      </c>
      <c r="C16" s="32" t="inlineStr">
        <is>
          <t>C</t>
        </is>
      </c>
      <c r="D16" s="18" t="inlineStr">
        <is>
          <t>生产事实</t>
        </is>
      </c>
      <c r="E16" s="18" t="inlineStr">
        <is>
          <t>2026</t>
        </is>
      </c>
      <c r="F16" s="18" t="inlineStr">
        <is>
          <t>公司位于嘉兴市乍浦滨海大道 2288 号的国家级化工新材料园区，主营含氯碱系列</t>
        </is>
      </c>
      <c r="G16" s="18" t="inlineStr">
        <is>
          <t>百度百科 · 浙江嘉化能源化工股份有限公司</t>
        </is>
      </c>
      <c r="H16" s="30" t="inlineStr">
        <is>
          <t>https://baike.baidu.com/item/%E6%B5%99%E6%B1%9F%E5%98%89%E5%8C%96%E8%83%BD%E6%BA%90%E5%8C%96%E5%B7%A5%E8%82%A1%E4%BB%BD%E6%9C%89%E9%99%90%E5%85%AC%E5%8F%B8/16408198</t>
        </is>
      </c>
      <c r="I16" s="18" t="inlineStr">
        <is>
          <t>地址与产品线</t>
        </is>
      </c>
    </row>
    <row r="17" ht="40" customHeight="1">
      <c r="A17" s="21" t="n">
        <v>14</v>
      </c>
      <c r="B17" s="21" t="inlineStr">
        <is>
          <t>江苏索普</t>
        </is>
      </c>
      <c r="C17" s="29" t="inlineStr">
        <is>
          <t>B</t>
        </is>
      </c>
      <c r="D17" s="21" t="inlineStr">
        <is>
          <t>生产事实</t>
        </is>
      </c>
      <c r="E17" s="21" t="inlineStr">
        <is>
          <t>2026</t>
        </is>
      </c>
      <c r="F17" s="21" t="inlineStr">
        <is>
          <t>集团地址为镇江市京口区求索路 101 号，前身为 1958 年创建的镇江化工厂</t>
        </is>
      </c>
      <c r="G17" s="21" t="inlineStr">
        <is>
          <t>江苏索普（集团）官网 · 联系我们</t>
        </is>
      </c>
      <c r="H17" s="31" t="inlineStr">
        <is>
          <t>http://www.sopo.com.cn/list/index/id/91-93-2/m/Home/p/25.html</t>
        </is>
      </c>
      <c r="I17" s="21" t="inlineStr">
        <is>
          <t>地址与历史沿革</t>
        </is>
      </c>
    </row>
    <row r="18" ht="40" customHeight="1">
      <c r="A18" s="18" t="n">
        <v>15</v>
      </c>
      <c r="B18" s="18" t="inlineStr">
        <is>
          <t>江苏索普</t>
        </is>
      </c>
      <c r="C18" s="29" t="inlineStr">
        <is>
          <t>B</t>
        </is>
      </c>
      <c r="D18" s="18" t="inlineStr">
        <is>
          <t>生产事实</t>
        </is>
      </c>
      <c r="E18" s="18" t="inlineStr">
        <is>
          <t>2018</t>
        </is>
      </c>
      <c r="F18" s="18" t="inlineStr">
        <is>
          <t>索普从仅有几十人、生产烧碱的小厂成长为化工行业企业，现以醋酸为主业</t>
        </is>
      </c>
      <c r="G18" s="18" t="inlineStr">
        <is>
          <t>国务院国资委 · 江苏索普集团：打好技改与绿色两张王牌</t>
        </is>
      </c>
      <c r="H18" s="30" t="inlineStr">
        <is>
          <t>http://www.sasac.gov.cn/n2588025/n2588129/c9725244/content.html</t>
        </is>
      </c>
      <c r="I18" s="18" t="inlineStr">
        <is>
          <t>氯碱起源，但主业已转移</t>
        </is>
      </c>
    </row>
    <row r="19" ht="40" customHeight="1">
      <c r="A19" s="21" t="n">
        <v>16</v>
      </c>
      <c r="B19" s="21" t="inlineStr">
        <is>
          <t>滨化股份</t>
        </is>
      </c>
      <c r="C19" s="32" t="inlineStr">
        <is>
          <t>C</t>
        </is>
      </c>
      <c r="D19" s="21" t="inlineStr">
        <is>
          <t>产能数字</t>
        </is>
      </c>
      <c r="E19" s="21" t="inlineStr">
        <is>
          <t>2026-05</t>
        </is>
      </c>
      <c r="F19" s="21" t="inlineStr">
        <is>
          <t>公司为国内老牌氯碱化工龙头，传统氯碱业务为业绩“压舱石”</t>
        </is>
      </c>
      <c r="G19" s="21" t="inlineStr">
        <is>
          <t>开源证券 · 滨化股份深度报告（券商研报）</t>
        </is>
      </c>
      <c r="H19" s="31" t="inlineStr">
        <is>
          <t>https://pdf.dfcfw.com/pdf/H3_AP202605291823018596_1.pdf</t>
        </is>
      </c>
      <c r="I19" s="21" t="inlineStr">
        <is>
          <t>行业地位（仅线索，未取得企业或监管原文）</t>
        </is>
      </c>
    </row>
  </sheetData>
  <autoFilter ref="A3:I19"/>
  <mergeCells count="2">
    <mergeCell ref="A1:I1"/>
    <mergeCell ref="A2:I2"/>
  </mergeCells>
  <hyperlinks>
    <hyperlink xmlns:r="http://schemas.openxmlformats.org/officeDocument/2006/relationships" ref="H4" r:id="rId1"/>
    <hyperlink xmlns:r="http://schemas.openxmlformats.org/officeDocument/2006/relationships" ref="H5" r:id="rId2"/>
    <hyperlink xmlns:r="http://schemas.openxmlformats.org/officeDocument/2006/relationships" ref="H6" r:id="rId3"/>
    <hyperlink xmlns:r="http://schemas.openxmlformats.org/officeDocument/2006/relationships" ref="H7" r:id="rId4"/>
    <hyperlink xmlns:r="http://schemas.openxmlformats.org/officeDocument/2006/relationships" ref="H8" r:id="rId5"/>
    <hyperlink xmlns:r="http://schemas.openxmlformats.org/officeDocument/2006/relationships" ref="H9" r:id="rId6"/>
    <hyperlink xmlns:r="http://schemas.openxmlformats.org/officeDocument/2006/relationships" ref="H10" r:id="rId7"/>
    <hyperlink xmlns:r="http://schemas.openxmlformats.org/officeDocument/2006/relationships" ref="H11" r:id="rId8"/>
    <hyperlink xmlns:r="http://schemas.openxmlformats.org/officeDocument/2006/relationships" ref="H12" r:id="rId9"/>
    <hyperlink xmlns:r="http://schemas.openxmlformats.org/officeDocument/2006/relationships" ref="H13" r:id="rId10"/>
    <hyperlink xmlns:r="http://schemas.openxmlformats.org/officeDocument/2006/relationships" ref="H14" r:id="rId11"/>
    <hyperlink xmlns:r="http://schemas.openxmlformats.org/officeDocument/2006/relationships" ref="H15" r:id="rId12"/>
    <hyperlink xmlns:r="http://schemas.openxmlformats.org/officeDocument/2006/relationships" ref="H16" r:id="rId13"/>
    <hyperlink xmlns:r="http://schemas.openxmlformats.org/officeDocument/2006/relationships" ref="H17" r:id="rId14"/>
    <hyperlink xmlns:r="http://schemas.openxmlformats.org/officeDocument/2006/relationships" ref="H18" r:id="rId15"/>
    <hyperlink xmlns:r="http://schemas.openxmlformats.org/officeDocument/2006/relationships" ref="H19" r:id="rId16"/>
  </hyperlinks>
  <pageMargins left="0.75" right="0.75" top="1" bottom="1" header="0.5" footer="0.5"/>
  <pageSetup orientation="landscape" fitToWidth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2" customWidth="1" min="2" max="2"/>
    <col width="26" customWidth="1" min="3" max="3"/>
    <col width="34" customWidth="1" min="4" max="4"/>
    <col width="9" customWidth="1" min="5" max="5"/>
    <col width="9" customWidth="1" min="6" max="6"/>
    <col width="9" customWidth="1" min="7" max="7"/>
    <col width="8" customWidth="1" min="8" max="8"/>
    <col width="12" customWidth="1" min="9" max="9"/>
    <col width="22" customWidth="1" min="10" max="10"/>
    <col width="26" customWidth="1" min="11" max="11"/>
  </cols>
  <sheetData>
    <row r="1" ht="26" customHeight="1">
      <c r="A1" s="15" t="inlineStr">
        <is>
          <t>04 距离测算</t>
        </is>
      </c>
    </row>
    <row r="2" ht="17" customHeight="1">
      <c r="A2" s="16" t="inlineStr">
        <is>
          <t>公路里程为 OSRM 路网规划结果；标“估算”者为直线×系数，不可当路径结果引用</t>
        </is>
      </c>
    </row>
    <row r="3" ht="30" customHeight="1">
      <c r="A3" s="17" t="inlineStr">
        <is>
          <t>序号</t>
        </is>
      </c>
      <c r="B3" s="17" t="inlineStr">
        <is>
          <t>企业</t>
        </is>
      </c>
      <c r="C3" s="17" t="inlineStr">
        <is>
          <t>起点</t>
        </is>
      </c>
      <c r="D3" s="17" t="inlineStr">
        <is>
          <t>终点</t>
        </is>
      </c>
      <c r="E3" s="17" t="inlineStr">
        <is>
          <t>直线 km</t>
        </is>
      </c>
      <c r="F3" s="17" t="inlineStr">
        <is>
          <t>公路 km</t>
        </is>
      </c>
      <c r="G3" s="17" t="inlineStr">
        <is>
          <t>绕行系数</t>
        </is>
      </c>
      <c r="H3" s="17" t="inlineStr">
        <is>
          <t>在途 h</t>
        </is>
      </c>
      <c r="I3" s="17" t="inlineStr">
        <is>
          <t>数据来源</t>
        </is>
      </c>
      <c r="J3" s="17" t="inlineStr">
        <is>
          <t>坐标精度</t>
        </is>
      </c>
      <c r="K3" s="17" t="inlineStr">
        <is>
          <t>备注</t>
        </is>
      </c>
    </row>
    <row r="4" ht="32" customHeight="1">
      <c r="A4" s="18" t="n">
        <v>1</v>
      </c>
      <c r="B4" s="18" t="inlineStr">
        <is>
          <t>新浦化学</t>
        </is>
      </c>
      <c r="C4" s="18" t="inlineStr">
        <is>
          <t>江苏省常州市新北区春江镇 · 滨江经济开发区（化工园区）</t>
        </is>
      </c>
      <c r="D4" s="18" t="inlineStr">
        <is>
          <t>江苏省泰州市泰兴经济开发区疏港路 1 号</t>
        </is>
      </c>
      <c r="E4" s="18" t="n">
        <v>24.6</v>
      </c>
      <c r="F4" s="18" t="n">
        <v>34</v>
      </c>
      <c r="G4" s="18" t="n">
        <v>1.38</v>
      </c>
      <c r="H4" s="18" t="n">
        <v>0.58</v>
      </c>
      <c r="I4" s="18" t="inlineStr">
        <is>
          <t>OSRM 路径</t>
        </is>
      </c>
      <c r="J4" s="18" t="inlineStr">
        <is>
          <t>园区厂区中心近似，±2 km</t>
        </is>
      </c>
      <c r="K4" s="18" t="inlineStr"/>
    </row>
    <row r="5" ht="32" customHeight="1">
      <c r="A5" s="21" t="n">
        <v>2</v>
      </c>
      <c r="B5" s="21" t="inlineStr">
        <is>
          <t>中盐常州·金坛</t>
        </is>
      </c>
      <c r="C5" s="21" t="inlineStr">
        <is>
          <t>江苏省常州市新北区春江镇 · 滨江经济开发区（化工园区）</t>
        </is>
      </c>
      <c r="D5" s="21" t="inlineStr">
        <is>
          <t>江苏省常州市金坛区经济开发区建材路 18 号</t>
        </is>
      </c>
      <c r="E5" s="21" t="n">
        <v>40.5</v>
      </c>
      <c r="F5" s="21" t="n">
        <v>57.2</v>
      </c>
      <c r="G5" s="21" t="n">
        <v>1.41</v>
      </c>
      <c r="H5" s="21" t="n">
        <v>0.76</v>
      </c>
      <c r="I5" s="21" t="inlineStr">
        <is>
          <t>OSRM 路径</t>
        </is>
      </c>
      <c r="J5" s="21" t="inlineStr">
        <is>
          <t>园区厂区中心近似，±2 km</t>
        </is>
      </c>
      <c r="K5" s="21" t="inlineStr"/>
    </row>
    <row r="6" ht="32" customHeight="1">
      <c r="A6" s="18" t="n">
        <v>3</v>
      </c>
      <c r="B6" s="18" t="inlineStr">
        <is>
          <t>上海氯碱</t>
        </is>
      </c>
      <c r="C6" s="18" t="inlineStr">
        <is>
          <t>江苏省常州市新北区春江镇 · 滨江经济开发区（化工园区）</t>
        </is>
      </c>
      <c r="D6" s="18" t="inlineStr">
        <is>
          <t>上海市金山区上海化学工业区（漕泾）</t>
        </is>
      </c>
      <c r="E6" s="18" t="n">
        <v>191.5</v>
      </c>
      <c r="F6" s="18" t="n">
        <v>229.8</v>
      </c>
      <c r="G6" s="18" t="n">
        <v>1.2</v>
      </c>
      <c r="H6" s="18" t="n">
        <v>2.64</v>
      </c>
      <c r="I6" s="18" t="inlineStr">
        <is>
          <t>OSRM 路径</t>
        </is>
      </c>
      <c r="J6" s="18" t="inlineStr">
        <is>
          <t>化工区基地近似，±3 km（吴泾基地另有装置，未计入）</t>
        </is>
      </c>
      <c r="K6" s="18" t="inlineStr"/>
    </row>
    <row r="7" ht="32" customHeight="1">
      <c r="A7" s="21" t="n">
        <v>4</v>
      </c>
      <c r="B7" s="21" t="inlineStr">
        <is>
          <t>中盐常州·滨江</t>
        </is>
      </c>
      <c r="C7" s="21" t="inlineStr">
        <is>
          <t>江苏省常州市新北区春江镇 · 滨江经济开发区（化工园区）</t>
        </is>
      </c>
      <c r="D7" s="21" t="inlineStr">
        <is>
          <t>江苏省常州市新北区滨江经济开发区（春江镇）</t>
        </is>
      </c>
      <c r="E7" s="21" t="n">
        <v>1.7</v>
      </c>
      <c r="F7" s="21" t="n">
        <v>5.2</v>
      </c>
      <c r="G7" s="21" t="n">
        <v>3.06</v>
      </c>
      <c r="H7" s="21" t="n">
        <v>0.09</v>
      </c>
      <c r="I7" s="21" t="inlineStr">
        <is>
          <t>OSRM 路径</t>
        </is>
      </c>
      <c r="J7" s="21" t="inlineStr">
        <is>
          <t>园区内厂区近似，±2 km（门牌未取得）</t>
        </is>
      </c>
      <c r="K7" s="21" t="inlineStr">
        <is>
          <t>起终点同在园区范围内，公路里程受园区道路与门禁影响、参考意义有限；应优先确认是否可园区内短驳或管道输送</t>
        </is>
      </c>
    </row>
    <row r="8" ht="32" customHeight="1">
      <c r="A8" s="18" t="n">
        <v>5</v>
      </c>
      <c r="B8" s="18" t="inlineStr">
        <is>
          <t>嘉化能源</t>
        </is>
      </c>
      <c r="C8" s="18" t="inlineStr">
        <is>
          <t>江苏省常州市新北区春江镇 · 滨江经济开发区（化工园区）</t>
        </is>
      </c>
      <c r="D8" s="18" t="inlineStr">
        <is>
          <t>浙江省嘉兴市乍浦滨海大道 2288 号（中国化工新材料（嘉兴）园区）</t>
        </is>
      </c>
      <c r="E8" s="18" t="n">
        <v>185.5</v>
      </c>
      <c r="F8" s="18" t="n">
        <v>218.9</v>
      </c>
      <c r="G8" s="18" t="n">
        <v>1.18</v>
      </c>
      <c r="H8" s="18" t="n">
        <v>2.59</v>
      </c>
      <c r="I8" s="18" t="inlineStr">
        <is>
          <t>OSRM 路径</t>
        </is>
      </c>
      <c r="J8" s="18" t="inlineStr">
        <is>
          <t>园区厂区中心近似，±2 km</t>
        </is>
      </c>
      <c r="K8" s="18" t="inlineStr"/>
    </row>
    <row r="9" ht="32" customHeight="1">
      <c r="A9" s="21" t="n">
        <v>6</v>
      </c>
      <c r="B9" s="21" t="inlineStr">
        <is>
          <t>江苏索普</t>
        </is>
      </c>
      <c r="C9" s="21" t="inlineStr">
        <is>
          <t>江苏省常州市新北区春江镇 · 滨江经济开发区（化工园区）</t>
        </is>
      </c>
      <c r="D9" s="21" t="inlineStr">
        <is>
          <t>江苏省镇江市京口区求索路 101 号</t>
        </is>
      </c>
      <c r="E9" s="21" t="n">
        <v>49.7</v>
      </c>
      <c r="F9" s="21" t="n">
        <v>59.8</v>
      </c>
      <c r="G9" s="21" t="n">
        <v>1.2</v>
      </c>
      <c r="H9" s="21" t="n">
        <v>0.8</v>
      </c>
      <c r="I9" s="21" t="inlineStr">
        <is>
          <t>OSRM 路径</t>
        </is>
      </c>
      <c r="J9" s="21" t="inlineStr">
        <is>
          <t>集团总部/厂区近似，±3 km</t>
        </is>
      </c>
      <c r="K9" s="21" t="inlineStr"/>
    </row>
    <row r="10" ht="32" customHeight="1">
      <c r="A10" s="18" t="n">
        <v>7</v>
      </c>
      <c r="B10" s="18" t="inlineStr">
        <is>
          <t>滨化股份</t>
        </is>
      </c>
      <c r="C10" s="18" t="inlineStr">
        <is>
          <t>江苏省常州市新北区春江镇 · 滨江经济开发区（化工园区）</t>
        </is>
      </c>
      <c r="D10" s="18" t="inlineStr">
        <is>
          <t>山东省滨州市滨城区（黄河三角洲，具体厂址未核实）</t>
        </is>
      </c>
      <c r="E10" s="18" t="n">
        <v>628.1</v>
      </c>
      <c r="F10" s="18" t="n">
        <v>701.6</v>
      </c>
      <c r="G10" s="18" t="n">
        <v>1.12</v>
      </c>
      <c r="H10" s="18" t="n">
        <v>7.88</v>
      </c>
      <c r="I10" s="18" t="inlineStr">
        <is>
          <t>OSRM 路径</t>
        </is>
      </c>
      <c r="J10" s="18" t="inlineStr">
        <is>
          <t>城市级坐标，±10 km（未取得厂址门牌）</t>
        </is>
      </c>
      <c r="K10" s="18" t="inlineStr"/>
    </row>
    <row r="12">
      <c r="A12" s="25" t="inlineStr">
        <is>
          <t>物流分折算表（公路里程 → 分值，分段线性）</t>
        </is>
      </c>
    </row>
    <row r="13">
      <c r="A13" s="34" t="inlineStr">
        <is>
          <t>里程 km</t>
        </is>
      </c>
      <c r="B13" s="34" t="inlineStr">
        <is>
          <t>物流分</t>
        </is>
      </c>
    </row>
    <row r="14">
      <c r="A14" s="35" t="n">
        <v>0</v>
      </c>
      <c r="B14" s="35" t="n">
        <v>100</v>
      </c>
    </row>
    <row r="15">
      <c r="A15" s="35" t="n">
        <v>100</v>
      </c>
      <c r="B15" s="35" t="n">
        <v>86</v>
      </c>
    </row>
    <row r="16">
      <c r="A16" s="35" t="n">
        <v>300</v>
      </c>
      <c r="B16" s="35" t="n">
        <v>63</v>
      </c>
    </row>
    <row r="17">
      <c r="A17" s="35" t="n">
        <v>500</v>
      </c>
      <c r="B17" s="35" t="n">
        <v>46</v>
      </c>
    </row>
    <row r="18">
      <c r="A18" s="35" t="n">
        <v>800</v>
      </c>
      <c r="B18" s="35" t="n">
        <v>30</v>
      </c>
    </row>
    <row r="19">
      <c r="A19" s="35" t="n">
        <v>1200</v>
      </c>
      <c r="B19" s="35" t="n">
        <v>13</v>
      </c>
    </row>
  </sheetData>
  <autoFilter ref="A3:K10"/>
  <mergeCells count="3">
    <mergeCell ref="A2:K2"/>
    <mergeCell ref="A1:K1"/>
    <mergeCell ref="A12:K1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F28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</cols>
  <sheetData>
    <row r="1" ht="26" customHeight="1">
      <c r="A1" s="15" t="inlineStr">
        <is>
          <t>05 运输与合规</t>
        </is>
      </c>
    </row>
    <row r="2" ht="17" customHeight="1">
      <c r="A2" s="16" t="inlineStr">
        <is>
          <t>结论 + 依据 + 后果；不含任何运费金额，仅给计费口径</t>
        </is>
      </c>
    </row>
    <row r="3" ht="24" customHeight="1">
      <c r="A3" s="36" t="inlineStr">
        <is>
          <t>判定结论</t>
        </is>
      </c>
    </row>
    <row r="4" ht="32" customHeight="1">
      <c r="A4" s="37" t="inlineStr">
        <is>
          <t>结论</t>
        </is>
      </c>
      <c r="B4" s="38" t="inlineStr">
        <is>
          <t>液碱（氢氧化钠溶液 32%）属于《危险化学品目录（2015 版）》所列物质，UN1824，第 8 类腐蚀性物质，包装类别 II，按危险货物运输办理。</t>
        </is>
      </c>
      <c r="C4" s="5" t="n"/>
      <c r="D4" s="5" t="n"/>
      <c r="E4" s="5" t="n"/>
      <c r="F4" s="5" t="n"/>
    </row>
    <row r="5" ht="22" customHeight="1">
      <c r="A5" s="37" t="inlineStr">
        <is>
          <t>性质</t>
        </is>
      </c>
      <c r="B5" s="38" t="inlineStr">
        <is>
          <t>危险化学品 / 危险货物</t>
        </is>
      </c>
      <c r="C5" s="5" t="n"/>
      <c r="D5" s="5" t="n"/>
      <c r="E5" s="5" t="n"/>
      <c r="F5" s="5" t="n"/>
    </row>
    <row r="6" ht="24" customHeight="1">
      <c r="A6" s="36" t="inlineStr">
        <is>
          <t>法规依据</t>
        </is>
      </c>
    </row>
    <row r="7" ht="22" customHeight="1">
      <c r="A7" s="37" t="inlineStr">
        <is>
          <t>依据</t>
        </is>
      </c>
      <c r="B7" s="11" t="inlineStr">
        <is>
          <t>《危险化学品目录（2015 版）》：氢氧化钠 / 氢氧化钠溶液（CAS 1310-73-2）已列入</t>
        </is>
      </c>
      <c r="C7" s="5" t="n"/>
      <c r="D7" s="5" t="n"/>
      <c r="E7" s="5" t="n"/>
      <c r="F7" s="5" t="n"/>
    </row>
    <row r="8" ht="22" customHeight="1">
      <c r="A8" s="37" t="inlineStr">
        <is>
          <t>依据</t>
        </is>
      </c>
      <c r="B8" s="11" t="inlineStr">
        <is>
          <t>联合国 TDG：UN1824，第 8 类腐蚀性物质，包装类别 II</t>
        </is>
      </c>
      <c r="C8" s="5" t="n"/>
      <c r="D8" s="5" t="n"/>
      <c r="E8" s="5" t="n"/>
      <c r="F8" s="5" t="n"/>
    </row>
    <row r="9" ht="22" customHeight="1">
      <c r="A9" s="37" t="inlineStr">
        <is>
          <t>依据</t>
        </is>
      </c>
      <c r="B9" s="11" t="inlineStr">
        <is>
          <t>国内危险货物编号 82001，属第 8 类腐蚀品</t>
        </is>
      </c>
      <c r="C9" s="5" t="n"/>
      <c r="D9" s="5" t="n"/>
      <c r="E9" s="5" t="n"/>
      <c r="F9" s="5" t="n"/>
    </row>
    <row r="10" ht="22" customHeight="1">
      <c r="A10" s="37" t="inlineStr">
        <is>
          <t>依据</t>
        </is>
      </c>
      <c r="B10" s="11" t="inlineStr">
        <is>
          <t>GB 209-2018《工业用氢氧化钠》规定液碱浓度与杂质限值</t>
        </is>
      </c>
      <c r="C10" s="5" t="n"/>
      <c r="D10" s="5" t="n"/>
      <c r="E10" s="5" t="n"/>
      <c r="F10" s="5" t="n"/>
    </row>
    <row r="11" ht="24" customHeight="1">
      <c r="A11" s="36" t="inlineStr">
        <is>
          <t>作业风险</t>
        </is>
      </c>
    </row>
    <row r="12" ht="32" customHeight="1">
      <c r="A12" s="37" t="inlineStr">
        <is>
          <t>风险</t>
        </is>
      </c>
      <c r="B12" s="11" t="inlineStr">
        <is>
          <t>强腐蚀：接触皮肤、眼睛造成灼伤，眼部溅入有致盲风险；与酸类剧烈中和放热，可致喷溅；32% 液碱约 12℃ 开始结晶析出，冬季管道与罐体易堵；卸车时若用错材质（铝、锌、普通碳钢）会腐蚀穿孔</t>
        </is>
      </c>
      <c r="C12" s="5" t="n"/>
      <c r="D12" s="5" t="n"/>
      <c r="E12" s="5" t="n"/>
      <c r="F12" s="5" t="n"/>
    </row>
    <row r="13" ht="24" customHeight="1">
      <c r="A13" s="36" t="inlineStr">
        <is>
          <t>运输与资质要求</t>
        </is>
      </c>
    </row>
    <row r="14" ht="22" customHeight="1">
      <c r="A14" s="37" t="inlineStr">
        <is>
          <t>要求 1</t>
        </is>
      </c>
      <c r="B14" s="11" t="inlineStr">
        <is>
          <t>车辆：专用液体罐车或化工品罐箱，材质 304/316L，带防波板与接地</t>
        </is>
      </c>
      <c r="C14" s="5" t="n"/>
      <c r="D14" s="5" t="n"/>
      <c r="E14" s="5" t="n"/>
      <c r="F14" s="5" t="n"/>
    </row>
    <row r="15" ht="22" customHeight="1">
      <c r="A15" s="37" t="inlineStr">
        <is>
          <t>要求 2</t>
        </is>
      </c>
      <c r="B15" s="11" t="inlineStr">
        <is>
          <t>资质：危险货物道路运输经营许可、车辆危货运输证、驾驶员与押运员从业资格证</t>
        </is>
      </c>
      <c r="C15" s="5" t="n"/>
      <c r="D15" s="5" t="n"/>
      <c r="E15" s="5" t="n"/>
      <c r="F15" s="5" t="n"/>
    </row>
    <row r="16" ht="22" customHeight="1">
      <c r="A16" s="37" t="inlineStr">
        <is>
          <t>要求 3</t>
        </is>
      </c>
      <c r="B16" s="11" t="inlineStr">
        <is>
          <t>通行：跨省及部分城市需危化品运输通行证与时段限制（夜间禁行常见）</t>
        </is>
      </c>
      <c r="C16" s="5" t="n"/>
      <c r="D16" s="5" t="n"/>
      <c r="E16" s="5" t="n"/>
      <c r="F16" s="5" t="n"/>
    </row>
    <row r="17" ht="22" customHeight="1">
      <c r="A17" s="37" t="inlineStr">
        <is>
          <t>要求 4</t>
        </is>
      </c>
      <c r="B17" s="11" t="inlineStr">
        <is>
          <t>装卸：耐碱泵与专用软管、防泄漏围堰、洗眼器与耐碱防护；严禁与酸类同车混装</t>
        </is>
      </c>
      <c r="C17" s="5" t="n"/>
      <c r="D17" s="5" t="n"/>
      <c r="E17" s="5" t="n"/>
      <c r="F17" s="5" t="n"/>
    </row>
    <row r="18" ht="22" customHeight="1">
      <c r="A18" s="37" t="inlineStr">
        <is>
          <t>要求 5</t>
        </is>
      </c>
      <c r="B18" s="11" t="inlineStr">
        <is>
          <t>单据：MSDS、危货运输单据、充装/卸车记录、押运交接单</t>
        </is>
      </c>
      <c r="C18" s="5" t="n"/>
      <c r="D18" s="5" t="n"/>
      <c r="E18" s="5" t="n"/>
      <c r="F18" s="5" t="n"/>
    </row>
    <row r="19" ht="22" customHeight="1">
      <c r="A19" s="37" t="inlineStr">
        <is>
          <t>要求 6</t>
        </is>
      </c>
      <c r="B19" s="11" t="inlineStr">
        <is>
          <t>冬季：罐体保温或伴热，卸车后吹扫防结晶</t>
        </is>
      </c>
      <c r="C19" s="5" t="n"/>
      <c r="D19" s="5" t="n"/>
      <c r="E19" s="5" t="n"/>
      <c r="F19" s="5" t="n"/>
    </row>
    <row r="20" ht="24" customHeight="1">
      <c r="A20" s="36" t="inlineStr">
        <is>
          <t>规格变化提示</t>
        </is>
      </c>
    </row>
    <row r="21" ht="32" customHeight="1">
      <c r="A21" s="37" t="inlineStr">
        <is>
          <t>注意</t>
        </is>
      </c>
      <c r="B21" s="39" t="inlineStr">
        <is>
          <t>若改为片碱（固态氢氧化钠）仍属 8 类腐蚀品但包装与装卸方式不同；若为 50% 液碱，结晶温度更高、腐蚀性更强；若为 &lt;10% 稀碱，危化属性与运输要求需按实际浓度重新判定。</t>
        </is>
      </c>
      <c r="C21" s="5" t="n"/>
      <c r="D21" s="5" t="n"/>
      <c r="E21" s="5" t="n"/>
      <c r="F21" s="5" t="n"/>
    </row>
    <row r="22" ht="24" customHeight="1">
      <c r="A22" s="36" t="inlineStr">
        <is>
          <t>运费口径（本表不含金额）</t>
        </is>
      </c>
    </row>
    <row r="23" ht="22" customHeight="1">
      <c r="A23" s="37" t="inlineStr">
        <is>
          <t>计费方式</t>
        </is>
      </c>
      <c r="B23" s="11" t="inlineStr">
        <is>
          <t>吨公里 / 整车包干 / 回程车，三者不可混比</t>
        </is>
      </c>
      <c r="C23" s="5" t="n"/>
      <c r="D23" s="5" t="n"/>
      <c r="E23" s="5" t="n"/>
      <c r="F23" s="5" t="n"/>
    </row>
    <row r="24" ht="22" customHeight="1">
      <c r="A24" s="37" t="inlineStr">
        <is>
          <t>必须约定</t>
        </is>
      </c>
      <c r="B24" s="11" t="inlineStr">
        <is>
          <t>装卸费、过磅费、雨布苫盖、压车费、超期滞留</t>
        </is>
      </c>
      <c r="C24" s="5" t="n"/>
      <c r="D24" s="5" t="n"/>
      <c r="E24" s="5" t="n"/>
      <c r="F24" s="5" t="n"/>
    </row>
    <row r="25" ht="22" customHeight="1">
      <c r="A25" s="37" t="inlineStr">
        <is>
          <t>报价要求</t>
        </is>
      </c>
      <c r="B25" s="11" t="inlineStr">
        <is>
          <t>书面报价须写明计价口径、有效期与油价联动条款</t>
        </is>
      </c>
      <c r="C25" s="5" t="n"/>
      <c r="D25" s="5" t="n"/>
      <c r="E25" s="5" t="n"/>
      <c r="F25" s="5" t="n"/>
    </row>
    <row r="26" ht="22" customHeight="1">
      <c r="A26" s="37" t="inlineStr">
        <is>
          <t>到厂价</t>
        </is>
      </c>
      <c r="B26" s="11" t="inlineStr">
        <is>
          <t>拿到运费报价后：到厂价 = 出厂价 + 运费（含税口径需一致）</t>
        </is>
      </c>
      <c r="C26" s="5" t="n"/>
      <c r="D26" s="5" t="n"/>
      <c r="E26" s="5" t="n"/>
      <c r="F26" s="5" t="n"/>
    </row>
    <row r="27" ht="24" customHeight="1">
      <c r="A27" s="36" t="inlineStr">
        <is>
          <t>依据来源</t>
        </is>
      </c>
    </row>
    <row r="28" ht="32" customHeight="1">
      <c r="A28" s="37" t="inlineStr">
        <is>
          <t>来源</t>
        </is>
      </c>
      <c r="B28" s="11" t="inlineStr">
        <is>
          <t>《危险化学品目录（2015 版）》；GB 209-2018 工业用氢氧化钠；联合国《关于危险货物运输的建议书·规章范本》（UN1824）</t>
        </is>
      </c>
      <c r="C28" s="5" t="n"/>
      <c r="D28" s="5" t="n"/>
      <c r="E28" s="5" t="n"/>
      <c r="F28" s="5" t="n"/>
    </row>
  </sheetData>
  <mergeCells count="28">
    <mergeCell ref="B4:F4"/>
    <mergeCell ref="B7:F7"/>
    <mergeCell ref="B16:F16"/>
    <mergeCell ref="B25:F25"/>
    <mergeCell ref="A27:F27"/>
    <mergeCell ref="A3:F3"/>
    <mergeCell ref="B18:F18"/>
    <mergeCell ref="B21:F21"/>
    <mergeCell ref="A2:F2"/>
    <mergeCell ref="B12:F12"/>
    <mergeCell ref="A22:F22"/>
    <mergeCell ref="B23:F23"/>
    <mergeCell ref="B14:F14"/>
    <mergeCell ref="B8:F8"/>
    <mergeCell ref="A20:F20"/>
    <mergeCell ref="B17:F17"/>
    <mergeCell ref="A13:F13"/>
    <mergeCell ref="B10:F10"/>
    <mergeCell ref="B28:F28"/>
    <mergeCell ref="B19:F19"/>
    <mergeCell ref="B9:F9"/>
    <mergeCell ref="A11:F11"/>
    <mergeCell ref="B24:F24"/>
    <mergeCell ref="B15:F15"/>
    <mergeCell ref="A1:F1"/>
    <mergeCell ref="B5:F5"/>
    <mergeCell ref="A6:F6"/>
    <mergeCell ref="B26:F26"/>
  </mergeCells>
  <pageMargins left="0.75" right="0.75" top="1" bottom="1" header="0.5" footer="0.5"/>
  <pageSetup orientation="portrait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G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2" customWidth="1" min="2" max="2"/>
    <col width="6" customWidth="1" min="3" max="3"/>
    <col width="52" customWidth="1" min="4" max="4"/>
    <col width="24" customWidth="1" min="5" max="5"/>
    <col width="30" customWidth="1" min="6" max="6"/>
    <col width="12" customWidth="1" min="7" max="7"/>
  </cols>
  <sheetData>
    <row r="1" ht="26" customHeight="1">
      <c r="A1" s="15" t="inlineStr">
        <is>
          <t>06 数据缺口</t>
        </is>
      </c>
    </row>
    <row r="2" ht="17" customHeight="1">
      <c r="A2" s="16" t="inlineStr">
        <is>
          <t>未核实的就写未核实：每条缺口都要能落到一个动作，状态列可下拉更新</t>
        </is>
      </c>
    </row>
    <row r="3" ht="30" customHeight="1">
      <c r="A3" s="17" t="inlineStr">
        <is>
          <t>序号</t>
        </is>
      </c>
      <c r="B3" s="17" t="inlineStr">
        <is>
          <t>企业</t>
        </is>
      </c>
      <c r="C3" s="17" t="inlineStr">
        <is>
          <t>档位</t>
        </is>
      </c>
      <c r="D3" s="17" t="inlineStr">
        <is>
          <t>缺口描述</t>
        </is>
      </c>
      <c r="E3" s="17" t="inlineStr">
        <is>
          <t>影响</t>
        </is>
      </c>
      <c r="F3" s="17" t="inlineStr">
        <is>
          <t>下一步动作</t>
        </is>
      </c>
      <c r="G3" s="17" t="inlineStr">
        <is>
          <t>状态</t>
        </is>
      </c>
    </row>
    <row r="4" ht="34" customHeight="1">
      <c r="A4" s="18" t="n">
        <v>1</v>
      </c>
      <c r="B4" s="18" t="inlineStr">
        <is>
          <t>新浦化学</t>
        </is>
      </c>
      <c r="C4" s="20" t="inlineStr">
        <is>
          <t>A</t>
        </is>
      </c>
      <c r="D4" s="18" t="inlineStr">
        <is>
          <t>未核实 32% 液碱的月度可供量与最小起订量（出口优先时内贸配额可能紧张）</t>
        </is>
      </c>
      <c r="E4" s="18" t="inlineStr">
        <is>
          <t>能否按批次稳定供货未定</t>
        </is>
      </c>
      <c r="F4" s="18" t="inlineStr">
        <is>
          <t>索取本月可供量与发货计划（书面）</t>
        </is>
      </c>
      <c r="G4" s="18" t="inlineStr">
        <is>
          <t>待确认</t>
        </is>
      </c>
    </row>
    <row r="5" ht="34" customHeight="1">
      <c r="A5" s="21" t="n">
        <v>2</v>
      </c>
      <c r="B5" s="21" t="inlineStr">
        <is>
          <t>新浦化学</t>
        </is>
      </c>
      <c r="C5" s="20" t="inlineStr">
        <is>
          <t>A</t>
        </is>
      </c>
      <c r="D5" s="21" t="inlineStr">
        <is>
          <t>未核实内贸出厂价与折百计价口径（32% 按折百还是按实物吨）</t>
        </is>
      </c>
      <c r="E5" s="21" t="inlineStr">
        <is>
          <t>到厂成本不可比</t>
        </is>
      </c>
      <c r="F5" s="21" t="inlineStr">
        <is>
          <t>要求统一口径报价（吨公里/整车包干）</t>
        </is>
      </c>
      <c r="G5" s="21" t="inlineStr">
        <is>
          <t>待确认</t>
        </is>
      </c>
    </row>
    <row r="6" ht="34" customHeight="1">
      <c r="A6" s="18" t="n">
        <v>3</v>
      </c>
      <c r="B6" s="18" t="inlineStr">
        <is>
          <t>新浦化学</t>
        </is>
      </c>
      <c r="C6" s="20" t="inlineStr">
        <is>
          <t>A</t>
        </is>
      </c>
      <c r="D6" s="18" t="inlineStr">
        <is>
          <t>未核实园区装车点排队时长与可预约时段</t>
        </is>
      </c>
      <c r="E6" s="18" t="inlineStr">
        <is>
          <t>信息不完整，影响判断置信度</t>
        </is>
      </c>
      <c r="F6" s="18" t="inlineStr">
        <is>
          <t>首次接触时一并确认</t>
        </is>
      </c>
      <c r="G6" s="18" t="inlineStr">
        <is>
          <t>待确认</t>
        </is>
      </c>
    </row>
    <row r="7" ht="34" customHeight="1">
      <c r="A7" s="21" t="n">
        <v>4</v>
      </c>
      <c r="B7" s="21" t="inlineStr">
        <is>
          <t>中盐常州·金坛</t>
        </is>
      </c>
      <c r="C7" s="20" t="inlineStr">
        <is>
          <t>A</t>
        </is>
      </c>
      <c r="D7" s="21" t="inlineStr">
        <is>
          <t>产能口径矛盾：分基地合计 26 万吨 vs 百科 30 万吨，需向企业书面确认</t>
        </is>
      </c>
      <c r="E7" s="21" t="inlineStr">
        <is>
          <t>到厂成本不可比</t>
        </is>
      </c>
      <c r="F7" s="21" t="inlineStr">
        <is>
          <t>要求统一口径报价（吨公里/整车包干）</t>
        </is>
      </c>
      <c r="G7" s="21" t="inlineStr">
        <is>
          <t>待确认</t>
        </is>
      </c>
    </row>
    <row r="8" ht="34" customHeight="1">
      <c r="A8" s="18" t="n">
        <v>5</v>
      </c>
      <c r="B8" s="18" t="inlineStr">
        <is>
          <t>中盐常州·金坛</t>
        </is>
      </c>
      <c r="C8" s="20" t="inlineStr">
        <is>
          <t>A</t>
        </is>
      </c>
      <c r="D8" s="18" t="inlineStr">
        <is>
          <t>未核实可供液碱浓度（是否长期供应 32%）</t>
        </is>
      </c>
      <c r="E8" s="18" t="inlineStr">
        <is>
          <t>能否按批次稳定供货未定</t>
        </is>
      </c>
      <c r="F8" s="18" t="inlineStr">
        <is>
          <t>索取本月可供量与发货计划（书面）</t>
        </is>
      </c>
      <c r="G8" s="18" t="inlineStr">
        <is>
          <t>待确认</t>
        </is>
      </c>
    </row>
    <row r="9" ht="34" customHeight="1">
      <c r="A9" s="21" t="n">
        <v>6</v>
      </c>
      <c r="B9" s="21" t="inlineStr">
        <is>
          <t>中盐常州·金坛</t>
        </is>
      </c>
      <c r="C9" s="20" t="inlineStr">
        <is>
          <t>A</t>
        </is>
      </c>
      <c r="D9" s="21" t="inlineStr">
        <is>
          <t>未核实本地客户的排产优先级</t>
        </is>
      </c>
      <c r="E9" s="21" t="inlineStr">
        <is>
          <t>信息不完整，影响判断置信度</t>
        </is>
      </c>
      <c r="F9" s="21" t="inlineStr">
        <is>
          <t>首次接触时一并确认</t>
        </is>
      </c>
      <c r="G9" s="21" t="inlineStr">
        <is>
          <t>待确认</t>
        </is>
      </c>
    </row>
    <row r="10" ht="34" customHeight="1">
      <c r="A10" s="18" t="n">
        <v>7</v>
      </c>
      <c r="B10" s="18" t="inlineStr">
        <is>
          <t>上海氯碱</t>
        </is>
      </c>
      <c r="C10" s="20" t="inlineStr">
        <is>
          <t>A</t>
        </is>
      </c>
      <c r="D10" s="18" t="inlineStr">
        <is>
          <t>未取得最新年报中的烧碱产能与产量数字（现为历史口径）</t>
        </is>
      </c>
      <c r="E10" s="18" t="inlineStr">
        <is>
          <t>能否按批次稳定供货未定</t>
        </is>
      </c>
      <c r="F10" s="18" t="inlineStr">
        <is>
          <t>索取本月可供量与发货计划（书面）</t>
        </is>
      </c>
      <c r="G10" s="18" t="inlineStr">
        <is>
          <t>待确认</t>
        </is>
      </c>
    </row>
    <row r="11" ht="34" customHeight="1">
      <c r="A11" s="21" t="n">
        <v>8</v>
      </c>
      <c r="B11" s="21" t="inlineStr">
        <is>
          <t>上海氯碱</t>
        </is>
      </c>
      <c r="C11" s="20" t="inlineStr">
        <is>
          <t>A</t>
        </is>
      </c>
      <c r="D11" s="21" t="inlineStr">
        <is>
          <t>未核实上海化工区装车点与危化品出省通行办理流程</t>
        </is>
      </c>
      <c r="E11" s="21" t="inlineStr">
        <is>
          <t>合规性与承运能力未定</t>
        </is>
      </c>
      <c r="F11" s="21" t="inlineStr">
        <is>
          <t>核验营业执照、许可与承运资质</t>
        </is>
      </c>
      <c r="G11" s="21" t="inlineStr">
        <is>
          <t>待确认</t>
        </is>
      </c>
    </row>
    <row r="12" ht="34" customHeight="1">
      <c r="A12" s="18" t="n">
        <v>9</v>
      </c>
      <c r="B12" s="18" t="inlineStr">
        <is>
          <t>上海氯碱</t>
        </is>
      </c>
      <c r="C12" s="20" t="inlineStr">
        <is>
          <t>A</t>
        </is>
      </c>
      <c r="D12" s="18" t="inlineStr">
        <is>
          <t>未核实对江苏客户的供货政策与最小批量</t>
        </is>
      </c>
      <c r="E12" s="18" t="inlineStr">
        <is>
          <t>信息不完整，影响判断置信度</t>
        </is>
      </c>
      <c r="F12" s="18" t="inlineStr">
        <is>
          <t>首次接触时一并确认</t>
        </is>
      </c>
      <c r="G12" s="18" t="inlineStr">
        <is>
          <t>待确认</t>
        </is>
      </c>
    </row>
    <row r="13" ht="34" customHeight="1">
      <c r="A13" s="21" t="n">
        <v>10</v>
      </c>
      <c r="B13" s="21" t="inlineStr">
        <is>
          <t>中盐常州·滨江</t>
        </is>
      </c>
      <c r="C13" s="23" t="inlineStr">
        <is>
          <t>B</t>
        </is>
      </c>
      <c r="D13" s="21" t="inlineStr">
        <is>
          <t>未取得滨江基地门牌与罐区装车点位置</t>
        </is>
      </c>
      <c r="E13" s="21" t="inlineStr">
        <is>
          <t>距离与可达性可能偏差</t>
        </is>
      </c>
      <c r="F13" s="21" t="inlineStr">
        <is>
          <t>索取厂区/库房门牌与装卸点定位</t>
        </is>
      </c>
      <c r="G13" s="21" t="inlineStr">
        <is>
          <t>待确认</t>
        </is>
      </c>
    </row>
    <row r="14" ht="34" customHeight="1">
      <c r="A14" s="18" t="n">
        <v>11</v>
      </c>
      <c r="B14" s="18" t="inlineStr">
        <is>
          <t>中盐常州·滨江</t>
        </is>
      </c>
      <c r="C14" s="23" t="inlineStr">
        <is>
          <t>B</t>
        </is>
      </c>
      <c r="D14" s="18" t="inlineStr">
        <is>
          <t>未核实 8 万吨装置中商品液碱比例（部分可能自用或供园区管道）</t>
        </is>
      </c>
      <c r="E14" s="18" t="inlineStr">
        <is>
          <t>当前有效产能存疑</t>
        </is>
      </c>
      <c r="F14" s="18" t="inlineStr">
        <is>
          <t>核对最新产量/投产/搬迁公告</t>
        </is>
      </c>
      <c r="G14" s="18" t="inlineStr">
        <is>
          <t>待确认</t>
        </is>
      </c>
    </row>
    <row r="15" ht="34" customHeight="1">
      <c r="A15" s="21" t="n">
        <v>12</v>
      </c>
      <c r="B15" s="21" t="inlineStr">
        <is>
          <t>中盐常州·滨江</t>
        </is>
      </c>
      <c r="C15" s="23" t="inlineStr">
        <is>
          <t>B</t>
        </is>
      </c>
      <c r="D15" s="21" t="inlineStr">
        <is>
          <t>未核实园区内管输可能性（若可管道输送，运距问题消失）</t>
        </is>
      </c>
      <c r="E15" s="21" t="inlineStr">
        <is>
          <t>信息不完整，影响判断置信度</t>
        </is>
      </c>
      <c r="F15" s="21" t="inlineStr">
        <is>
          <t>首次接触时一并确认</t>
        </is>
      </c>
      <c r="G15" s="21" t="inlineStr">
        <is>
          <t>待确认</t>
        </is>
      </c>
    </row>
    <row r="16" ht="34" customHeight="1">
      <c r="A16" s="18" t="n">
        <v>13</v>
      </c>
      <c r="B16" s="18" t="inlineStr">
        <is>
          <t>嘉化能源</t>
        </is>
      </c>
      <c r="C16" s="23" t="inlineStr">
        <is>
          <t>B</t>
        </is>
      </c>
      <c r="D16" s="18" t="inlineStr">
        <is>
          <t>烧碱产能、产量与 32% 液碱商品量均未核实</t>
        </is>
      </c>
      <c r="E16" s="18" t="inlineStr">
        <is>
          <t>能否按批次稳定供货未定</t>
        </is>
      </c>
      <c r="F16" s="18" t="inlineStr">
        <is>
          <t>索取本月可供量与发货计划（书面）</t>
        </is>
      </c>
      <c r="G16" s="18" t="inlineStr">
        <is>
          <t>待确认</t>
        </is>
      </c>
    </row>
    <row r="17" ht="34" customHeight="1">
      <c r="A17" s="21" t="n">
        <v>14</v>
      </c>
      <c r="B17" s="21" t="inlineStr">
        <is>
          <t>嘉化能源</t>
        </is>
      </c>
      <c r="C17" s="23" t="inlineStr">
        <is>
          <t>B</t>
        </is>
      </c>
      <c r="D17" s="21" t="inlineStr">
        <is>
          <t>未核实是否以自用为主（氯碱配套下游，外销量可能有限）</t>
        </is>
      </c>
      <c r="E17" s="21" t="inlineStr">
        <is>
          <t>信息不完整，影响判断置信度</t>
        </is>
      </c>
      <c r="F17" s="21" t="inlineStr">
        <is>
          <t>首次接触时一并确认</t>
        </is>
      </c>
      <c r="G17" s="21" t="inlineStr">
        <is>
          <t>待确认</t>
        </is>
      </c>
    </row>
    <row r="18" ht="34" customHeight="1">
      <c r="A18" s="18" t="n">
        <v>15</v>
      </c>
      <c r="B18" s="18" t="inlineStr">
        <is>
          <t>嘉化能源</t>
        </is>
      </c>
      <c r="C18" s="23" t="inlineStr">
        <is>
          <t>B</t>
        </is>
      </c>
      <c r="D18" s="18" t="inlineStr">
        <is>
          <t>未核实乍浦港水运至常州港的班期与费用口径</t>
        </is>
      </c>
      <c r="E18" s="18" t="inlineStr">
        <is>
          <t>到厂成本不可比</t>
        </is>
      </c>
      <c r="F18" s="18" t="inlineStr">
        <is>
          <t>要求统一口径报价（吨公里/整车包干）</t>
        </is>
      </c>
      <c r="G18" s="18" t="inlineStr">
        <is>
          <t>待确认</t>
        </is>
      </c>
    </row>
    <row r="19" ht="34" customHeight="1">
      <c r="A19" s="21" t="n">
        <v>16</v>
      </c>
      <c r="B19" s="21" t="inlineStr">
        <is>
          <t>江苏索普</t>
        </is>
      </c>
      <c r="C19" s="24" t="inlineStr">
        <is>
          <t>C</t>
        </is>
      </c>
      <c r="D19" s="21" t="inlineStr">
        <is>
          <t>当前是否仍生产并对外销售商品液碱（关键前提）</t>
        </is>
      </c>
      <c r="E19" s="21" t="inlineStr">
        <is>
          <t>无法触达关键人</t>
        </is>
      </c>
      <c r="F19" s="21" t="inlineStr">
        <is>
          <t>通过总机/园区/同行转介获取对接人</t>
        </is>
      </c>
      <c r="G19" s="21" t="inlineStr">
        <is>
          <t>待确认</t>
        </is>
      </c>
    </row>
    <row r="20" ht="34" customHeight="1">
      <c r="A20" s="18" t="n">
        <v>17</v>
      </c>
      <c r="B20" s="18" t="inlineStr">
        <is>
          <t>江苏索普</t>
        </is>
      </c>
      <c r="C20" s="24" t="inlineStr">
        <is>
          <t>C</t>
        </is>
      </c>
      <c r="D20" s="18" t="inlineStr">
        <is>
          <t>若可供，浓度规格与月度可供量</t>
        </is>
      </c>
      <c r="E20" s="18" t="inlineStr">
        <is>
          <t>能否按批次稳定供货未定</t>
        </is>
      </c>
      <c r="F20" s="18" t="inlineStr">
        <is>
          <t>索取本月可供量与发货计划（书面）</t>
        </is>
      </c>
      <c r="G20" s="18" t="inlineStr">
        <is>
          <t>待确认</t>
        </is>
      </c>
    </row>
    <row r="21" ht="34" customHeight="1">
      <c r="A21" s="21" t="n">
        <v>18</v>
      </c>
      <c r="B21" s="21" t="inlineStr">
        <is>
          <t>江苏索普</t>
        </is>
      </c>
      <c r="C21" s="24" t="inlineStr">
        <is>
          <t>C</t>
        </is>
      </c>
      <c r="D21" s="21" t="inlineStr">
        <is>
          <t>与醋酸装置的氯碱平衡关系（自用比例）</t>
        </is>
      </c>
      <c r="E21" s="21" t="inlineStr">
        <is>
          <t>当前有效产能存疑</t>
        </is>
      </c>
      <c r="F21" s="21" t="inlineStr">
        <is>
          <t>核对最新产量/投产/搬迁公告</t>
        </is>
      </c>
      <c r="G21" s="21" t="inlineStr">
        <is>
          <t>待确认</t>
        </is>
      </c>
    </row>
    <row r="22" ht="34" customHeight="1">
      <c r="A22" s="18" t="n">
        <v>19</v>
      </c>
      <c r="B22" s="18" t="inlineStr">
        <is>
          <t>滨化股份</t>
        </is>
      </c>
      <c r="C22" s="24" t="inlineStr">
        <is>
          <t>C</t>
        </is>
      </c>
      <c r="D22" s="18" t="inlineStr">
        <is>
          <t>未取得厂址门牌与精确坐标（现为城市级）</t>
        </is>
      </c>
      <c r="E22" s="18" t="inlineStr">
        <is>
          <t>距离与可达性可能偏差</t>
        </is>
      </c>
      <c r="F22" s="18" t="inlineStr">
        <is>
          <t>索取厂区/库房门牌与装卸点定位</t>
        </is>
      </c>
      <c r="G22" s="18" t="inlineStr">
        <is>
          <t>待确认</t>
        </is>
      </c>
    </row>
    <row r="23" ht="34" customHeight="1">
      <c r="A23" s="21" t="n">
        <v>20</v>
      </c>
      <c r="B23" s="21" t="inlineStr">
        <is>
          <t>滨化股份</t>
        </is>
      </c>
      <c r="C23" s="24" t="inlineStr">
        <is>
          <t>C</t>
        </is>
      </c>
      <c r="D23" s="21" t="inlineStr">
        <is>
          <t>烧碱产能、商品量与出厂价均未核实</t>
        </is>
      </c>
      <c r="E23" s="21" t="inlineStr">
        <is>
          <t>当前有效产能存疑</t>
        </is>
      </c>
      <c r="F23" s="21" t="inlineStr">
        <is>
          <t>核对最新产量/投产/搬迁公告</t>
        </is>
      </c>
      <c r="G23" s="21" t="inlineStr">
        <is>
          <t>待确认</t>
        </is>
      </c>
    </row>
    <row r="24" ht="34" customHeight="1">
      <c r="A24" s="18" t="n">
        <v>21</v>
      </c>
      <c r="B24" s="18" t="inlineStr">
        <is>
          <t>滨化股份</t>
        </is>
      </c>
      <c r="C24" s="24" t="inlineStr">
        <is>
          <t>C</t>
        </is>
      </c>
      <c r="D24" s="18" t="inlineStr">
        <is>
          <t>未核实是否有铁路专用线（决定远距可行性）</t>
        </is>
      </c>
      <c r="E24" s="18" t="inlineStr">
        <is>
          <t>信息不完整，影响判断置信度</t>
        </is>
      </c>
      <c r="F24" s="18" t="inlineStr">
        <is>
          <t>首次接触时一并确认</t>
        </is>
      </c>
      <c r="G24" s="18" t="inlineStr">
        <is>
          <t>待确认</t>
        </is>
      </c>
    </row>
  </sheetData>
  <autoFilter ref="A3:G24"/>
  <mergeCells count="2">
    <mergeCell ref="A2:G2"/>
    <mergeCell ref="A1:G1"/>
  </mergeCells>
  <conditionalFormatting sqref="G4:G24">
    <cfRule type="cellIs" priority="1" operator="equal" dxfId="1">
      <formula>"待确认"</formula>
    </cfRule>
  </conditionalFormatting>
  <dataValidations count="1">
    <dataValidation sqref="G4:G24" showDropDown="0" showInputMessage="0" showErrorMessage="0" allowBlank="1" type="list">
      <formula1>"待确认,已确认,不适用"</formula1>
    </dataValidation>
  </dataValidations>
  <pageMargins left="0.75" right="0.75" top="1" bottom="1" header="0.5" footer="0.5"/>
  <pageSetup orientation="landscape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L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2" customWidth="1" min="2" max="2"/>
    <col width="16" customWidth="1" min="3" max="3"/>
    <col width="10" customWidth="1" min="4" max="4"/>
    <col width="8" customWidth="1" min="5" max="5"/>
    <col width="20" customWidth="1" min="6" max="6"/>
    <col width="14" customWidth="1" min="7" max="7"/>
    <col width="13" customWidth="1" min="8" max="8"/>
    <col width="13" customWidth="1" min="9" max="9"/>
    <col width="12" customWidth="1" min="10" max="10"/>
    <col width="10" customWidth="1" min="11" max="11"/>
    <col width="56" customWidth="1" min="12" max="12"/>
  </cols>
  <sheetData>
    <row r="1" ht="26" customHeight="1">
      <c r="A1" s="15" t="inlineStr">
        <is>
          <t>07 询价清单</t>
        </is>
      </c>
    </row>
    <row r="2" ht="17" customHeight="1">
      <c r="A2" s="16" t="inlineStr">
        <is>
          <t>按档位排序后发起询价；到厂价口径须一致，未填即空着，不要估算</t>
        </is>
      </c>
    </row>
    <row r="3" ht="30" customHeight="1">
      <c r="A3" s="17" t="inlineStr">
        <is>
          <t>序号</t>
        </is>
      </c>
      <c r="B3" s="17" t="inlineStr">
        <is>
          <t>企业</t>
        </is>
      </c>
      <c r="C3" s="17" t="inlineStr">
        <is>
          <t>联系人/电话</t>
        </is>
      </c>
      <c r="D3" s="17" t="inlineStr">
        <is>
          <t>匹配/档位</t>
        </is>
      </c>
      <c r="E3" s="17" t="inlineStr">
        <is>
          <t>公路 km</t>
        </is>
      </c>
      <c r="F3" s="17" t="inlineStr">
        <is>
          <t>牌号需求</t>
        </is>
      </c>
      <c r="G3" s="17" t="inlineStr">
        <is>
          <t>可供量（待填）</t>
        </is>
      </c>
      <c r="H3" s="17" t="inlineStr">
        <is>
          <t>出厂价（待填）</t>
        </is>
      </c>
      <c r="I3" s="17" t="inlineStr">
        <is>
          <t>到厂价（待填）</t>
        </is>
      </c>
      <c r="J3" s="17" t="inlineStr">
        <is>
          <t>账期（待填）</t>
        </is>
      </c>
      <c r="K3" s="17" t="inlineStr">
        <is>
          <t>状态</t>
        </is>
      </c>
      <c r="L3" s="17" t="inlineStr">
        <is>
          <t>首轮问询要点</t>
        </is>
      </c>
    </row>
    <row r="4" ht="44" customHeight="1">
      <c r="A4" s="18" t="n">
        <v>1</v>
      </c>
      <c r="B4" s="18" t="inlineStr">
        <is>
          <t>新浦化学（泰兴）有限公司</t>
        </is>
      </c>
      <c r="C4" s="18" t="inlineStr"/>
      <c r="D4" s="20" t="inlineStr">
        <is>
          <t>97/A</t>
        </is>
      </c>
      <c r="E4" s="18" t="n">
        <v>34</v>
      </c>
      <c r="F4" s="18" t="inlineStr">
        <is>
          <t>GB 209-2018 工业用氢氧化钠，NaOH 32%±0.5%，碳酸钠 ≤0.2%</t>
        </is>
      </c>
      <c r="G4" s="18" t="inlineStr"/>
      <c r="H4" s="40" t="inlineStr"/>
      <c r="I4" s="40" t="inlineStr"/>
      <c r="J4" s="40" t="inlineStr"/>
      <c r="K4" s="18" t="inlineStr">
        <is>
          <t>待询价</t>
        </is>
      </c>
      <c r="L4" s="18" t="inlineStr">
        <is>
          <t>① 32% 液碱内贸月度可供量与最小批量？② 折百价还是实物吨价？③ 装车点每日可预约车次与时段？④ 可否配合常州方向的回程车？</t>
        </is>
      </c>
    </row>
    <row r="5" ht="44" customHeight="1">
      <c r="A5" s="21" t="n">
        <v>2</v>
      </c>
      <c r="B5" s="21" t="inlineStr">
        <is>
          <t>中盐常州化工股份有限公司（金坛基地）</t>
        </is>
      </c>
      <c r="C5" s="21" t="inlineStr"/>
      <c r="D5" s="20" t="inlineStr">
        <is>
          <t>85/A</t>
        </is>
      </c>
      <c r="E5" s="21" t="n">
        <v>57.2</v>
      </c>
      <c r="F5" s="21" t="inlineStr">
        <is>
          <t>GB 209-2018 工业用氢氧化钠，NaOH 32%±0.5%，碳酸钠 ≤0.2%</t>
        </is>
      </c>
      <c r="G5" s="21" t="inlineStr"/>
      <c r="H5" s="41" t="inlineStr"/>
      <c r="I5" s="41" t="inlineStr"/>
      <c r="J5" s="41" t="inlineStr"/>
      <c r="K5" s="21" t="inlineStr">
        <is>
          <t>待询价</t>
        </is>
      </c>
      <c r="L5" s="21" t="inlineStr">
        <is>
          <t>① 全公司烧碱实际产能与 32% 液碱商品量？② 金坛/滨江哪个基地发货？③ 月度可供量与最短排产周期？</t>
        </is>
      </c>
    </row>
    <row r="6" ht="44" customHeight="1">
      <c r="A6" s="18" t="n">
        <v>3</v>
      </c>
      <c r="B6" s="18" t="inlineStr">
        <is>
          <t>上海氯碱化工股份有限公司（上海化学工业区基地）</t>
        </is>
      </c>
      <c r="C6" s="18" t="inlineStr"/>
      <c r="D6" s="20" t="inlineStr">
        <is>
          <t>85/A</t>
        </is>
      </c>
      <c r="E6" s="18" t="n">
        <v>229.8</v>
      </c>
      <c r="F6" s="18" t="inlineStr">
        <is>
          <t>GB 209-2018 工业用氢氧化钠，NaOH 32%±0.5%，碳酸钠 ≤0.2%</t>
        </is>
      </c>
      <c r="G6" s="18" t="inlineStr"/>
      <c r="H6" s="40" t="inlineStr"/>
      <c r="I6" s="40" t="inlineStr"/>
      <c r="J6" s="40" t="inlineStr"/>
      <c r="K6" s="18" t="inlineStr">
        <is>
          <t>待询价</t>
        </is>
      </c>
      <c r="L6" s="18" t="inlineStr">
        <is>
          <t>① 最新烧碱产能/产量与 32% 液碱商品量？② 出省危化品运输的通行证办理周期？③ 对常州方向是否已有固定回程线路？</t>
        </is>
      </c>
    </row>
    <row r="7" ht="44" customHeight="1">
      <c r="A7" s="21" t="n">
        <v>4</v>
      </c>
      <c r="B7" s="21" t="inlineStr">
        <is>
          <t>中盐常州化工股份有限公司（滨江基地）</t>
        </is>
      </c>
      <c r="C7" s="21" t="inlineStr"/>
      <c r="D7" s="23" t="inlineStr">
        <is>
          <t>84/B</t>
        </is>
      </c>
      <c r="E7" s="21" t="n">
        <v>5.2</v>
      </c>
      <c r="F7" s="21" t="inlineStr">
        <is>
          <t>GB 209-2018 工业用氢氧化钠，NaOH 32%±0.5%，碳酸钠 ≤0.2%</t>
        </is>
      </c>
      <c r="G7" s="21" t="inlineStr"/>
      <c r="H7" s="41" t="inlineStr"/>
      <c r="I7" s="41" t="inlineStr"/>
      <c r="J7" s="41" t="inlineStr"/>
      <c r="K7" s="21" t="inlineStr">
        <is>
          <t>待询价</t>
        </is>
      </c>
      <c r="L7" s="21" t="inlineStr">
        <is>
          <t>① 滨江基地 32% 液碱商品量与装车点位置？② 是否可园区内管道输送？③ 应急补货最短响应时间？</t>
        </is>
      </c>
    </row>
    <row r="8" ht="44" customHeight="1">
      <c r="A8" s="18" t="n">
        <v>5</v>
      </c>
      <c r="B8" s="18" t="inlineStr">
        <is>
          <t>浙江嘉化能源化工股份有限公司</t>
        </is>
      </c>
      <c r="C8" s="18" t="inlineStr"/>
      <c r="D8" s="23" t="inlineStr">
        <is>
          <t>74/B</t>
        </is>
      </c>
      <c r="E8" s="18" t="n">
        <v>218.9</v>
      </c>
      <c r="F8" s="18" t="inlineStr">
        <is>
          <t>GB 209-2018 工业用氢氧化钠，NaOH 32%±0.5%，碳酸钠 ≤0.2%</t>
        </is>
      </c>
      <c r="G8" s="18" t="inlineStr"/>
      <c r="H8" s="40" t="inlineStr"/>
      <c r="I8" s="40" t="inlineStr"/>
      <c r="J8" s="40" t="inlineStr"/>
      <c r="K8" s="18" t="inlineStr">
        <is>
          <t>待询价</t>
        </is>
      </c>
      <c r="L8" s="18" t="inlineStr">
        <is>
          <t>① 烧碱产能与月度外销量？② 是否有 32% 液碱罐区与装车点？③ 水运至常州港的可能性与最小批量？</t>
        </is>
      </c>
    </row>
    <row r="9" ht="44" customHeight="1">
      <c r="A9" s="21" t="n">
        <v>6</v>
      </c>
      <c r="B9" s="21" t="inlineStr">
        <is>
          <t>江苏索普（集团）有限公司</t>
        </is>
      </c>
      <c r="C9" s="21" t="inlineStr"/>
      <c r="D9" s="24" t="inlineStr">
        <is>
          <t>56/C</t>
        </is>
      </c>
      <c r="E9" s="21" t="n">
        <v>59.8</v>
      </c>
      <c r="F9" s="21" t="inlineStr">
        <is>
          <t>GB 209-2018 工业用氢氧化钠，NaOH 32%±0.5%，碳酸钠 ≤0.2%</t>
        </is>
      </c>
      <c r="G9" s="21" t="inlineStr"/>
      <c r="H9" s="41" t="inlineStr"/>
      <c r="I9" s="41" t="inlineStr"/>
      <c r="J9" s="41" t="inlineStr"/>
      <c r="K9" s="21" t="inlineStr">
        <is>
          <t>待询价</t>
        </is>
      </c>
      <c r="L9" s="21" t="inlineStr">
        <is>
          <t>① 目前是否对外销售 32% 液碱？② 月度量与装车条件？③ 若已停产，是否有集团内其他主体可供？</t>
        </is>
      </c>
    </row>
    <row r="10" ht="44" customHeight="1">
      <c r="A10" s="18" t="n">
        <v>7</v>
      </c>
      <c r="B10" s="18" t="inlineStr">
        <is>
          <t>滨化集团股份有限公司</t>
        </is>
      </c>
      <c r="C10" s="18" t="inlineStr"/>
      <c r="D10" s="24" t="inlineStr">
        <is>
          <t>61/C</t>
        </is>
      </c>
      <c r="E10" s="18" t="n">
        <v>701.6</v>
      </c>
      <c r="F10" s="18" t="inlineStr">
        <is>
          <t>GB 209-2018 工业用氢氧化钠，NaOH 32%±0.5%，碳酸钠 ≤0.2%</t>
        </is>
      </c>
      <c r="G10" s="18" t="inlineStr"/>
      <c r="H10" s="40" t="inlineStr"/>
      <c r="I10" s="40" t="inlineStr"/>
      <c r="J10" s="40" t="inlineStr"/>
      <c r="K10" s="18" t="inlineStr">
        <is>
          <t>待询价</t>
        </is>
      </c>
      <c r="L10" s="18" t="inlineStr">
        <is>
          <t>① 烧碱产能与外销量？② 是否有铁路专用线或水运码头？③ 到江苏的整车报价口径？</t>
        </is>
      </c>
    </row>
  </sheetData>
  <autoFilter ref="A3:L10"/>
  <mergeCells count="2">
    <mergeCell ref="A2:L2"/>
    <mergeCell ref="A1:L1"/>
  </mergeCells>
  <dataValidations count="1">
    <dataValidation sqref="K4:K10" showDropDown="0" showInputMessage="0" showErrorMessage="0" allowBlank="1" type="list">
      <formula1>"待询价,已报价,已比价,已下单,不适用"</formula1>
    </dataValidation>
  </dataValidation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2026-10-19T06:41:26Z</dcterms:created>
  <dcterms:modified xmlns:dcterms="http://purl.org/dc/terms/" xmlns:xsi="http://www.w3.org/2001/XMLSchema-instance" xsi:type="dcterms:W3CDTF">2026-10-19T06:41:26Z</dcterms:modified>
</cp:coreProperties>
</file>
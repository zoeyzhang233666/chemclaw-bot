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封面说明" sheetId="1" state="visible" r:id="rId1"/>
    <sheet xmlns:r="http://schemas.openxmlformats.org/officeDocument/2006/relationships" name="1_原料参数" sheetId="2" state="visible" r:id="rId2"/>
    <sheet xmlns:r="http://schemas.openxmlformats.org/officeDocument/2006/relationships" name="2_成本构成" sheetId="3" state="visible" r:id="rId3"/>
    <sheet xmlns:r="http://schemas.openxmlformats.org/officeDocument/2006/relationships" name="3_敏感性矩阵" sheetId="4" state="visible" r:id="rId4"/>
    <sheet xmlns:r="http://schemas.openxmlformats.org/officeDocument/2006/relationships" name="4_组合情景明细" sheetId="5" state="visible" r:id="rId5"/>
    <sheet xmlns:r="http://schemas.openxmlformats.org/officeDocument/2006/relationships" name="5_历史理论成本" sheetId="6" state="visible" r:id="rId6"/>
    <sheet xmlns:r="http://schemas.openxmlformats.org/officeDocument/2006/relationships" name="6_贡献分解" sheetId="7" state="visible" r:id="rId7"/>
    <sheet xmlns:r="http://schemas.openxmlformats.org/officeDocument/2006/relationships" name="7_数据来源" sheetId="8" state="visible" r:id="rId8"/>
    <sheet xmlns:r="http://schemas.openxmlformats.org/officeDocument/2006/relationships" name="8_公式与口径" sheetId="9" state="visible" r:id="rId9"/>
    <sheet xmlns:r="http://schemas.openxmlformats.org/officeDocument/2006/relationships" name="9_缺口与待补" sheetId="10" state="visible" r:id="rId10"/>
    <sheet xmlns:r="http://schemas.openxmlformats.org/officeDocument/2006/relationships" name="10_与产品价并列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0"/>
    <numFmt numFmtId="166" formatCode="0.0%"/>
    <numFmt numFmtId="167" formatCode="+0.00&quot;%&quot;;-0.00&quot;%&quot;"/>
    <numFmt numFmtId="168" formatCode="0.00&quot;%&quot;"/>
  </numFmts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5"/>
    </font>
    <font>
      <name val="微软雅黑"/>
      <color rgb="005A6B7B"/>
      <sz val="9"/>
    </font>
    <font>
      <name val="微软雅黑"/>
      <b val="1"/>
      <sz val="9.5"/>
    </font>
    <font>
      <name val="微软雅黑"/>
      <sz val="9.5"/>
    </font>
    <font>
      <name val="微软雅黑"/>
      <b val="1"/>
      <color rgb="00C1442E"/>
      <sz val="11"/>
    </font>
    <font>
      <name val="微软雅黑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2F5D8C"/>
      </patternFill>
    </fill>
    <fill>
      <patternFill patternType="solid">
        <fgColor rgb="00FFF2CC"/>
      </patternFill>
    </fill>
    <fill>
      <patternFill patternType="solid">
        <fgColor rgb="00F4F7FA"/>
      </patternFill>
    </fill>
    <fill>
      <patternFill patternType="solid">
        <fgColor rgb="00FDE8E8"/>
      </patternFill>
    </fill>
  </fills>
  <borders count="6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  <border>
      <left/>
      <right/>
      <top style="thin">
        <color rgb="00C8D0DA"/>
      </top>
      <bottom/>
      <diagonal/>
    </border>
    <border>
      <left/>
      <right style="thin">
        <color rgb="00C8D0DA"/>
      </right>
      <top style="thin">
        <color rgb="00C8D0DA"/>
      </top>
      <bottom/>
      <diagonal/>
    </border>
    <border>
      <left/>
      <right/>
      <top style="thin">
        <color rgb="00C8D0DA"/>
      </top>
      <bottom style="thin">
        <color rgb="00C8D0DA"/>
      </bottom>
      <diagonal/>
    </border>
    <border>
      <left/>
      <right style="thin">
        <color rgb="00C8D0DA"/>
      </right>
      <top style="thin">
        <color rgb="00C8D0DA"/>
      </top>
      <bottom style="thin">
        <color rgb="00C8D0D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5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left" vertical="center"/>
    </xf>
    <xf numFmtId="166" fontId="3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left" vertical="center"/>
    </xf>
    <xf numFmtId="168" fontId="4" fillId="4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成本占比</a:t>
            </a:r>
          </a:p>
        </rich>
      </tx>
    </title>
    <plotArea>
      <pieChart>
        <varyColors val="1"/>
        <ser>
          <idx val="0"/>
          <order val="0"/>
          <tx>
            <strRef>
              <f>'2_成本构成'!D3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'2_成本构成'!$A$4:$A$5</f>
            </numRef>
          </cat>
          <val>
            <numRef>
              <f>'2_成本构成'!$D$4:$D$5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单项成本金额（元/吨产品）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'2_成本构成'!D3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'2_成本构成'!$A$4:$A$5</f>
            </numRef>
          </cat>
          <val>
            <numRef>
              <f>'2_成本构成'!$D$4:$D$5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历史理论原料成本（元/吨产品）</a:t>
            </a:r>
          </a:p>
        </rich>
      </tx>
    </title>
    <plotArea>
      <lineChart>
        <grouping val="standard"/>
        <ser>
          <idx val="0"/>
          <order val="0"/>
          <tx>
            <strRef>
              <f>'5_历史理论成本'!F3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'5_历史理论成本'!$A$4:$A$95</f>
            </numRef>
          </cat>
          <val>
            <numRef>
              <f>'5_历史理论成本'!$F$4:$F$95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各原料成本贡献（堆叠）</a:t>
            </a:r>
          </a:p>
        </rich>
      </tx>
    </title>
    <plotArea>
      <lineChart>
        <grouping val="stacked"/>
        <ser>
          <idx val="0"/>
          <order val="0"/>
          <tx>
            <strRef>
              <f>'5_历史理论成本'!D3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'5_历史理论成本'!$A$4:$A$95</f>
            </numRef>
          </cat>
          <val>
            <numRef>
              <f>'5_历史理论成本'!$D$4:$D$95</f>
            </numRef>
          </val>
        </ser>
        <ser>
          <idx val="1"/>
          <order val="1"/>
          <tx>
            <strRef>
              <f>'5_历史理论成本'!E3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'5_历史理论成本'!$A$4:$A$95</f>
            </numRef>
          </cat>
          <val>
            <numRef>
              <f>'5_历史理论成本'!$E$4:$E$95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104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126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  <col width="34" customWidth="1" min="5" max="5"/>
  </cols>
  <sheetData>
    <row r="1" ht="24" customHeight="1">
      <c r="A1" s="1" t="inlineStr">
        <is>
          <t>轻质纯碱（碳酸钠，Na₂CO₃，CAS 497-19-8） · 理论原料成本分析工作簿</t>
        </is>
      </c>
    </row>
    <row r="2">
      <c r="A2" s="2" t="inlineStr">
        <is>
          <t>数据截止 2026-10-20 ｜ 价格口径：含税 ｜ 币种 CNY ｜ 单位：元/吨产品 ｜ 由 chem-cost-model skill 生成</t>
        </is>
      </c>
    </row>
    <row r="4" ht="18" customHeight="1">
      <c r="A4" s="3" t="inlineStr">
        <is>
          <t>产品</t>
        </is>
      </c>
      <c r="B4" s="4" t="inlineStr">
        <is>
          <t>轻质纯碱（碳酸钠，Na₂CO₃，CAS 497-19-8）</t>
        </is>
      </c>
      <c r="C4" s="5" t="n"/>
      <c r="D4" s="5" t="n"/>
      <c r="E4" s="6" t="n"/>
    </row>
    <row r="5" ht="18" customHeight="1">
      <c r="A5" s="3" t="inlineStr">
        <is>
          <t>产品 CAS</t>
        </is>
      </c>
      <c r="B5" s="4" t="inlineStr">
        <is>
          <t>497-19-8</t>
        </is>
      </c>
      <c r="C5" s="5" t="n"/>
      <c r="D5" s="5" t="n"/>
      <c r="E5" s="6" t="n"/>
    </row>
    <row r="6" ht="18" customHeight="1">
      <c r="A6" s="3" t="inlineStr">
        <is>
          <t>工艺口径</t>
        </is>
      </c>
      <c r="B6" s="4" t="inlineStr">
        <is>
          <t>氨碱法（索尔维法）</t>
        </is>
      </c>
      <c r="C6" s="5" t="n"/>
      <c r="D6" s="5" t="n"/>
      <c r="E6" s="6" t="n"/>
    </row>
    <row r="7" ht="18" customHeight="1">
      <c r="A7" s="3" t="inlineStr">
        <is>
          <t>工艺说明</t>
        </is>
      </c>
      <c r="B7" s="4" t="inlineStr">
        <is>
          <t>化盐→盐水精制→吸氨→碳化→过滤→煅烧→蒸氨再生；副产氯化钙废液</t>
        </is>
      </c>
      <c r="C7" s="5" t="n"/>
      <c r="D7" s="5" t="n"/>
      <c r="E7" s="6" t="n"/>
    </row>
    <row r="8" ht="30" customHeight="1">
      <c r="A8" s="3" t="inlineStr">
        <is>
          <t>反应式</t>
        </is>
      </c>
      <c r="B8" s="4" t="inlineStr">
        <is>
          <t>NaCl + NH3 + CO2 + H2O -&gt; NaHCO3 + NH4Cl; 2 NaHCO3 -&gt; Na2CO3 + CO2 + H2O</t>
        </is>
      </c>
      <c r="C8" s="5" t="n"/>
      <c r="D8" s="5" t="n"/>
      <c r="E8" s="6" t="n"/>
    </row>
    <row r="9" ht="18" customHeight="1">
      <c r="A9" s="3" t="inlineStr">
        <is>
          <t>数据截止日</t>
        </is>
      </c>
      <c r="B9" s="4" t="inlineStr">
        <is>
          <t>2026-10-20</t>
        </is>
      </c>
      <c r="C9" s="5" t="n"/>
      <c r="D9" s="5" t="n"/>
      <c r="E9" s="6" t="n"/>
    </row>
    <row r="10" ht="18" customHeight="1">
      <c r="A10" s="3" t="inlineStr">
        <is>
          <t>采购方 / 视角</t>
        </is>
      </c>
      <c r="B10" s="4" t="inlineStr">
        <is>
          <t>氨碱法纯碱厂 · 采购部</t>
        </is>
      </c>
      <c r="C10" s="5" t="n"/>
      <c r="D10" s="5" t="n"/>
      <c r="E10" s="6" t="n"/>
    </row>
    <row r="11" ht="18" customHeight="1">
      <c r="A11" s="3" t="inlineStr">
        <is>
          <t>区域口径</t>
        </is>
      </c>
      <c r="B11" s="4" t="inlineStr">
        <is>
          <t>华东（原盐/石灰石按厂区就近采购，价格列为缺口）</t>
        </is>
      </c>
      <c r="C11" s="5" t="n"/>
      <c r="D11" s="5" t="n"/>
      <c r="E11" s="6" t="n"/>
    </row>
    <row r="12" ht="18" customHeight="1">
      <c r="A12" s="3" t="inlineStr">
        <is>
          <t>单耗口径</t>
        </is>
      </c>
      <c r="B12" s="4" t="inlineStr">
        <is>
          <t>净单耗（已扣回收、含转化/收率/副反应损失）</t>
        </is>
      </c>
      <c r="C12" s="5" t="n"/>
      <c r="D12" s="5" t="n"/>
      <c r="E12" s="6" t="n"/>
    </row>
    <row r="14">
      <c r="A14" s="7" t="inlineStr">
        <is>
          <t>本工作簿怎么用</t>
        </is>
      </c>
    </row>
    <row r="15">
      <c r="A15" s="2" t="inlineStr">
        <is>
          <t>① 只改「1_原料参数」的黄色单元格（单耗、价格、规格/地区/来源）与「3_敏感性矩阵」第 5 行的涨跌幅；</t>
        </is>
      </c>
    </row>
    <row r="16">
      <c r="A16" s="2" t="inlineStr">
        <is>
          <t>② 「2_成本构成」「3_敏感性矩阵」「4_组合情景明细」「5_历史理论成本」「6_贡献分解」全部是公式，改数即联动；</t>
        </is>
      </c>
    </row>
    <row r="17">
      <c r="A17" s="2" t="inlineStr">
        <is>
          <t>③ 「5_历史理论成本」的价格列是真实序列，可替换为你自己的采购成交价（保持日期列）；</t>
        </is>
      </c>
    </row>
    <row r="18">
      <c r="A18" s="2" t="inlineStr">
        <is>
          <t>④ 无可靠价格的原料，价格留空 —— 成本显示为空、占比受 IF 保护，这是"缺口"，不要填 0。</t>
        </is>
      </c>
    </row>
    <row r="20">
      <c r="A20" s="7" t="inlineStr">
        <is>
          <t>未纳入的成本项（理论原料成本 ≠ 完整生产成本 ≠ 利润）</t>
        </is>
      </c>
    </row>
    <row r="21" ht="20" customHeight="1">
      <c r="A21" s="8" t="inlineStr">
        <is>
          <t>未纳入项</t>
        </is>
      </c>
      <c r="B21" s="8" t="inlineStr">
        <is>
          <t>原因 / 影响</t>
        </is>
      </c>
      <c r="C21" s="5" t="n"/>
      <c r="D21" s="5" t="n"/>
      <c r="E21" s="6" t="n"/>
    </row>
    <row r="22">
      <c r="A22" s="4" t="inlineStr">
        <is>
          <t>原盐</t>
        </is>
      </c>
      <c r="B22" s="4" t="inlineStr">
        <is>
          <t>缺可核验日度价格，按缺口列示（未按 0 计入）——本示例的核心缺口</t>
        </is>
      </c>
      <c r="C22" s="5" t="n"/>
      <c r="D22" s="5" t="n"/>
      <c r="E22" s="6" t="n"/>
    </row>
    <row r="23">
      <c r="A23" s="4" t="inlineStr">
        <is>
          <t>石灰石</t>
        </is>
      </c>
      <c r="B23" s="4" t="inlineStr">
        <is>
          <t>矿山直供价随运距变化，缺可核验价格，按缺口列示</t>
        </is>
      </c>
      <c r="C23" s="5" t="n"/>
      <c r="D23" s="5" t="n"/>
      <c r="E23" s="6" t="n"/>
    </row>
    <row r="24">
      <c r="A24" s="4" t="inlineStr">
        <is>
          <t>烟煤（煅烧用）</t>
        </is>
      </c>
      <c r="B24" s="4" t="inlineStr">
        <is>
          <t>行业拆解常单列烟煤 0.1 t/t，本次未采集到可核验价格</t>
        </is>
      </c>
      <c r="C24" s="5" t="n"/>
      <c r="D24" s="5" t="n"/>
      <c r="E24" s="6" t="n"/>
    </row>
    <row r="25">
      <c r="A25" s="4" t="inlineStr">
        <is>
          <t>能源（电、蒸汽）</t>
        </is>
      </c>
      <c r="B25" s="4" t="inlineStr">
        <is>
          <t>占氨碱法成本显著比例，需企业能耗台账</t>
        </is>
      </c>
      <c r="C25" s="5" t="n"/>
      <c r="D25" s="5" t="n"/>
      <c r="E25" s="6" t="n"/>
    </row>
    <row r="26">
      <c r="A26" s="4" t="inlineStr">
        <is>
          <t>人工与制造费用</t>
        </is>
      </c>
      <c r="B26" s="4" t="inlineStr">
        <is>
          <t>不属"原料"</t>
        </is>
      </c>
      <c r="C26" s="5" t="n"/>
      <c r="D26" s="5" t="n"/>
      <c r="E26" s="6" t="n"/>
    </row>
    <row r="27">
      <c r="A27" s="4" t="inlineStr">
        <is>
          <t>折旧、维护、环保（废液处理）</t>
        </is>
      </c>
      <c r="B27" s="4" t="inlineStr">
        <is>
          <t>资本性与环保支出，氨碱法废液处理成本高</t>
        </is>
      </c>
      <c r="C27" s="5" t="n"/>
      <c r="D27" s="5" t="n"/>
      <c r="E27" s="6" t="n"/>
    </row>
    <row r="28">
      <c r="A28" s="4" t="inlineStr">
        <is>
          <t>运输、包装、仓储、资金占用</t>
        </is>
      </c>
      <c r="B28" s="4" t="inlineStr">
        <is>
          <t>与提货方式、账期相关</t>
        </is>
      </c>
      <c r="C28" s="5" t="n"/>
      <c r="D28" s="5" t="n"/>
      <c r="E28" s="6" t="n"/>
    </row>
    <row r="29">
      <c r="A29" s="4" t="inlineStr">
        <is>
          <t>税费（增值税以外的附加、环保税、碳排放成本）</t>
        </is>
      </c>
      <c r="B29" s="4" t="inlineStr">
        <is>
          <t>不进入原料成本</t>
        </is>
      </c>
      <c r="C29" s="5" t="n"/>
      <c r="D29" s="5" t="n"/>
      <c r="E29" s="6" t="n"/>
    </row>
    <row r="31">
      <c r="A31" s="7" t="inlineStr">
        <is>
          <t>文献中存在但无法量化的项</t>
        </is>
      </c>
    </row>
    <row r="32">
      <c r="A32" s="4" t="inlineStr">
        <is>
          <t>氯化铵联产（联碱法才有）</t>
        </is>
      </c>
      <c r="B32" s="4" t="inlineStr">
        <is>
          <t>原因：本示例为氨碱法，不产氯化铵 ｜ 影响：不影响本模型</t>
        </is>
      </c>
      <c r="C32" s="5" t="n"/>
      <c r="D32" s="5" t="n"/>
      <c r="E32" s="6" t="n"/>
    </row>
    <row r="33">
      <c r="A33" s="4" t="inlineStr">
        <is>
          <t>碳排放成本</t>
        </is>
      </c>
      <c r="B33" s="4" t="inlineStr">
        <is>
          <t>原因：吨碱碳排放核算口径与配额价格未定 ｜ 影响：可能显著推高完全成本，但不属原料成本</t>
        </is>
      </c>
      <c r="C33" s="5" t="n"/>
      <c r="D33" s="5" t="n"/>
      <c r="E33" s="6" t="n"/>
    </row>
    <row r="35">
      <c r="A35" s="7" t="inlineStr">
        <is>
          <t>使用限制</t>
        </is>
      </c>
    </row>
    <row r="36">
      <c r="A36" s="2" t="inlineStr">
        <is>
          <t>· 本表是"理论原料成本"模型：只含"有价格的原料单耗 × 价格"，不含能源、人工、折旧、维护、运输、包装与期间费用。</t>
        </is>
      </c>
    </row>
    <row r="37">
      <c r="A37" s="2" t="inlineStr">
        <is>
          <t>· 不得把本表结果当作完整生产成本、销售成本或利润，也不得据此对外报价。</t>
        </is>
      </c>
    </row>
    <row r="38">
      <c r="A38" s="2" t="inlineStr">
        <is>
          <t>· 本表不预测原料未来价格；敏感性矩阵只是"若涨/跌 X% 则成本变化"的机械演算。</t>
        </is>
      </c>
    </row>
    <row r="39">
      <c r="A39" s="2" t="inlineStr">
        <is>
          <t>· 单耗为行业典型值时，已在「1_原料参数」列明来源与适用工艺；替换为企业实测值后结论可能显著改变。</t>
        </is>
      </c>
    </row>
    <row r="40">
      <c r="A40" s="2" t="inlineStr">
        <is>
          <t>· 历史价格缺口未插值，一律留空；数据来源见「7_数据来源」与「9_缺口与待补」。</t>
        </is>
      </c>
    </row>
  </sheetData>
  <mergeCells count="29">
    <mergeCell ref="A39:E39"/>
    <mergeCell ref="B9:E9"/>
    <mergeCell ref="A15:E15"/>
    <mergeCell ref="B6:E6"/>
    <mergeCell ref="B33:E33"/>
    <mergeCell ref="B24:E24"/>
    <mergeCell ref="B5:E5"/>
    <mergeCell ref="A36:E36"/>
    <mergeCell ref="B32:E32"/>
    <mergeCell ref="B26:E26"/>
    <mergeCell ref="B4:E4"/>
    <mergeCell ref="A16:E16"/>
    <mergeCell ref="B7:E7"/>
    <mergeCell ref="B25:E25"/>
    <mergeCell ref="A37:E37"/>
    <mergeCell ref="A18:E18"/>
    <mergeCell ref="B22:E22"/>
    <mergeCell ref="B27:E27"/>
    <mergeCell ref="B12:E12"/>
    <mergeCell ref="B21:E21"/>
    <mergeCell ref="B11:E11"/>
    <mergeCell ref="A17:E17"/>
    <mergeCell ref="B23:E23"/>
    <mergeCell ref="B8:E8"/>
    <mergeCell ref="A38:E38"/>
    <mergeCell ref="B29:E29"/>
    <mergeCell ref="B10:E10"/>
    <mergeCell ref="B28:E28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6" customWidth="1" min="4" max="4"/>
    <col width="11" customWidth="1" min="5" max="5"/>
    <col width="9" customWidth="1" min="6" max="6"/>
    <col width="13" customWidth="1" min="7" max="7"/>
    <col width="12" customWidth="1" min="8" max="8"/>
    <col width="10" customWidth="1" min="9" max="9"/>
    <col width="8" customWidth="1" min="10" max="10"/>
    <col width="15" customWidth="1" min="11" max="11"/>
    <col width="14" customWidth="1" min="12" max="12"/>
    <col width="9" customWidth="1" min="13" max="13"/>
    <col width="26" customWidth="1" min="14" max="14"/>
    <col width="15" customWidth="1" min="15" max="15"/>
    <col width="14" customWidth="1" min="16" max="16"/>
    <col width="12" customWidth="1" min="17" max="17"/>
    <col width="14" customWidth="1" min="18" max="18"/>
    <col width="36" customWidth="1" min="19" max="19"/>
  </cols>
  <sheetData>
    <row r="1" ht="24" customHeight="1">
      <c r="A1" s="1" t="inlineStr">
        <is>
          <t>① 原料参数（黄色 = 可修改的原始输入；灰色 = 公式）</t>
        </is>
      </c>
    </row>
    <row r="2">
      <c r="A2" s="2" t="inlineStr">
        <is>
          <t>改这里，其余工作表自动重算。单耗统一换算为 t/t 产品；价格统一换算为 含税 元/吨。</t>
        </is>
      </c>
    </row>
    <row r="3" ht="34" customHeight="1">
      <c r="A3" s="8" t="inlineStr">
        <is>
          <t>原料ID</t>
        </is>
      </c>
      <c r="B3" s="8" t="inlineStr">
        <is>
          <t>原料名称</t>
        </is>
      </c>
      <c r="C3" s="8" t="inlineStr">
        <is>
          <t>CAS</t>
        </is>
      </c>
      <c r="D3" s="8" t="inlineStr">
        <is>
          <t>主/辅</t>
        </is>
      </c>
      <c r="E3" s="8" t="inlineStr">
        <is>
          <t>单耗(原值)</t>
        </is>
      </c>
      <c r="F3" s="8" t="inlineStr">
        <is>
          <t>单耗单位</t>
        </is>
      </c>
      <c r="G3" s="8" t="inlineStr">
        <is>
          <t>单耗(t/t)</t>
        </is>
      </c>
      <c r="H3" s="8" t="inlineStr">
        <is>
          <t>价格(原值)</t>
        </is>
      </c>
      <c r="I3" s="8" t="inlineStr">
        <is>
          <t>计价单位</t>
        </is>
      </c>
      <c r="J3" s="8" t="inlineStr">
        <is>
          <t>原口径</t>
        </is>
      </c>
      <c r="K3" s="8" t="inlineStr">
        <is>
          <t>价格(元/t目标口径)</t>
        </is>
      </c>
      <c r="L3" s="8" t="inlineStr">
        <is>
          <t>单项成本(元/t)</t>
        </is>
      </c>
      <c r="M3" s="8" t="inlineStr">
        <is>
          <t>成本占比</t>
        </is>
      </c>
      <c r="N3" s="8" t="inlineStr">
        <is>
          <t>规格</t>
        </is>
      </c>
      <c r="O3" s="8" t="inlineStr">
        <is>
          <t>地区</t>
        </is>
      </c>
      <c r="P3" s="8" t="inlineStr">
        <is>
          <t>交货方式</t>
        </is>
      </c>
      <c r="Q3" s="8" t="inlineStr">
        <is>
          <t>价格日期</t>
        </is>
      </c>
      <c r="R3" s="8" t="inlineStr">
        <is>
          <t>单耗来源</t>
        </is>
      </c>
      <c r="S3" s="8" t="inlineStr">
        <is>
          <t>价格来源</t>
        </is>
      </c>
    </row>
    <row r="4">
      <c r="A4" s="9" t="inlineStr">
        <is>
          <t>salt</t>
        </is>
      </c>
      <c r="B4" s="4" t="inlineStr">
        <is>
          <t>原盐（工业盐，NaCl）</t>
        </is>
      </c>
      <c r="C4" s="10" t="inlineStr">
        <is>
          <t>7647-14-5</t>
        </is>
      </c>
      <c r="D4" s="10" t="inlineStr">
        <is>
          <t>主料</t>
        </is>
      </c>
      <c r="E4" s="11" t="n">
        <v>1.5</v>
      </c>
      <c r="F4" s="12" t="inlineStr">
        <is>
          <t>t/t</t>
        </is>
      </c>
      <c r="G4" s="13">
        <f>IF(E4="","",E4*1.0)</f>
        <v/>
      </c>
      <c r="H4" s="14" t="n"/>
      <c r="I4" s="12" t="inlineStr">
        <is>
          <t>CNY/t</t>
        </is>
      </c>
      <c r="J4" s="12" t="inlineStr">
        <is>
          <t>含税</t>
        </is>
      </c>
      <c r="K4" s="15">
        <f>IF(H4="","",H4*1.0*1.0)</f>
        <v/>
      </c>
      <c r="L4" s="15">
        <f>IF(OR($G4="",$K4=""),"",$G4*$K4)</f>
        <v/>
      </c>
      <c r="M4" s="16">
        <f>IF($L4="","",IF(SUM($L$4:$L$7)=0,"",$L4/SUM($L$4:$L$7)))</f>
        <v/>
      </c>
      <c r="N4" s="4" t="inlineStr">
        <is>
          <t>工业盐 ≥96%</t>
        </is>
      </c>
      <c r="O4" s="4" t="inlineStr">
        <is>
          <t>华东</t>
        </is>
      </c>
      <c r="P4" s="4" t="inlineStr">
        <is>
          <t>送到</t>
        </is>
      </c>
      <c r="Q4" s="17" t="inlineStr">
        <is>
          <t>—</t>
        </is>
      </c>
      <c r="R4" s="4" t="inlineStr">
        <is>
          <t>行业协会/机构</t>
        </is>
      </c>
      <c r="S4" s="4" t="inlineStr">
        <is>
          <t>（无价格：缺口）</t>
        </is>
      </c>
    </row>
    <row r="5">
      <c r="A5" s="9" t="inlineStr">
        <is>
          <t>lime</t>
        </is>
      </c>
      <c r="B5" s="4" t="inlineStr">
        <is>
          <t>石灰石（CaCO₃）</t>
        </is>
      </c>
      <c r="C5" s="10" t="inlineStr">
        <is>
          <t>471-34-1</t>
        </is>
      </c>
      <c r="D5" s="10" t="inlineStr">
        <is>
          <t>主料</t>
        </is>
      </c>
      <c r="E5" s="11" t="n">
        <v>1.3</v>
      </c>
      <c r="F5" s="12" t="inlineStr">
        <is>
          <t>t/t</t>
        </is>
      </c>
      <c r="G5" s="13">
        <f>IF(E5="","",E5*1.0)</f>
        <v/>
      </c>
      <c r="H5" s="14" t="n"/>
      <c r="I5" s="12" t="inlineStr">
        <is>
          <t>CNY/t</t>
        </is>
      </c>
      <c r="J5" s="12" t="inlineStr">
        <is>
          <t>含税</t>
        </is>
      </c>
      <c r="K5" s="15">
        <f>IF(H5="","",H5*1.0*1.0)</f>
        <v/>
      </c>
      <c r="L5" s="15">
        <f>IF(OR($G5="",$K5=""),"",$G5*$K5)</f>
        <v/>
      </c>
      <c r="M5" s="16">
        <f>IF($L5="","",IF(SUM($L$4:$L$7)=0,"",$L5/SUM($L$4:$L$7)))</f>
        <v/>
      </c>
      <c r="N5" s="4" t="inlineStr">
        <is>
          <t>CaCO₃ ≥95%，30-60mm</t>
        </is>
      </c>
      <c r="O5" s="4" t="inlineStr">
        <is>
          <t>华东</t>
        </is>
      </c>
      <c r="P5" s="4" t="inlineStr">
        <is>
          <t>矿山直送</t>
        </is>
      </c>
      <c r="Q5" s="17" t="inlineStr">
        <is>
          <t>—</t>
        </is>
      </c>
      <c r="R5" s="4" t="inlineStr">
        <is>
          <t>行业协会/机构</t>
        </is>
      </c>
      <c r="S5" s="4" t="inlineStr">
        <is>
          <t>（无价格：缺口）</t>
        </is>
      </c>
    </row>
    <row r="6">
      <c r="A6" s="9" t="inlineStr">
        <is>
          <t>coal</t>
        </is>
      </c>
      <c r="B6" s="4" t="inlineStr">
        <is>
          <t>动力煤（燃料）</t>
        </is>
      </c>
      <c r="C6" s="10" t="inlineStr">
        <is>
          <t>—</t>
        </is>
      </c>
      <c r="D6" s="10" t="inlineStr">
        <is>
          <t>辅料</t>
        </is>
      </c>
      <c r="E6" s="11" t="n">
        <v>0.58</v>
      </c>
      <c r="F6" s="12" t="inlineStr">
        <is>
          <t>t/t</t>
        </is>
      </c>
      <c r="G6" s="13">
        <f>IF(E6="","",E6*1.0)</f>
        <v/>
      </c>
      <c r="H6" s="18" t="n">
        <v>1041</v>
      </c>
      <c r="I6" s="12" t="inlineStr">
        <is>
          <t>CNY/t</t>
        </is>
      </c>
      <c r="J6" s="12" t="inlineStr">
        <is>
          <t>含税</t>
        </is>
      </c>
      <c r="K6" s="19">
        <f>IF(H6="","",H6*1.0*1.0)</f>
        <v/>
      </c>
      <c r="L6" s="19">
        <f>IF(OR($G6="",$K6=""),"",$G6*$K6)</f>
        <v/>
      </c>
      <c r="M6" s="20">
        <f>IF($L6="","",IF(SUM($L$4:$L$7)=0,"",$L6/SUM($L$4:$L$7)))</f>
        <v/>
      </c>
      <c r="N6" s="4" t="inlineStr">
        <is>
          <t>Q5500</t>
        </is>
      </c>
      <c r="O6" s="4" t="inlineStr">
        <is>
          <t>全国综合</t>
        </is>
      </c>
      <c r="P6" s="4" t="inlineStr">
        <is>
          <t>市场价</t>
        </is>
      </c>
      <c r="Q6" s="17" t="inlineStr">
        <is>
          <t>2026-10-20</t>
        </is>
      </c>
      <c r="R6" s="4" t="inlineStr">
        <is>
          <t>券商/研究机构</t>
        </is>
      </c>
      <c r="S6" s="4" t="inlineStr">
        <is>
          <t>生意社（100ppi.com）动力煤基准价</t>
        </is>
      </c>
    </row>
    <row r="7">
      <c r="A7" s="9" t="inlineStr">
        <is>
          <t>amm</t>
        </is>
      </c>
      <c r="B7" s="4" t="inlineStr">
        <is>
          <t>液氨（补充氨耗）</t>
        </is>
      </c>
      <c r="C7" s="10" t="inlineStr">
        <is>
          <t>7664-41-7</t>
        </is>
      </c>
      <c r="D7" s="10" t="inlineStr">
        <is>
          <t>辅料</t>
        </is>
      </c>
      <c r="E7" s="11" t="n">
        <v>0.004</v>
      </c>
      <c r="F7" s="12" t="inlineStr">
        <is>
          <t>t/t</t>
        </is>
      </c>
      <c r="G7" s="13">
        <f>IF(E7="","",E7*1.0)</f>
        <v/>
      </c>
      <c r="H7" s="18" t="n">
        <v>2686.67</v>
      </c>
      <c r="I7" s="12" t="inlineStr">
        <is>
          <t>CNY/t</t>
        </is>
      </c>
      <c r="J7" s="12" t="inlineStr">
        <is>
          <t>含税</t>
        </is>
      </c>
      <c r="K7" s="19">
        <f>IF(H7="","",H7*1.0*1.0)</f>
        <v/>
      </c>
      <c r="L7" s="19">
        <f>IF(OR($G7="",$K7=""),"",$G7*$K7)</f>
        <v/>
      </c>
      <c r="M7" s="20">
        <f>IF($L7="","",IF(SUM($L$4:$L$7)=0,"",$L7/SUM($L$4:$L$7)))</f>
        <v/>
      </c>
      <c r="N7" s="4" t="inlineStr">
        <is>
          <t>≥99.6%</t>
        </is>
      </c>
      <c r="O7" s="4" t="inlineStr">
        <is>
          <t>全国综合</t>
        </is>
      </c>
      <c r="P7" s="4" t="inlineStr">
        <is>
          <t>市场价</t>
        </is>
      </c>
      <c r="Q7" s="17" t="inlineStr">
        <is>
          <t>2026-10-21</t>
        </is>
      </c>
      <c r="R7" s="4" t="inlineStr">
        <is>
          <t>券商/研究机构</t>
        </is>
      </c>
      <c r="S7" s="4" t="inlineStr">
        <is>
          <t>生意社（100ppi.com）液氨基准价</t>
        </is>
      </c>
    </row>
    <row r="8">
      <c r="A8" s="21" t="n"/>
      <c r="B8" s="22" t="inlineStr">
        <is>
          <t>合计（仅计有价格的原料）</t>
        </is>
      </c>
      <c r="C8" s="21" t="n"/>
      <c r="D8" s="21" t="n"/>
      <c r="E8" s="21" t="n"/>
      <c r="F8" s="21" t="n"/>
      <c r="G8" s="23">
        <f>SUM(G4:G7)</f>
        <v/>
      </c>
      <c r="H8" s="21" t="n"/>
      <c r="I8" s="21" t="n"/>
      <c r="J8" s="21" t="n"/>
      <c r="K8" s="21" t="n"/>
      <c r="L8" s="24">
        <f>SUM(L4:L7)</f>
        <v/>
      </c>
      <c r="M8" s="25">
        <f>IF(L8=0,"",SUM(M4:M7))</f>
        <v/>
      </c>
      <c r="N8" s="21" t="n"/>
      <c r="O8" s="21" t="n"/>
      <c r="P8" s="21" t="n"/>
      <c r="Q8" s="21" t="n"/>
      <c r="R8" s="21" t="n"/>
      <c r="S8" s="21" t="n"/>
    </row>
    <row r="10" ht="30" customHeight="1">
      <c r="A10" s="26" t="inlineStr">
        <is>
          <t>单位与税口径换算：单耗(t/t) = 原值 × 系数（kg/t→0.001，g/t→0.000001）；价格(元/t) = 原值 × 计价换算（元/kg→1000）× 税口径系数（含税→不含税 ÷1.13，反之 ×1.13）。公式写在单元格里，可直接点开查看。</t>
        </is>
      </c>
    </row>
    <row r="11" ht="15" customHeight="1">
      <c r="A11" s="26" t="inlineStr">
        <is>
          <t>税率 13% 为增值税一般税率默认值，须由企业按自身纳税身份核定；若为小规模纳税人或享受优惠，请把本表 X 列（见「8_公式与口径」）改成本企业实际值。</t>
        </is>
      </c>
    </row>
  </sheetData>
  <mergeCells count="2">
    <mergeCell ref="A10:J10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7" customWidth="1" min="4" max="4"/>
    <col width="11" customWidth="1" min="5" max="5"/>
    <col width="11" customWidth="1" min="6" max="6"/>
    <col width="8" customWidth="1" min="7" max="7"/>
  </cols>
  <sheetData>
    <row r="1" ht="24" customHeight="1">
      <c r="A1" s="1" t="inlineStr">
        <is>
          <t>② 单位产品理论原料成本与构成</t>
        </is>
      </c>
    </row>
    <row r="2">
      <c r="A2" s="2" t="inlineStr">
        <is>
          <t>公式：C = Σ(q_i × p_i)；占比 = c_i / C。全部引用「1_原料参数」。</t>
        </is>
      </c>
    </row>
    <row r="3" ht="30" customHeight="1">
      <c r="A3" s="8" t="inlineStr">
        <is>
          <t>原料</t>
        </is>
      </c>
      <c r="B3" s="8" t="inlineStr">
        <is>
          <t>单耗(t/t)</t>
        </is>
      </c>
      <c r="C3" s="8" t="inlineStr">
        <is>
          <t>价格(元/t)</t>
        </is>
      </c>
      <c r="D3" s="8" t="inlineStr">
        <is>
          <t>单项成本(元/t)</t>
        </is>
      </c>
      <c r="E3" s="8" t="inlineStr">
        <is>
          <t>成本占比</t>
        </is>
      </c>
      <c r="F3" s="8" t="inlineStr">
        <is>
          <t>累计占比</t>
        </is>
      </c>
      <c r="G3" s="8" t="inlineStr">
        <is>
          <t>排名</t>
        </is>
      </c>
    </row>
    <row r="4">
      <c r="A4" s="9">
        <f>'1_原料参数'!B6</f>
        <v/>
      </c>
      <c r="B4" s="27">
        <f>'1_原料参数'!G6</f>
        <v/>
      </c>
      <c r="C4" s="28">
        <f>'1_原料参数'!K6</f>
        <v/>
      </c>
      <c r="D4" s="29">
        <f>'1_原料参数'!L6</f>
        <v/>
      </c>
      <c r="E4" s="30">
        <f>IF($D$6=0,"",D4/$D$6)</f>
        <v/>
      </c>
      <c r="F4" s="30">
        <f>E4</f>
        <v/>
      </c>
      <c r="G4" s="31" t="n">
        <v>1</v>
      </c>
    </row>
    <row r="5">
      <c r="A5" s="9">
        <f>'1_原料参数'!B7</f>
        <v/>
      </c>
      <c r="B5" s="27">
        <f>'1_原料参数'!G7</f>
        <v/>
      </c>
      <c r="C5" s="28">
        <f>'1_原料参数'!K7</f>
        <v/>
      </c>
      <c r="D5" s="29">
        <f>'1_原料参数'!L7</f>
        <v/>
      </c>
      <c r="E5" s="30">
        <f>IF($D$6=0,"",D5/$D$6)</f>
        <v/>
      </c>
      <c r="F5" s="30">
        <f>F4+E5</f>
        <v/>
      </c>
      <c r="G5" s="31" t="n">
        <v>2</v>
      </c>
    </row>
    <row r="6">
      <c r="A6" s="22" t="inlineStr">
        <is>
          <t>理论原料成本合计</t>
        </is>
      </c>
      <c r="B6" s="32">
        <f>SUM(B4:B5)</f>
        <v/>
      </c>
      <c r="C6" s="21" t="n"/>
      <c r="D6" s="24">
        <f>SUM(D4:D5)</f>
        <v/>
      </c>
      <c r="E6" s="25">
        <f>SUM(E4:E5)</f>
        <v/>
      </c>
      <c r="F6" s="21" t="n"/>
      <c r="G6" s="21" t="n"/>
    </row>
    <row r="8">
      <c r="A8" s="22" t="inlineStr">
        <is>
          <t>主料合计</t>
        </is>
      </c>
      <c r="D8" s="28">
        <f>SUMIF('1_原料参数'!$D$4:$D$7,"主料",'1_原料参数'!$L$4:$L$7)</f>
        <v/>
      </c>
    </row>
    <row r="9">
      <c r="A9" s="22" t="inlineStr">
        <is>
          <t>辅料合计</t>
        </is>
      </c>
      <c r="D9" s="28">
        <f>SUMIF('1_原料参数'!$D$4:$D$7,"辅料",'1_原料参数'!$L$4:$L$7)</f>
        <v/>
      </c>
    </row>
    <row r="10">
      <c r="A10" s="22" t="inlineStr">
        <is>
          <t>已计价原料条数</t>
        </is>
      </c>
      <c r="D10" s="10">
        <f>COUNT('1_原料参数'!$L$4:$L$7)&amp;" / 4 条"</f>
        <v/>
      </c>
    </row>
    <row r="11">
      <c r="A11" s="22" t="inlineStr">
        <is>
          <t>未计价（缺口）原料</t>
        </is>
      </c>
      <c r="D11" s="4" t="inlineStr">
        <is>
          <t>原盐（工业盐，NaCl）、石灰石（CaCO₃）</t>
        </is>
      </c>
      <c r="E11" s="5" t="n"/>
      <c r="F11" s="5" t="n"/>
      <c r="G11" s="6" t="n"/>
    </row>
  </sheetData>
  <mergeCells count="1">
    <mergeCell ref="D11:G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34" customWidth="1" min="8" max="8"/>
  </cols>
  <sheetData>
    <row r="1" ht="24" customHeight="1">
      <c r="A1" s="1" t="inlineStr">
        <is>
          <t>③ 价格敏感性矩阵与组合情景</t>
        </is>
      </c>
    </row>
    <row r="2">
      <c r="A2" s="2" t="inlineStr">
        <is>
          <t>Δc_i = q_i × p_i × r_i；组合 ΔC = ΣΔc_i。第 5 行涨跌幅（%）为输入，其余为公式。</t>
        </is>
      </c>
    </row>
    <row r="4">
      <c r="A4" s="22" t="inlineStr">
        <is>
          <t>涨跌幅档位（与热力图 D 列起一一对齐）</t>
        </is>
      </c>
      <c r="D4" s="33" t="inlineStr">
        <is>
          <t>-10%</t>
        </is>
      </c>
      <c r="E4" s="33" t="inlineStr">
        <is>
          <t>-5%</t>
        </is>
      </c>
      <c r="F4" s="33" t="inlineStr">
        <is>
          <t>0%</t>
        </is>
      </c>
      <c r="G4" s="33" t="inlineStr">
        <is>
          <t>+5%</t>
        </is>
      </c>
      <c r="H4" s="33" t="inlineStr">
        <is>
          <t>+10%</t>
        </is>
      </c>
      <c r="I4" s="33" t="inlineStr">
        <is>
          <t>单耗+1% 影响(元/吨)</t>
        </is>
      </c>
    </row>
    <row r="5">
      <c r="D5" s="34" t="n">
        <v>-0.1</v>
      </c>
      <c r="E5" s="34" t="n">
        <v>-0.05</v>
      </c>
      <c r="F5" s="34" t="n">
        <v>0</v>
      </c>
      <c r="G5" s="34" t="n">
        <v>0.05</v>
      </c>
      <c r="H5" s="34" t="n">
        <v>0.1</v>
      </c>
      <c r="I5" s="21" t="n"/>
    </row>
    <row r="6" ht="15" customHeight="1">
      <c r="A6" s="26" t="inlineStr">
        <is>
          <t>第 5 行可改（例如改成 3、7、15），下方热力图与合计自动跟随。</t>
        </is>
      </c>
    </row>
    <row r="7">
      <c r="A7" s="7" t="inlineStr">
        <is>
          <t>A. 敏感性热力图：单位成本变化（元/吨产品）</t>
        </is>
      </c>
    </row>
    <row r="8" ht="30" customHeight="1">
      <c r="A8" s="8" t="inlineStr">
        <is>
          <t>原料</t>
        </is>
      </c>
      <c r="B8" s="8" t="inlineStr">
        <is>
          <t>单耗(t/t)</t>
        </is>
      </c>
      <c r="C8" s="8" t="inlineStr">
        <is>
          <t>价格(元/t)</t>
        </is>
      </c>
      <c r="D8" s="8" t="inlineStr">
        <is>
          <t>-10%</t>
        </is>
      </c>
      <c r="E8" s="8" t="inlineStr">
        <is>
          <t>-5%</t>
        </is>
      </c>
      <c r="F8" s="8" t="inlineStr">
        <is>
          <t>0%</t>
        </is>
      </c>
      <c r="G8" s="8" t="inlineStr">
        <is>
          <t>+5%</t>
        </is>
      </c>
      <c r="H8" s="8" t="inlineStr">
        <is>
          <t>+10%</t>
        </is>
      </c>
    </row>
    <row r="9">
      <c r="A9" s="9">
        <f>'1_原料参数'!B6</f>
        <v/>
      </c>
      <c r="B9" s="27">
        <f>'1_原料参数'!G6</f>
        <v/>
      </c>
      <c r="C9" s="28">
        <f>'1_原料参数'!K6</f>
        <v/>
      </c>
      <c r="D9" s="28">
        <f>$B9*$C9*D$5</f>
        <v/>
      </c>
      <c r="E9" s="28">
        <f>$B9*$C9*E$5</f>
        <v/>
      </c>
      <c r="F9" s="28">
        <f>$B9*$C9*F$5</f>
        <v/>
      </c>
      <c r="G9" s="28">
        <f>$B9*$C9*G$5</f>
        <v/>
      </c>
      <c r="H9" s="28">
        <f>$B9*$C9*H$5</f>
        <v/>
      </c>
    </row>
    <row r="10">
      <c r="A10" s="9">
        <f>'1_原料参数'!B7</f>
        <v/>
      </c>
      <c r="B10" s="27">
        <f>'1_原料参数'!G7</f>
        <v/>
      </c>
      <c r="C10" s="28">
        <f>'1_原料参数'!K7</f>
        <v/>
      </c>
      <c r="D10" s="28">
        <f>$B10*$C10*D$5</f>
        <v/>
      </c>
      <c r="E10" s="28">
        <f>$B10*$C10*E$5</f>
        <v/>
      </c>
      <c r="F10" s="28">
        <f>$B10*$C10*F$5</f>
        <v/>
      </c>
      <c r="G10" s="28">
        <f>$B10*$C10*G$5</f>
        <v/>
      </c>
      <c r="H10" s="28">
        <f>$B10*$C10*H$5</f>
        <v/>
      </c>
    </row>
    <row r="11">
      <c r="A11" s="22" t="inlineStr">
        <is>
          <t>合计/全部原料同步</t>
        </is>
      </c>
      <c r="B11" s="35">
        <f>SUM(B9:B10)</f>
        <v/>
      </c>
      <c r="C11" s="21" t="n"/>
      <c r="D11" s="24">
        <f>SUM(D9:D10)</f>
        <v/>
      </c>
      <c r="E11" s="24">
        <f>SUM(E9:E10)</f>
        <v/>
      </c>
      <c r="F11" s="24">
        <f>SUM(F9:F10)</f>
        <v/>
      </c>
      <c r="G11" s="24">
        <f>SUM(G9:G10)</f>
        <v/>
      </c>
      <c r="H11" s="24">
        <f>SUM(H9:H10)</f>
        <v/>
      </c>
    </row>
    <row r="13">
      <c r="A13" s="7" t="inlineStr">
        <is>
          <t>B. 单原料逐档明细（基于「2_成本构成」合计 D6）</t>
        </is>
      </c>
    </row>
    <row r="14" ht="30" customHeight="1">
      <c r="A14" s="8" t="inlineStr">
        <is>
          <t>原料</t>
        </is>
      </c>
      <c r="B14" s="8" t="inlineStr">
        <is>
          <t>-10% 后成本</t>
        </is>
      </c>
      <c r="C14" s="8" t="inlineStr">
        <is>
          <t>-5% 后成本</t>
        </is>
      </c>
      <c r="D14" s="8" t="inlineStr">
        <is>
          <t>0% 后成本</t>
        </is>
      </c>
      <c r="E14" s="8" t="inlineStr">
        <is>
          <t>+5% 后成本</t>
        </is>
      </c>
      <c r="F14" s="8" t="inlineStr">
        <is>
          <t>+10% 后成本</t>
        </is>
      </c>
      <c r="G14" s="8" t="inlineStr">
        <is>
          <t>-10% Δ%</t>
        </is>
      </c>
      <c r="H14" s="8" t="inlineStr">
        <is>
          <t>-5% Δ%</t>
        </is>
      </c>
      <c r="I14" s="8" t="inlineStr">
        <is>
          <t>0% Δ%</t>
        </is>
      </c>
      <c r="J14" s="8" t="inlineStr">
        <is>
          <t>+5% Δ%</t>
        </is>
      </c>
      <c r="K14" s="8" t="inlineStr">
        <is>
          <t>+10% Δ%</t>
        </is>
      </c>
    </row>
    <row r="15">
      <c r="A15" s="9">
        <f>'1_原料参数'!B6</f>
        <v/>
      </c>
      <c r="B15" s="28">
        <f>$D$6*$C$9+D9</f>
        <v/>
      </c>
      <c r="C15" s="28">
        <f>$D$6*$C$9+E9</f>
        <v/>
      </c>
      <c r="D15" s="28">
        <f>$D$6*$C$9+F9</f>
        <v/>
      </c>
      <c r="E15" s="28">
        <f>$D$6*$C$9+G9</f>
        <v/>
      </c>
      <c r="F15" s="28">
        <f>$D$6*$C$9+H9</f>
        <v/>
      </c>
      <c r="G15" s="30">
        <f>IF($D$6=0,"",D9/$D$6)</f>
        <v/>
      </c>
      <c r="H15" s="30">
        <f>IF($D$6=0,"",E9/$D$6)</f>
        <v/>
      </c>
      <c r="I15" s="30">
        <f>IF($D$6=0,"",F9/$D$6)</f>
        <v/>
      </c>
      <c r="J15" s="30">
        <f>IF($D$6=0,"",G9/$D$6)</f>
        <v/>
      </c>
      <c r="K15" s="30">
        <f>IF($D$6=0,"",H9/$D$6)</f>
        <v/>
      </c>
    </row>
    <row r="16">
      <c r="A16" s="9">
        <f>'1_原料参数'!B7</f>
        <v/>
      </c>
      <c r="B16" s="28">
        <f>$D$6*$C$10+D10</f>
        <v/>
      </c>
      <c r="C16" s="28">
        <f>$D$6*$C$10+E10</f>
        <v/>
      </c>
      <c r="D16" s="28">
        <f>$D$6*$C$10+F10</f>
        <v/>
      </c>
      <c r="E16" s="28">
        <f>$D$6*$C$10+G10</f>
        <v/>
      </c>
      <c r="F16" s="28">
        <f>$D$6*$C$10+H10</f>
        <v/>
      </c>
      <c r="G16" s="30">
        <f>IF($D$6=0,"",D10/$D$6)</f>
        <v/>
      </c>
      <c r="H16" s="30">
        <f>IF($D$6=0,"",E10/$D$6)</f>
        <v/>
      </c>
      <c r="I16" s="30">
        <f>IF($D$6=0,"",F10/$D$6)</f>
        <v/>
      </c>
      <c r="J16" s="30">
        <f>IF($D$6=0,"",G10/$D$6)</f>
        <v/>
      </c>
      <c r="K16" s="30">
        <f>IF($D$6=0,"",H10/$D$6)</f>
        <v/>
      </c>
    </row>
    <row r="18">
      <c r="A18" s="7" t="inlineStr">
        <is>
          <t>C. 组合情景：多原料同时变动后每吨理论原料成本</t>
        </is>
      </c>
    </row>
    <row r="19" ht="30" customHeight="1">
      <c r="A19" s="8" t="inlineStr">
        <is>
          <t>情景</t>
        </is>
      </c>
      <c r="B19" s="8" t="inlineStr">
        <is>
          <t>动力煤（燃料） %</t>
        </is>
      </c>
      <c r="C19" s="8" t="inlineStr">
        <is>
          <t>液氨（补充氨耗） %</t>
        </is>
      </c>
      <c r="D19" s="8" t="inlineStr">
        <is>
          <t>基准成本</t>
        </is>
      </c>
      <c r="E19" s="8" t="inlineStr">
        <is>
          <t>情景成本</t>
        </is>
      </c>
      <c r="F19" s="8" t="inlineStr">
        <is>
          <t>Δ成本</t>
        </is>
      </c>
      <c r="G19" s="8" t="inlineStr">
        <is>
          <t>Δ%</t>
        </is>
      </c>
    </row>
    <row r="20">
      <c r="A20" s="4" t="inlineStr">
        <is>
          <t>燃料煤 +10%</t>
        </is>
      </c>
      <c r="B20" s="36" t="n">
        <v>10</v>
      </c>
      <c r="C20" s="36" t="n">
        <v>0</v>
      </c>
      <c r="D20" s="28">
        <f>'2_成本构成'!$D$6</f>
        <v/>
      </c>
      <c r="E20" s="29">
        <f>'1_原料参数'!$G$6*'1_原料参数'!$K$6*(1+B20/100)+'1_原料参数'!$G$7*'1_原料参数'!$K$7*(1+C20/100)</f>
        <v/>
      </c>
      <c r="F20" s="28">
        <f>E20-D20</f>
        <v/>
      </c>
      <c r="G20" s="30">
        <f>IF(D20=0,"",F20/D20)</f>
        <v/>
      </c>
    </row>
    <row r="21">
      <c r="A21" s="4" t="inlineStr">
        <is>
          <t>煤 +10% / 液氨 +10%</t>
        </is>
      </c>
      <c r="B21" s="36" t="n">
        <v>10</v>
      </c>
      <c r="C21" s="36" t="n">
        <v>10</v>
      </c>
      <c r="D21" s="28">
        <f>'2_成本构成'!$D$6</f>
        <v/>
      </c>
      <c r="E21" s="29">
        <f>'1_原料参数'!$G$6*'1_原料参数'!$K$6*(1+B21/100)+'1_原料参数'!$G$7*'1_原料参数'!$K$7*(1+C21/100)</f>
        <v/>
      </c>
      <c r="F21" s="28">
        <f>E21-D21</f>
        <v/>
      </c>
      <c r="G21" s="30">
        <f>IF(D21=0,"",F21/D21)</f>
        <v/>
      </c>
    </row>
    <row r="22">
      <c r="A22" s="4" t="inlineStr">
        <is>
          <t>煤 +20%</t>
        </is>
      </c>
      <c r="B22" s="36" t="n">
        <v>20</v>
      </c>
      <c r="C22" s="36" t="n">
        <v>0</v>
      </c>
      <c r="D22" s="28">
        <f>'2_成本构成'!$D$6</f>
        <v/>
      </c>
      <c r="E22" s="29">
        <f>'1_原料参数'!$G$6*'1_原料参数'!$K$6*(1+B22/100)+'1_原料参数'!$G$7*'1_原料参数'!$K$7*(1+C22/100)</f>
        <v/>
      </c>
      <c r="F22" s="28">
        <f>E22-D22</f>
        <v/>
      </c>
      <c r="G22" s="30">
        <f>IF(D22=0,"",F22/D22)</f>
        <v/>
      </c>
    </row>
    <row r="24" ht="15" customHeight="1">
      <c r="A24" s="26" t="inlineStr">
        <is>
          <t>情景成本 = Σ 单耗_i × 价格_i × (1 + 涨跌幅_i/100)。缺价原料不进入求和——若某原料缺价，情景结果与该缺口同口径（页面已在"缺口"清单中标注）。</t>
        </is>
      </c>
    </row>
  </sheetData>
  <mergeCells count="2">
    <mergeCell ref="A6:F6"/>
    <mergeCell ref="A24:H24"/>
  </mergeCells>
  <conditionalFormatting sqref="D9:H10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④ 组合情景逐原料贡献</t>
        </is>
      </c>
    </row>
    <row r="2">
      <c r="A2" s="2" t="inlineStr">
        <is>
          <t>每情景下各原料成本变化与对总成本的贡献。</t>
        </is>
      </c>
    </row>
    <row r="3">
      <c r="A3" s="22" t="inlineStr">
        <is>
          <t>燃料煤 +10%</t>
        </is>
      </c>
      <c r="B3" s="5" t="n"/>
      <c r="C3" s="5" t="n"/>
      <c r="D3" s="5" t="n"/>
      <c r="E3" s="5" t="n"/>
      <c r="F3" s="6" t="n"/>
    </row>
    <row r="4" ht="30" customHeight="1">
      <c r="A4" s="8" t="inlineStr">
        <is>
          <t>原料</t>
        </is>
      </c>
      <c r="B4" s="8" t="inlineStr">
        <is>
          <t>变动幅度</t>
        </is>
      </c>
      <c r="C4" s="8" t="inlineStr">
        <is>
          <t>原成本</t>
        </is>
      </c>
      <c r="D4" s="8" t="inlineStr">
        <is>
          <t>新成本</t>
        </is>
      </c>
      <c r="E4" s="8" t="inlineStr">
        <is>
          <t>Δ成本</t>
        </is>
      </c>
      <c r="F4" s="8" t="inlineStr">
        <is>
          <t>Δ占总成本</t>
        </is>
      </c>
    </row>
    <row r="5">
      <c r="A5" s="9">
        <f>'1_原料参数'!B6</f>
        <v/>
      </c>
      <c r="B5" s="36" t="n">
        <v>10</v>
      </c>
      <c r="C5" s="28">
        <f>'1_原料参数'!L6</f>
        <v/>
      </c>
      <c r="D5" s="28">
        <f>IF(C5="","",C5*(1+B5/100))</f>
        <v/>
      </c>
      <c r="E5" s="28">
        <f>IF(D5="","",D5-C5)</f>
        <v/>
      </c>
      <c r="F5" s="30">
        <f>IF('2_成本构成'!$D$6=0,"",E5/'2_成本构成'!$D$6)</f>
        <v/>
      </c>
    </row>
    <row r="6">
      <c r="A6" s="9">
        <f>'1_原料参数'!B7</f>
        <v/>
      </c>
      <c r="B6" s="36" t="n">
        <v>0</v>
      </c>
      <c r="C6" s="28">
        <f>'1_原料参数'!L7</f>
        <v/>
      </c>
      <c r="D6" s="28">
        <f>IF(C6="","",C6*(1+B6/100))</f>
        <v/>
      </c>
      <c r="E6" s="28">
        <f>IF(D6="","",D6-C6)</f>
        <v/>
      </c>
      <c r="F6" s="30">
        <f>IF('2_成本构成'!$D$6=0,"",E6/'2_成本构成'!$D$6)</f>
        <v/>
      </c>
    </row>
    <row r="7">
      <c r="A7" s="22" t="inlineStr">
        <is>
          <t>合计</t>
        </is>
      </c>
      <c r="B7" s="21" t="n"/>
      <c r="C7" s="24">
        <f>SUM(C5:C6)</f>
        <v/>
      </c>
      <c r="D7" s="24">
        <f>SUM(D5:D6)</f>
        <v/>
      </c>
      <c r="E7" s="24">
        <f>SUM(E5:E6)</f>
        <v/>
      </c>
      <c r="F7" s="25">
        <f>IF('2_成本构成'!$D$6=0,"",E7/'2_成本构成'!$D$6)</f>
        <v/>
      </c>
    </row>
    <row r="9">
      <c r="A9" s="22" t="inlineStr">
        <is>
          <t>煤 +10% / 液氨 +10%</t>
        </is>
      </c>
      <c r="B9" s="5" t="n"/>
      <c r="C9" s="5" t="n"/>
      <c r="D9" s="5" t="n"/>
      <c r="E9" s="5" t="n"/>
      <c r="F9" s="6" t="n"/>
    </row>
    <row r="10" ht="30" customHeight="1">
      <c r="A10" s="8" t="inlineStr">
        <is>
          <t>原料</t>
        </is>
      </c>
      <c r="B10" s="8" t="inlineStr">
        <is>
          <t>变动幅度</t>
        </is>
      </c>
      <c r="C10" s="8" t="inlineStr">
        <is>
          <t>原成本</t>
        </is>
      </c>
      <c r="D10" s="8" t="inlineStr">
        <is>
          <t>新成本</t>
        </is>
      </c>
      <c r="E10" s="8" t="inlineStr">
        <is>
          <t>Δ成本</t>
        </is>
      </c>
      <c r="F10" s="8" t="inlineStr">
        <is>
          <t>Δ占总成本</t>
        </is>
      </c>
    </row>
    <row r="11">
      <c r="A11" s="9">
        <f>'1_原料参数'!B6</f>
        <v/>
      </c>
      <c r="B11" s="36" t="n">
        <v>10</v>
      </c>
      <c r="C11" s="28">
        <f>'1_原料参数'!L6</f>
        <v/>
      </c>
      <c r="D11" s="28">
        <f>IF(C11="","",C11*(1+B11/100))</f>
        <v/>
      </c>
      <c r="E11" s="28">
        <f>IF(D11="","",D11-C11)</f>
        <v/>
      </c>
      <c r="F11" s="30">
        <f>IF('2_成本构成'!$D$6=0,"",E11/'2_成本构成'!$D$6)</f>
        <v/>
      </c>
    </row>
    <row r="12">
      <c r="A12" s="9">
        <f>'1_原料参数'!B7</f>
        <v/>
      </c>
      <c r="B12" s="36" t="n">
        <v>10</v>
      </c>
      <c r="C12" s="28">
        <f>'1_原料参数'!L7</f>
        <v/>
      </c>
      <c r="D12" s="28">
        <f>IF(C12="","",C12*(1+B12/100))</f>
        <v/>
      </c>
      <c r="E12" s="28">
        <f>IF(D12="","",D12-C12)</f>
        <v/>
      </c>
      <c r="F12" s="30">
        <f>IF('2_成本构成'!$D$6=0,"",E12/'2_成本构成'!$D$6)</f>
        <v/>
      </c>
    </row>
    <row r="13">
      <c r="A13" s="22" t="inlineStr">
        <is>
          <t>合计</t>
        </is>
      </c>
      <c r="B13" s="21" t="n"/>
      <c r="C13" s="24">
        <f>SUM(C11:C12)</f>
        <v/>
      </c>
      <c r="D13" s="24">
        <f>SUM(D11:D12)</f>
        <v/>
      </c>
      <c r="E13" s="24">
        <f>SUM(E11:E12)</f>
        <v/>
      </c>
      <c r="F13" s="25">
        <f>IF('2_成本构成'!$D$6=0,"",E13/'2_成本构成'!$D$6)</f>
        <v/>
      </c>
    </row>
    <row r="15">
      <c r="A15" s="22" t="inlineStr">
        <is>
          <t>煤 +20%</t>
        </is>
      </c>
      <c r="B15" s="5" t="n"/>
      <c r="C15" s="5" t="n"/>
      <c r="D15" s="5" t="n"/>
      <c r="E15" s="5" t="n"/>
      <c r="F15" s="6" t="n"/>
    </row>
    <row r="16" ht="30" customHeight="1">
      <c r="A16" s="8" t="inlineStr">
        <is>
          <t>原料</t>
        </is>
      </c>
      <c r="B16" s="8" t="inlineStr">
        <is>
          <t>变动幅度</t>
        </is>
      </c>
      <c r="C16" s="8" t="inlineStr">
        <is>
          <t>原成本</t>
        </is>
      </c>
      <c r="D16" s="8" t="inlineStr">
        <is>
          <t>新成本</t>
        </is>
      </c>
      <c r="E16" s="8" t="inlineStr">
        <is>
          <t>Δ成本</t>
        </is>
      </c>
      <c r="F16" s="8" t="inlineStr">
        <is>
          <t>Δ占总成本</t>
        </is>
      </c>
    </row>
    <row r="17">
      <c r="A17" s="9">
        <f>'1_原料参数'!B6</f>
        <v/>
      </c>
      <c r="B17" s="36" t="n">
        <v>20</v>
      </c>
      <c r="C17" s="28">
        <f>'1_原料参数'!L6</f>
        <v/>
      </c>
      <c r="D17" s="28">
        <f>IF(C17="","",C17*(1+B17/100))</f>
        <v/>
      </c>
      <c r="E17" s="28">
        <f>IF(D17="","",D17-C17)</f>
        <v/>
      </c>
      <c r="F17" s="30">
        <f>IF('2_成本构成'!$D$6=0,"",E17/'2_成本构成'!$D$6)</f>
        <v/>
      </c>
    </row>
    <row r="18">
      <c r="A18" s="9">
        <f>'1_原料参数'!B7</f>
        <v/>
      </c>
      <c r="B18" s="36" t="n">
        <v>0</v>
      </c>
      <c r="C18" s="28">
        <f>'1_原料参数'!L7</f>
        <v/>
      </c>
      <c r="D18" s="28">
        <f>IF(C18="","",C18*(1+B18/100))</f>
        <v/>
      </c>
      <c r="E18" s="28">
        <f>IF(D18="","",D18-C18)</f>
        <v/>
      </c>
      <c r="F18" s="30">
        <f>IF('2_成本构成'!$D$6=0,"",E18/'2_成本构成'!$D$6)</f>
        <v/>
      </c>
    </row>
    <row r="19">
      <c r="A19" s="22" t="inlineStr">
        <is>
          <t>合计</t>
        </is>
      </c>
      <c r="B19" s="21" t="n"/>
      <c r="C19" s="24">
        <f>SUM(C17:C18)</f>
        <v/>
      </c>
      <c r="D19" s="24">
        <f>SUM(D17:D18)</f>
        <v/>
      </c>
      <c r="E19" s="24">
        <f>SUM(E17:E18)</f>
        <v/>
      </c>
      <c r="F19" s="25">
        <f>IF('2_成本构成'!$D$6=0,"",E19/'2_成本构成'!$D$6)</f>
        <v/>
      </c>
    </row>
  </sheetData>
  <mergeCells count="3">
    <mergeCell ref="A3:F3"/>
    <mergeCell ref="A15:F15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14" customWidth="1" min="5" max="5"/>
    <col width="22" customWidth="1" min="6" max="6"/>
  </cols>
  <sheetData>
    <row r="1" ht="24" customHeight="1">
      <c r="A1" s="1" t="inlineStr">
        <is>
          <t>⑤ 历史价格原始数据与历史理论原料成本</t>
        </is>
      </c>
    </row>
    <row r="2">
      <c r="A2" s="2" t="inlineStr">
        <is>
          <t>价格列 = 真实序列；成本列 = 公式（固定单耗 × 当日价格）。价格留空 → 成本留空（缺口，不插值）。</t>
        </is>
      </c>
    </row>
    <row r="3" ht="30" customHeight="1">
      <c r="A3" s="8" t="inlineStr">
        <is>
          <t>日期</t>
        </is>
      </c>
      <c r="B3" s="8" t="inlineStr">
        <is>
          <t>动力煤 价格(元/t)</t>
        </is>
      </c>
      <c r="C3" s="8" t="inlineStr">
        <is>
          <t>液氨 价格(元/t)</t>
        </is>
      </c>
      <c r="D3" s="8" t="inlineStr">
        <is>
          <t>动力煤（燃料） 成本</t>
        </is>
      </c>
      <c r="E3" s="8" t="inlineStr">
        <is>
          <t>液氨（补充氨耗） 成本</t>
        </is>
      </c>
      <c r="F3" s="8" t="inlineStr">
        <is>
          <t>历史理论原料成本(元/t)</t>
        </is>
      </c>
    </row>
    <row r="4">
      <c r="A4" s="10" t="inlineStr">
        <is>
          <t>2026-07-21</t>
        </is>
      </c>
      <c r="B4" s="37" t="n">
        <v>840.5</v>
      </c>
      <c r="C4" s="37" t="n">
        <v>2176.67</v>
      </c>
      <c r="D4" s="28">
        <f>IF(B4="","",'1_原料参数'!$G$6*B4)</f>
        <v/>
      </c>
      <c r="E4" s="28">
        <f>IF(C4="","",'1_原料参数'!$G$7*C4)</f>
        <v/>
      </c>
      <c r="F4" s="29">
        <f>IF(OR(D4="",E4=""),"",SUM(D4:E4))</f>
        <v/>
      </c>
    </row>
    <row r="5">
      <c r="A5" s="10" t="inlineStr">
        <is>
          <t>2026-07-22</t>
        </is>
      </c>
      <c r="B5" s="37" t="n">
        <v>840.5</v>
      </c>
      <c r="C5" s="37" t="n">
        <v>2176.67</v>
      </c>
      <c r="D5" s="28">
        <f>IF(B5="","",'1_原料参数'!$G$6*B5)</f>
        <v/>
      </c>
      <c r="E5" s="28">
        <f>IF(C5="","",'1_原料参数'!$G$7*C5)</f>
        <v/>
      </c>
      <c r="F5" s="29">
        <f>IF(OR(D5="",E5=""),"",SUM(D5:E5))</f>
        <v/>
      </c>
    </row>
    <row r="6">
      <c r="A6" s="10" t="inlineStr">
        <is>
          <t>2026-07-23</t>
        </is>
      </c>
      <c r="B6" s="37" t="n">
        <v>841.5</v>
      </c>
      <c r="C6" s="37" t="n">
        <v>2166.67</v>
      </c>
      <c r="D6" s="28">
        <f>IF(B6="","",'1_原料参数'!$G$6*B6)</f>
        <v/>
      </c>
      <c r="E6" s="28">
        <f>IF(C6="","",'1_原料参数'!$G$7*C6)</f>
        <v/>
      </c>
      <c r="F6" s="29">
        <f>IF(OR(D6="",E6=""),"",SUM(D6:E6))</f>
        <v/>
      </c>
    </row>
    <row r="7">
      <c r="A7" s="10" t="inlineStr">
        <is>
          <t>2026-07-24</t>
        </is>
      </c>
      <c r="B7" s="37" t="n">
        <v>841.5</v>
      </c>
      <c r="C7" s="37" t="n">
        <v>2150</v>
      </c>
      <c r="D7" s="28">
        <f>IF(B7="","",'1_原料参数'!$G$6*B7)</f>
        <v/>
      </c>
      <c r="E7" s="28">
        <f>IF(C7="","",'1_原料参数'!$G$7*C7)</f>
        <v/>
      </c>
      <c r="F7" s="29">
        <f>IF(OR(D7="",E7=""),"",SUM(D7:E7))</f>
        <v/>
      </c>
    </row>
    <row r="8">
      <c r="A8" s="10" t="inlineStr">
        <is>
          <t>2026-07-25</t>
        </is>
      </c>
      <c r="B8" s="37" t="n">
        <v>841.5</v>
      </c>
      <c r="C8" s="37" t="n">
        <v>2150</v>
      </c>
      <c r="D8" s="28">
        <f>IF(B8="","",'1_原料参数'!$G$6*B8)</f>
        <v/>
      </c>
      <c r="E8" s="28">
        <f>IF(C8="","",'1_原料参数'!$G$7*C8)</f>
        <v/>
      </c>
      <c r="F8" s="29">
        <f>IF(OR(D8="",E8=""),"",SUM(D8:E8))</f>
        <v/>
      </c>
    </row>
    <row r="9">
      <c r="A9" s="10" t="inlineStr">
        <is>
          <t>2026-07-26</t>
        </is>
      </c>
      <c r="B9" s="37" t="n">
        <v>841.5</v>
      </c>
      <c r="C9" s="37" t="n">
        <v>2150</v>
      </c>
      <c r="D9" s="28">
        <f>IF(B9="","",'1_原料参数'!$G$6*B9)</f>
        <v/>
      </c>
      <c r="E9" s="28">
        <f>IF(C9="","",'1_原料参数'!$G$7*C9)</f>
        <v/>
      </c>
      <c r="F9" s="29">
        <f>IF(OR(D9="",E9=""),"",SUM(D9:E9))</f>
        <v/>
      </c>
    </row>
    <row r="10">
      <c r="A10" s="10" t="inlineStr">
        <is>
          <t>2026-07-27</t>
        </is>
      </c>
      <c r="B10" s="37" t="n">
        <v>841.5</v>
      </c>
      <c r="C10" s="37" t="n">
        <v>2243.33</v>
      </c>
      <c r="D10" s="28">
        <f>IF(B10="","",'1_原料参数'!$G$6*B10)</f>
        <v/>
      </c>
      <c r="E10" s="28">
        <f>IF(C10="","",'1_原料参数'!$G$7*C10)</f>
        <v/>
      </c>
      <c r="F10" s="29">
        <f>IF(OR(D10="",E10=""),"",SUM(D10:E10))</f>
        <v/>
      </c>
    </row>
    <row r="11">
      <c r="A11" s="10" t="inlineStr">
        <is>
          <t>2026-07-28</t>
        </is>
      </c>
      <c r="B11" s="37" t="n">
        <v>841.5</v>
      </c>
      <c r="C11" s="37" t="n">
        <v>2250</v>
      </c>
      <c r="D11" s="28">
        <f>IF(B11="","",'1_原料参数'!$G$6*B11)</f>
        <v/>
      </c>
      <c r="E11" s="28">
        <f>IF(C11="","",'1_原料参数'!$G$7*C11)</f>
        <v/>
      </c>
      <c r="F11" s="29">
        <f>IF(OR(D11="",E11=""),"",SUM(D11:E11))</f>
        <v/>
      </c>
    </row>
    <row r="12">
      <c r="A12" s="10" t="inlineStr">
        <is>
          <t>2026-07-29</t>
        </is>
      </c>
      <c r="B12" s="37" t="n">
        <v>841.5</v>
      </c>
      <c r="C12" s="37" t="n">
        <v>2250</v>
      </c>
      <c r="D12" s="28">
        <f>IF(B12="","",'1_原料参数'!$G$6*B12)</f>
        <v/>
      </c>
      <c r="E12" s="28">
        <f>IF(C12="","",'1_原料参数'!$G$7*C12)</f>
        <v/>
      </c>
      <c r="F12" s="29">
        <f>IF(OR(D12="",E12=""),"",SUM(D12:E12))</f>
        <v/>
      </c>
    </row>
    <row r="13">
      <c r="A13" s="10" t="inlineStr">
        <is>
          <t>2026-07-30</t>
        </is>
      </c>
      <c r="B13" s="37" t="n">
        <v>841.5</v>
      </c>
      <c r="C13" s="37" t="n">
        <v>2250</v>
      </c>
      <c r="D13" s="28">
        <f>IF(B13="","",'1_原料参数'!$G$6*B13)</f>
        <v/>
      </c>
      <c r="E13" s="28">
        <f>IF(C13="","",'1_原料参数'!$G$7*C13)</f>
        <v/>
      </c>
      <c r="F13" s="29">
        <f>IF(OR(D13="",E13=""),"",SUM(D13:E13))</f>
        <v/>
      </c>
    </row>
    <row r="14">
      <c r="A14" s="10" t="inlineStr">
        <is>
          <t>2026-07-31</t>
        </is>
      </c>
      <c r="B14" s="37" t="n">
        <v>844</v>
      </c>
      <c r="C14" s="37" t="n">
        <v>2240</v>
      </c>
      <c r="D14" s="28">
        <f>IF(B14="","",'1_原料参数'!$G$6*B14)</f>
        <v/>
      </c>
      <c r="E14" s="28">
        <f>IF(C14="","",'1_原料参数'!$G$7*C14)</f>
        <v/>
      </c>
      <c r="F14" s="29">
        <f>IF(OR(D14="",E14=""),"",SUM(D14:E14))</f>
        <v/>
      </c>
    </row>
    <row r="15">
      <c r="A15" s="10" t="inlineStr">
        <is>
          <t>2026-08-01</t>
        </is>
      </c>
      <c r="B15" s="37" t="n">
        <v>844</v>
      </c>
      <c r="C15" s="37" t="n">
        <v>2240</v>
      </c>
      <c r="D15" s="28">
        <f>IF(B15="","",'1_原料参数'!$G$6*B15)</f>
        <v/>
      </c>
      <c r="E15" s="28">
        <f>IF(C15="","",'1_原料参数'!$G$7*C15)</f>
        <v/>
      </c>
      <c r="F15" s="29">
        <f>IF(OR(D15="",E15=""),"",SUM(D15:E15))</f>
        <v/>
      </c>
    </row>
    <row r="16">
      <c r="A16" s="10" t="inlineStr">
        <is>
          <t>2026-08-02</t>
        </is>
      </c>
      <c r="B16" s="37" t="n">
        <v>844</v>
      </c>
      <c r="C16" s="37" t="n">
        <v>2240</v>
      </c>
      <c r="D16" s="28">
        <f>IF(B16="","",'1_原料参数'!$G$6*B16)</f>
        <v/>
      </c>
      <c r="E16" s="28">
        <f>IF(C16="","",'1_原料参数'!$G$7*C16)</f>
        <v/>
      </c>
      <c r="F16" s="29">
        <f>IF(OR(D16="",E16=""),"",SUM(D16:E16))</f>
        <v/>
      </c>
    </row>
    <row r="17">
      <c r="A17" s="10" t="inlineStr">
        <is>
          <t>2026-08-03</t>
        </is>
      </c>
      <c r="B17" s="37" t="n">
        <v>844</v>
      </c>
      <c r="C17" s="37" t="n">
        <v>2206.67</v>
      </c>
      <c r="D17" s="28">
        <f>IF(B17="","",'1_原料参数'!$G$6*B17)</f>
        <v/>
      </c>
      <c r="E17" s="28">
        <f>IF(C17="","",'1_原料参数'!$G$7*C17)</f>
        <v/>
      </c>
      <c r="F17" s="29">
        <f>IF(OR(D17="",E17=""),"",SUM(D17:E17))</f>
        <v/>
      </c>
    </row>
    <row r="18">
      <c r="A18" s="10" t="inlineStr">
        <is>
          <t>2026-08-04</t>
        </is>
      </c>
      <c r="B18" s="37" t="n">
        <v>844</v>
      </c>
      <c r="C18" s="37" t="n">
        <v>2180</v>
      </c>
      <c r="D18" s="28">
        <f>IF(B18="","",'1_原料参数'!$G$6*B18)</f>
        <v/>
      </c>
      <c r="E18" s="28">
        <f>IF(C18="","",'1_原料参数'!$G$7*C18)</f>
        <v/>
      </c>
      <c r="F18" s="29">
        <f>IF(OR(D18="",E18=""),"",SUM(D18:E18))</f>
        <v/>
      </c>
    </row>
    <row r="19">
      <c r="A19" s="10" t="inlineStr">
        <is>
          <t>2026-08-05</t>
        </is>
      </c>
      <c r="B19" s="37" t="n">
        <v>851.5</v>
      </c>
      <c r="C19" s="37" t="n">
        <v>2186.67</v>
      </c>
      <c r="D19" s="28">
        <f>IF(B19="","",'1_原料参数'!$G$6*B19)</f>
        <v/>
      </c>
      <c r="E19" s="28">
        <f>IF(C19="","",'1_原料参数'!$G$7*C19)</f>
        <v/>
      </c>
      <c r="F19" s="29">
        <f>IF(OR(D19="",E19=""),"",SUM(D19:E19))</f>
        <v/>
      </c>
    </row>
    <row r="20">
      <c r="A20" s="10" t="inlineStr">
        <is>
          <t>2026-08-06</t>
        </is>
      </c>
      <c r="B20" s="37" t="n">
        <v>855.5</v>
      </c>
      <c r="C20" s="37" t="n">
        <v>2203.33</v>
      </c>
      <c r="D20" s="28">
        <f>IF(B20="","",'1_原料参数'!$G$6*B20)</f>
        <v/>
      </c>
      <c r="E20" s="28">
        <f>IF(C20="","",'1_原料参数'!$G$7*C20)</f>
        <v/>
      </c>
      <c r="F20" s="29">
        <f>IF(OR(D20="",E20=""),"",SUM(D20:E20))</f>
        <v/>
      </c>
    </row>
    <row r="21">
      <c r="A21" s="10" t="inlineStr">
        <is>
          <t>2026-08-07</t>
        </is>
      </c>
      <c r="B21" s="37" t="n">
        <v>858</v>
      </c>
      <c r="C21" s="37" t="n">
        <v>2203.33</v>
      </c>
      <c r="D21" s="28">
        <f>IF(B21="","",'1_原料参数'!$G$6*B21)</f>
        <v/>
      </c>
      <c r="E21" s="28">
        <f>IF(C21="","",'1_原料参数'!$G$7*C21)</f>
        <v/>
      </c>
      <c r="F21" s="29">
        <f>IF(OR(D21="",E21=""),"",SUM(D21:E21))</f>
        <v/>
      </c>
    </row>
    <row r="22">
      <c r="A22" s="10" t="inlineStr">
        <is>
          <t>2026-08-08</t>
        </is>
      </c>
      <c r="B22" s="37" t="n">
        <v>858</v>
      </c>
      <c r="C22" s="37" t="n">
        <v>2203.33</v>
      </c>
      <c r="D22" s="28">
        <f>IF(B22="","",'1_原料参数'!$G$6*B22)</f>
        <v/>
      </c>
      <c r="E22" s="28">
        <f>IF(C22="","",'1_原料参数'!$G$7*C22)</f>
        <v/>
      </c>
      <c r="F22" s="29">
        <f>IF(OR(D22="",E22=""),"",SUM(D22:E22))</f>
        <v/>
      </c>
    </row>
    <row r="23">
      <c r="A23" s="10" t="inlineStr">
        <is>
          <t>2026-08-09</t>
        </is>
      </c>
      <c r="B23" s="37" t="n">
        <v>858</v>
      </c>
      <c r="C23" s="37" t="n">
        <v>2203.33</v>
      </c>
      <c r="D23" s="28">
        <f>IF(B23="","",'1_原料参数'!$G$6*B23)</f>
        <v/>
      </c>
      <c r="E23" s="28">
        <f>IF(C23="","",'1_原料参数'!$G$7*C23)</f>
        <v/>
      </c>
      <c r="F23" s="29">
        <f>IF(OR(D23="",E23=""),"",SUM(D23:E23))</f>
        <v/>
      </c>
    </row>
    <row r="24">
      <c r="A24" s="10" t="inlineStr">
        <is>
          <t>2026-08-10</t>
        </is>
      </c>
      <c r="B24" s="37" t="n">
        <v>863</v>
      </c>
      <c r="C24" s="37" t="n">
        <v>2260</v>
      </c>
      <c r="D24" s="28">
        <f>IF(B24="","",'1_原料参数'!$G$6*B24)</f>
        <v/>
      </c>
      <c r="E24" s="28">
        <f>IF(C24="","",'1_原料参数'!$G$7*C24)</f>
        <v/>
      </c>
      <c r="F24" s="29">
        <f>IF(OR(D24="",E24=""),"",SUM(D24:E24))</f>
        <v/>
      </c>
    </row>
    <row r="25">
      <c r="A25" s="10" t="inlineStr">
        <is>
          <t>2026-08-11</t>
        </is>
      </c>
      <c r="B25" s="37" t="n">
        <v>863</v>
      </c>
      <c r="C25" s="37" t="n">
        <v>2293.33</v>
      </c>
      <c r="D25" s="28">
        <f>IF(B25="","",'1_原料参数'!$G$6*B25)</f>
        <v/>
      </c>
      <c r="E25" s="28">
        <f>IF(C25="","",'1_原料参数'!$G$7*C25)</f>
        <v/>
      </c>
      <c r="F25" s="29">
        <f>IF(OR(D25="",E25=""),"",SUM(D25:E25))</f>
        <v/>
      </c>
    </row>
    <row r="26">
      <c r="A26" s="10" t="inlineStr">
        <is>
          <t>2026-08-12</t>
        </is>
      </c>
      <c r="B26" s="37" t="n">
        <v>868</v>
      </c>
      <c r="C26" s="37" t="n">
        <v>2313.33</v>
      </c>
      <c r="D26" s="28">
        <f>IF(B26="","",'1_原料参数'!$G$6*B26)</f>
        <v/>
      </c>
      <c r="E26" s="28">
        <f>IF(C26="","",'1_原料参数'!$G$7*C26)</f>
        <v/>
      </c>
      <c r="F26" s="29">
        <f>IF(OR(D26="",E26=""),"",SUM(D26:E26))</f>
        <v/>
      </c>
    </row>
    <row r="27">
      <c r="A27" s="10" t="inlineStr">
        <is>
          <t>2026-08-13</t>
        </is>
      </c>
      <c r="B27" s="37" t="n">
        <v>868.5</v>
      </c>
      <c r="C27" s="37" t="n">
        <v>2313.33</v>
      </c>
      <c r="D27" s="28">
        <f>IF(B27="","",'1_原料参数'!$G$6*B27)</f>
        <v/>
      </c>
      <c r="E27" s="28">
        <f>IF(C27="","",'1_原料参数'!$G$7*C27)</f>
        <v/>
      </c>
      <c r="F27" s="29">
        <f>IF(OR(D27="",E27=""),"",SUM(D27:E27))</f>
        <v/>
      </c>
    </row>
    <row r="28">
      <c r="A28" s="10" t="inlineStr">
        <is>
          <t>2026-08-14</t>
        </is>
      </c>
      <c r="B28" s="37" t="n">
        <v>869</v>
      </c>
      <c r="C28" s="37" t="n">
        <v>2313.33</v>
      </c>
      <c r="D28" s="28">
        <f>IF(B28="","",'1_原料参数'!$G$6*B28)</f>
        <v/>
      </c>
      <c r="E28" s="28">
        <f>IF(C28="","",'1_原料参数'!$G$7*C28)</f>
        <v/>
      </c>
      <c r="F28" s="29">
        <f>IF(OR(D28="",E28=""),"",SUM(D28:E28))</f>
        <v/>
      </c>
    </row>
    <row r="29">
      <c r="A29" s="10" t="inlineStr">
        <is>
          <t>2026-08-15</t>
        </is>
      </c>
      <c r="B29" s="37" t="n">
        <v>869</v>
      </c>
      <c r="C29" s="37" t="n">
        <v>2313.33</v>
      </c>
      <c r="D29" s="28">
        <f>IF(B29="","",'1_原料参数'!$G$6*B29)</f>
        <v/>
      </c>
      <c r="E29" s="28">
        <f>IF(C29="","",'1_原料参数'!$G$7*C29)</f>
        <v/>
      </c>
      <c r="F29" s="29">
        <f>IF(OR(D29="",E29=""),"",SUM(D29:E29))</f>
        <v/>
      </c>
    </row>
    <row r="30">
      <c r="A30" s="10" t="inlineStr">
        <is>
          <t>2026-08-16</t>
        </is>
      </c>
      <c r="B30" s="37" t="n">
        <v>869</v>
      </c>
      <c r="C30" s="37" t="n">
        <v>2313.33</v>
      </c>
      <c r="D30" s="28">
        <f>IF(B30="","",'1_原料参数'!$G$6*B30)</f>
        <v/>
      </c>
      <c r="E30" s="28">
        <f>IF(C30="","",'1_原料参数'!$G$7*C30)</f>
        <v/>
      </c>
      <c r="F30" s="29">
        <f>IF(OR(D30="",E30=""),"",SUM(D30:E30))</f>
        <v/>
      </c>
    </row>
    <row r="31">
      <c r="A31" s="10" t="inlineStr">
        <is>
          <t>2026-08-17</t>
        </is>
      </c>
      <c r="B31" s="37" t="n">
        <v>869</v>
      </c>
      <c r="C31" s="37" t="n">
        <v>2313.33</v>
      </c>
      <c r="D31" s="28">
        <f>IF(B31="","",'1_原料参数'!$G$6*B31)</f>
        <v/>
      </c>
      <c r="E31" s="28">
        <f>IF(C31="","",'1_原料参数'!$G$7*C31)</f>
        <v/>
      </c>
      <c r="F31" s="29">
        <f>IF(OR(D31="",E31=""),"",SUM(D31:E31))</f>
        <v/>
      </c>
    </row>
    <row r="32">
      <c r="A32" s="10" t="inlineStr">
        <is>
          <t>2026-08-18</t>
        </is>
      </c>
      <c r="B32" s="37" t="n">
        <v>869</v>
      </c>
      <c r="C32" s="37" t="n">
        <v>2313.33</v>
      </c>
      <c r="D32" s="28">
        <f>IF(B32="","",'1_原料参数'!$G$6*B32)</f>
        <v/>
      </c>
      <c r="E32" s="28">
        <f>IF(C32="","",'1_原料参数'!$G$7*C32)</f>
        <v/>
      </c>
      <c r="F32" s="29">
        <f>IF(OR(D32="",E32=""),"",SUM(D32:E32))</f>
        <v/>
      </c>
    </row>
    <row r="33">
      <c r="A33" s="10" t="inlineStr">
        <is>
          <t>2026-08-19</t>
        </is>
      </c>
      <c r="B33" s="37" t="n">
        <v>869</v>
      </c>
      <c r="C33" s="37" t="n">
        <v>2346.67</v>
      </c>
      <c r="D33" s="28">
        <f>IF(B33="","",'1_原料参数'!$G$6*B33)</f>
        <v/>
      </c>
      <c r="E33" s="28">
        <f>IF(C33="","",'1_原料参数'!$G$7*C33)</f>
        <v/>
      </c>
      <c r="F33" s="29">
        <f>IF(OR(D33="",E33=""),"",SUM(D33:E33))</f>
        <v/>
      </c>
    </row>
    <row r="34">
      <c r="A34" s="10" t="inlineStr">
        <is>
          <t>2026-08-20</t>
        </is>
      </c>
      <c r="B34" s="37" t="n">
        <v>867</v>
      </c>
      <c r="C34" s="37" t="n">
        <v>2440</v>
      </c>
      <c r="D34" s="28">
        <f>IF(B34="","",'1_原料参数'!$G$6*B34)</f>
        <v/>
      </c>
      <c r="E34" s="28">
        <f>IF(C34="","",'1_原料参数'!$G$7*C34)</f>
        <v/>
      </c>
      <c r="F34" s="29">
        <f>IF(OR(D34="",E34=""),"",SUM(D34:E34))</f>
        <v/>
      </c>
    </row>
    <row r="35">
      <c r="A35" s="10" t="inlineStr">
        <is>
          <t>2026-08-21</t>
        </is>
      </c>
      <c r="B35" s="37" t="n">
        <v>864.5</v>
      </c>
      <c r="C35" s="37" t="n">
        <v>2523.33</v>
      </c>
      <c r="D35" s="28">
        <f>IF(B35="","",'1_原料参数'!$G$6*B35)</f>
        <v/>
      </c>
      <c r="E35" s="28">
        <f>IF(C35="","",'1_原料参数'!$G$7*C35)</f>
        <v/>
      </c>
      <c r="F35" s="29">
        <f>IF(OR(D35="",E35=""),"",SUM(D35:E35))</f>
        <v/>
      </c>
    </row>
    <row r="36">
      <c r="A36" s="10" t="inlineStr">
        <is>
          <t>2026-08-22</t>
        </is>
      </c>
      <c r="B36" s="37" t="n">
        <v>864.5</v>
      </c>
      <c r="C36" s="37" t="n">
        <v>2523.33</v>
      </c>
      <c r="D36" s="28">
        <f>IF(B36="","",'1_原料参数'!$G$6*B36)</f>
        <v/>
      </c>
      <c r="E36" s="28">
        <f>IF(C36="","",'1_原料参数'!$G$7*C36)</f>
        <v/>
      </c>
      <c r="F36" s="29">
        <f>IF(OR(D36="",E36=""),"",SUM(D36:E36))</f>
        <v/>
      </c>
    </row>
    <row r="37">
      <c r="A37" s="10" t="inlineStr">
        <is>
          <t>2026-08-23</t>
        </is>
      </c>
      <c r="B37" s="37" t="n">
        <v>864.5</v>
      </c>
      <c r="C37" s="37" t="n">
        <v>2523.33</v>
      </c>
      <c r="D37" s="28">
        <f>IF(B37="","",'1_原料参数'!$G$6*B37)</f>
        <v/>
      </c>
      <c r="E37" s="28">
        <f>IF(C37="","",'1_原料参数'!$G$7*C37)</f>
        <v/>
      </c>
      <c r="F37" s="29">
        <f>IF(OR(D37="",E37=""),"",SUM(D37:E37))</f>
        <v/>
      </c>
    </row>
    <row r="38">
      <c r="A38" s="10" t="inlineStr">
        <is>
          <t>2026-08-24</t>
        </is>
      </c>
      <c r="B38" s="37" t="n">
        <v>864.5</v>
      </c>
      <c r="C38" s="37" t="n">
        <v>2556.67</v>
      </c>
      <c r="D38" s="28">
        <f>IF(B38="","",'1_原料参数'!$G$6*B38)</f>
        <v/>
      </c>
      <c r="E38" s="28">
        <f>IF(C38="","",'1_原料参数'!$G$7*C38)</f>
        <v/>
      </c>
      <c r="F38" s="29">
        <f>IF(OR(D38="",E38=""),"",SUM(D38:E38))</f>
        <v/>
      </c>
    </row>
    <row r="39">
      <c r="A39" s="10" t="inlineStr">
        <is>
          <t>2026-08-25</t>
        </is>
      </c>
      <c r="B39" s="37" t="n">
        <v>863.5</v>
      </c>
      <c r="C39" s="37" t="n">
        <v>2556.67</v>
      </c>
      <c r="D39" s="28">
        <f>IF(B39="","",'1_原料参数'!$G$6*B39)</f>
        <v/>
      </c>
      <c r="E39" s="28">
        <f>IF(C39="","",'1_原料参数'!$G$7*C39)</f>
        <v/>
      </c>
      <c r="F39" s="29">
        <f>IF(OR(D39="",E39=""),"",SUM(D39:E39))</f>
        <v/>
      </c>
    </row>
    <row r="40">
      <c r="A40" s="10" t="inlineStr">
        <is>
          <t>2026-08-26</t>
        </is>
      </c>
      <c r="B40" s="37" t="n">
        <v>863.5</v>
      </c>
      <c r="C40" s="37" t="n">
        <v>2623.33</v>
      </c>
      <c r="D40" s="28">
        <f>IF(B40="","",'1_原料参数'!$G$6*B40)</f>
        <v/>
      </c>
      <c r="E40" s="28">
        <f>IF(C40="","",'1_原料参数'!$G$7*C40)</f>
        <v/>
      </c>
      <c r="F40" s="29">
        <f>IF(OR(D40="",E40=""),"",SUM(D40:E40))</f>
        <v/>
      </c>
    </row>
    <row r="41">
      <c r="A41" s="10" t="inlineStr">
        <is>
          <t>2026-08-27</t>
        </is>
      </c>
      <c r="B41" s="37" t="n">
        <v>875.5</v>
      </c>
      <c r="C41" s="37" t="n">
        <v>2666.67</v>
      </c>
      <c r="D41" s="28">
        <f>IF(B41="","",'1_原料参数'!$G$6*B41)</f>
        <v/>
      </c>
      <c r="E41" s="28">
        <f>IF(C41="","",'1_原料参数'!$G$7*C41)</f>
        <v/>
      </c>
      <c r="F41" s="29">
        <f>IF(OR(D41="",E41=""),"",SUM(D41:E41))</f>
        <v/>
      </c>
    </row>
    <row r="42">
      <c r="A42" s="10" t="inlineStr">
        <is>
          <t>2026-08-28</t>
        </is>
      </c>
      <c r="B42" s="37" t="n">
        <v>875.5</v>
      </c>
      <c r="C42" s="37" t="n">
        <v>2700</v>
      </c>
      <c r="D42" s="28">
        <f>IF(B42="","",'1_原料参数'!$G$6*B42)</f>
        <v/>
      </c>
      <c r="E42" s="28">
        <f>IF(C42="","",'1_原料参数'!$G$7*C42)</f>
        <v/>
      </c>
      <c r="F42" s="29">
        <f>IF(OR(D42="",E42=""),"",SUM(D42:E42))</f>
        <v/>
      </c>
    </row>
    <row r="43">
      <c r="A43" s="10" t="inlineStr">
        <is>
          <t>2026-08-29</t>
        </is>
      </c>
      <c r="B43" s="37" t="n">
        <v>875.5</v>
      </c>
      <c r="C43" s="37" t="n">
        <v>2700</v>
      </c>
      <c r="D43" s="28">
        <f>IF(B43="","",'1_原料参数'!$G$6*B43)</f>
        <v/>
      </c>
      <c r="E43" s="28">
        <f>IF(C43="","",'1_原料参数'!$G$7*C43)</f>
        <v/>
      </c>
      <c r="F43" s="29">
        <f>IF(OR(D43="",E43=""),"",SUM(D43:E43))</f>
        <v/>
      </c>
    </row>
    <row r="44">
      <c r="A44" s="10" t="inlineStr">
        <is>
          <t>2026-08-30</t>
        </is>
      </c>
      <c r="B44" s="37" t="n">
        <v>875.5</v>
      </c>
      <c r="C44" s="37" t="n">
        <v>2700</v>
      </c>
      <c r="D44" s="28">
        <f>IF(B44="","",'1_原料参数'!$G$6*B44)</f>
        <v/>
      </c>
      <c r="E44" s="28">
        <f>IF(C44="","",'1_原料参数'!$G$7*C44)</f>
        <v/>
      </c>
      <c r="F44" s="29">
        <f>IF(OR(D44="",E44=""),"",SUM(D44:E44))</f>
        <v/>
      </c>
    </row>
    <row r="45">
      <c r="A45" s="10" t="inlineStr">
        <is>
          <t>2026-08-31</t>
        </is>
      </c>
      <c r="B45" s="37" t="n">
        <v>875.5</v>
      </c>
      <c r="C45" s="37" t="n">
        <v>2773.33</v>
      </c>
      <c r="D45" s="28">
        <f>IF(B45="","",'1_原料参数'!$G$6*B45)</f>
        <v/>
      </c>
      <c r="E45" s="28">
        <f>IF(C45="","",'1_原料参数'!$G$7*C45)</f>
        <v/>
      </c>
      <c r="F45" s="29">
        <f>IF(OR(D45="",E45=""),"",SUM(D45:E45))</f>
        <v/>
      </c>
    </row>
    <row r="46">
      <c r="A46" s="10" t="inlineStr">
        <is>
          <t>2026-09-01</t>
        </is>
      </c>
      <c r="B46" s="37" t="n">
        <v>895.5</v>
      </c>
      <c r="C46" s="37" t="n">
        <v>2790</v>
      </c>
      <c r="D46" s="28">
        <f>IF(B46="","",'1_原料参数'!$G$6*B46)</f>
        <v/>
      </c>
      <c r="E46" s="28">
        <f>IF(C46="","",'1_原料参数'!$G$7*C46)</f>
        <v/>
      </c>
      <c r="F46" s="29">
        <f>IF(OR(D46="",E46=""),"",SUM(D46:E46))</f>
        <v/>
      </c>
    </row>
    <row r="47">
      <c r="A47" s="10" t="inlineStr">
        <is>
          <t>2026-09-02</t>
        </is>
      </c>
      <c r="B47" s="37" t="n">
        <v>902.75</v>
      </c>
      <c r="C47" s="37" t="n">
        <v>2790</v>
      </c>
      <c r="D47" s="28">
        <f>IF(B47="","",'1_原料参数'!$G$6*B47)</f>
        <v/>
      </c>
      <c r="E47" s="28">
        <f>IF(C47="","",'1_原料参数'!$G$7*C47)</f>
        <v/>
      </c>
      <c r="F47" s="29">
        <f>IF(OR(D47="",E47=""),"",SUM(D47:E47))</f>
        <v/>
      </c>
    </row>
    <row r="48">
      <c r="A48" s="10" t="inlineStr">
        <is>
          <t>2026-09-03</t>
        </is>
      </c>
      <c r="B48" s="37" t="n">
        <v>902.75</v>
      </c>
      <c r="C48" s="37" t="n">
        <v>2790</v>
      </c>
      <c r="D48" s="28">
        <f>IF(B48="","",'1_原料参数'!$G$6*B48)</f>
        <v/>
      </c>
      <c r="E48" s="28">
        <f>IF(C48="","",'1_原料参数'!$G$7*C48)</f>
        <v/>
      </c>
      <c r="F48" s="29">
        <f>IF(OR(D48="",E48=""),"",SUM(D48:E48))</f>
        <v/>
      </c>
    </row>
    <row r="49">
      <c r="A49" s="10" t="inlineStr">
        <is>
          <t>2026-09-04</t>
        </is>
      </c>
      <c r="B49" s="37" t="n">
        <v>932.75</v>
      </c>
      <c r="C49" s="37" t="n">
        <v>2763.33</v>
      </c>
      <c r="D49" s="28">
        <f>IF(B49="","",'1_原料参数'!$G$6*B49)</f>
        <v/>
      </c>
      <c r="E49" s="28">
        <f>IF(C49="","",'1_原料参数'!$G$7*C49)</f>
        <v/>
      </c>
      <c r="F49" s="29">
        <f>IF(OR(D49="",E49=""),"",SUM(D49:E49))</f>
        <v/>
      </c>
    </row>
    <row r="50">
      <c r="A50" s="10" t="inlineStr">
        <is>
          <t>2026-09-05</t>
        </is>
      </c>
      <c r="B50" s="37" t="n">
        <v>932.75</v>
      </c>
      <c r="C50" s="37" t="n">
        <v>2763.33</v>
      </c>
      <c r="D50" s="28">
        <f>IF(B50="","",'1_原料参数'!$G$6*B50)</f>
        <v/>
      </c>
      <c r="E50" s="28">
        <f>IF(C50="","",'1_原料参数'!$G$7*C50)</f>
        <v/>
      </c>
      <c r="F50" s="29">
        <f>IF(OR(D50="",E50=""),"",SUM(D50:E50))</f>
        <v/>
      </c>
    </row>
    <row r="51">
      <c r="A51" s="10" t="inlineStr">
        <is>
          <t>2026-09-06</t>
        </is>
      </c>
      <c r="B51" s="37" t="n">
        <v>932.75</v>
      </c>
      <c r="C51" s="37" t="n">
        <v>2763.33</v>
      </c>
      <c r="D51" s="28">
        <f>IF(B51="","",'1_原料参数'!$G$6*B51)</f>
        <v/>
      </c>
      <c r="E51" s="28">
        <f>IF(C51="","",'1_原料参数'!$G$7*C51)</f>
        <v/>
      </c>
      <c r="F51" s="29">
        <f>IF(OR(D51="",E51=""),"",SUM(D51:E51))</f>
        <v/>
      </c>
    </row>
    <row r="52">
      <c r="A52" s="10" t="inlineStr">
        <is>
          <t>2026-09-07</t>
        </is>
      </c>
      <c r="B52" s="37" t="n">
        <v>952.75</v>
      </c>
      <c r="C52" s="37" t="n">
        <v>2706.67</v>
      </c>
      <c r="D52" s="28">
        <f>IF(B52="","",'1_原料参数'!$G$6*B52)</f>
        <v/>
      </c>
      <c r="E52" s="28">
        <f>IF(C52="","",'1_原料参数'!$G$7*C52)</f>
        <v/>
      </c>
      <c r="F52" s="29">
        <f>IF(OR(D52="",E52=""),"",SUM(D52:E52))</f>
        <v/>
      </c>
    </row>
    <row r="53">
      <c r="A53" s="10" t="inlineStr">
        <is>
          <t>2026-09-08</t>
        </is>
      </c>
      <c r="B53" s="37" t="n">
        <v>972.75</v>
      </c>
      <c r="C53" s="37" t="n">
        <v>2706.67</v>
      </c>
      <c r="D53" s="28">
        <f>IF(B53="","",'1_原料参数'!$G$6*B53)</f>
        <v/>
      </c>
      <c r="E53" s="28">
        <f>IF(C53="","",'1_原料参数'!$G$7*C53)</f>
        <v/>
      </c>
      <c r="F53" s="29">
        <f>IF(OR(D53="",E53=""),"",SUM(D53:E53))</f>
        <v/>
      </c>
    </row>
    <row r="54">
      <c r="A54" s="10" t="inlineStr">
        <is>
          <t>2026-09-09</t>
        </is>
      </c>
      <c r="B54" s="37" t="n">
        <v>988.75</v>
      </c>
      <c r="C54" s="37" t="n">
        <v>2726.67</v>
      </c>
      <c r="D54" s="28">
        <f>IF(B54="","",'1_原料参数'!$G$6*B54)</f>
        <v/>
      </c>
      <c r="E54" s="28">
        <f>IF(C54="","",'1_原料参数'!$G$7*C54)</f>
        <v/>
      </c>
      <c r="F54" s="29">
        <f>IF(OR(D54="",E54=""),"",SUM(D54:E54))</f>
        <v/>
      </c>
    </row>
    <row r="55">
      <c r="A55" s="10" t="inlineStr">
        <is>
          <t>2026-09-10</t>
        </is>
      </c>
      <c r="B55" s="37" t="n">
        <v>988.75</v>
      </c>
      <c r="C55" s="37" t="n">
        <v>2726.67</v>
      </c>
      <c r="D55" s="28">
        <f>IF(B55="","",'1_原料参数'!$G$6*B55)</f>
        <v/>
      </c>
      <c r="E55" s="28">
        <f>IF(C55="","",'1_原料参数'!$G$7*C55)</f>
        <v/>
      </c>
      <c r="F55" s="29">
        <f>IF(OR(D55="",E55=""),"",SUM(D55:E55))</f>
        <v/>
      </c>
    </row>
    <row r="56">
      <c r="A56" s="10" t="inlineStr">
        <is>
          <t>2026-09-11</t>
        </is>
      </c>
      <c r="B56" s="37" t="n">
        <v>990</v>
      </c>
      <c r="C56" s="37" t="n">
        <v>2780</v>
      </c>
      <c r="D56" s="28">
        <f>IF(B56="","",'1_原料参数'!$G$6*B56)</f>
        <v/>
      </c>
      <c r="E56" s="28">
        <f>IF(C56="","",'1_原料参数'!$G$7*C56)</f>
        <v/>
      </c>
      <c r="F56" s="29">
        <f>IF(OR(D56="",E56=""),"",SUM(D56:E56))</f>
        <v/>
      </c>
    </row>
    <row r="57">
      <c r="A57" s="10" t="inlineStr">
        <is>
          <t>2026-09-12</t>
        </is>
      </c>
      <c r="B57" s="37" t="n">
        <v>990</v>
      </c>
      <c r="C57" s="37" t="n">
        <v>2780</v>
      </c>
      <c r="D57" s="28">
        <f>IF(B57="","",'1_原料参数'!$G$6*B57)</f>
        <v/>
      </c>
      <c r="E57" s="28">
        <f>IF(C57="","",'1_原料参数'!$G$7*C57)</f>
        <v/>
      </c>
      <c r="F57" s="29">
        <f>IF(OR(D57="",E57=""),"",SUM(D57:E57))</f>
        <v/>
      </c>
    </row>
    <row r="58">
      <c r="A58" s="10" t="inlineStr">
        <is>
          <t>2026-09-13</t>
        </is>
      </c>
      <c r="B58" s="37" t="n">
        <v>990</v>
      </c>
      <c r="C58" s="37" t="n">
        <v>2780</v>
      </c>
      <c r="D58" s="28">
        <f>IF(B58="","",'1_原料参数'!$G$6*B58)</f>
        <v/>
      </c>
      <c r="E58" s="28">
        <f>IF(C58="","",'1_原料参数'!$G$7*C58)</f>
        <v/>
      </c>
      <c r="F58" s="29">
        <f>IF(OR(D58="",E58=""),"",SUM(D58:E58))</f>
        <v/>
      </c>
    </row>
    <row r="59">
      <c r="A59" s="10" t="inlineStr">
        <is>
          <t>2026-09-14</t>
        </is>
      </c>
      <c r="B59" s="37" t="n">
        <v>988.75</v>
      </c>
      <c r="C59" s="37" t="n">
        <v>2906.67</v>
      </c>
      <c r="D59" s="28">
        <f>IF(B59="","",'1_原料参数'!$G$6*B59)</f>
        <v/>
      </c>
      <c r="E59" s="28">
        <f>IF(C59="","",'1_原料参数'!$G$7*C59)</f>
        <v/>
      </c>
      <c r="F59" s="29">
        <f>IF(OR(D59="",E59=""),"",SUM(D59:E59))</f>
        <v/>
      </c>
    </row>
    <row r="60">
      <c r="A60" s="10" t="inlineStr">
        <is>
          <t>2026-09-15</t>
        </is>
      </c>
      <c r="B60" s="37" t="n">
        <v>986.5</v>
      </c>
      <c r="C60" s="37" t="n">
        <v>2950</v>
      </c>
      <c r="D60" s="28">
        <f>IF(B60="","",'1_原料参数'!$G$6*B60)</f>
        <v/>
      </c>
      <c r="E60" s="28">
        <f>IF(C60="","",'1_原料参数'!$G$7*C60)</f>
        <v/>
      </c>
      <c r="F60" s="29">
        <f>IF(OR(D60="",E60=""),"",SUM(D60:E60))</f>
        <v/>
      </c>
    </row>
    <row r="61">
      <c r="A61" s="10" t="inlineStr">
        <is>
          <t>2026-09-16</t>
        </is>
      </c>
      <c r="B61" s="37" t="n">
        <v>986.5</v>
      </c>
      <c r="C61" s="37" t="n">
        <v>2983.33</v>
      </c>
      <c r="D61" s="28">
        <f>IF(B61="","",'1_原料参数'!$G$6*B61)</f>
        <v/>
      </c>
      <c r="E61" s="28">
        <f>IF(C61="","",'1_原料参数'!$G$7*C61)</f>
        <v/>
      </c>
      <c r="F61" s="29">
        <f>IF(OR(D61="",E61=""),"",SUM(D61:E61))</f>
        <v/>
      </c>
    </row>
    <row r="62">
      <c r="A62" s="10" t="inlineStr">
        <is>
          <t>2026-09-17</t>
        </is>
      </c>
      <c r="B62" s="37" t="n">
        <v>983</v>
      </c>
      <c r="C62" s="37" t="n">
        <v>3000</v>
      </c>
      <c r="D62" s="28">
        <f>IF(B62="","",'1_原料参数'!$G$6*B62)</f>
        <v/>
      </c>
      <c r="E62" s="28">
        <f>IF(C62="","",'1_原料参数'!$G$7*C62)</f>
        <v/>
      </c>
      <c r="F62" s="29">
        <f>IF(OR(D62="",E62=""),"",SUM(D62:E62))</f>
        <v/>
      </c>
    </row>
    <row r="63">
      <c r="A63" s="10" t="inlineStr">
        <is>
          <t>2026-09-18</t>
        </is>
      </c>
      <c r="B63" s="37" t="n">
        <v>983</v>
      </c>
      <c r="C63" s="37" t="n">
        <v>3033.33</v>
      </c>
      <c r="D63" s="28">
        <f>IF(B63="","",'1_原料参数'!$G$6*B63)</f>
        <v/>
      </c>
      <c r="E63" s="28">
        <f>IF(C63="","",'1_原料参数'!$G$7*C63)</f>
        <v/>
      </c>
      <c r="F63" s="29">
        <f>IF(OR(D63="",E63=""),"",SUM(D63:E63))</f>
        <v/>
      </c>
    </row>
    <row r="64">
      <c r="A64" s="10" t="inlineStr">
        <is>
          <t>2026-09-19</t>
        </is>
      </c>
      <c r="B64" s="37" t="n">
        <v>983</v>
      </c>
      <c r="C64" s="37" t="n">
        <v>3033.33</v>
      </c>
      <c r="D64" s="28">
        <f>IF(B64="","",'1_原料参数'!$G$6*B64)</f>
        <v/>
      </c>
      <c r="E64" s="28">
        <f>IF(C64="","",'1_原料参数'!$G$7*C64)</f>
        <v/>
      </c>
      <c r="F64" s="29">
        <f>IF(OR(D64="",E64=""),"",SUM(D64:E64))</f>
        <v/>
      </c>
    </row>
    <row r="65">
      <c r="A65" s="10" t="inlineStr">
        <is>
          <t>2026-09-20</t>
        </is>
      </c>
      <c r="B65" s="37" t="n">
        <v>984</v>
      </c>
      <c r="C65" s="37" t="n">
        <v>3023.33</v>
      </c>
      <c r="D65" s="28">
        <f>IF(B65="","",'1_原料参数'!$G$6*B65)</f>
        <v/>
      </c>
      <c r="E65" s="28">
        <f>IF(C65="","",'1_原料参数'!$G$7*C65)</f>
        <v/>
      </c>
      <c r="F65" s="29">
        <f>IF(OR(D65="",E65=""),"",SUM(D65:E65))</f>
        <v/>
      </c>
    </row>
    <row r="66">
      <c r="A66" s="10" t="inlineStr">
        <is>
          <t>2026-09-21</t>
        </is>
      </c>
      <c r="B66" s="37" t="n">
        <v>985</v>
      </c>
      <c r="C66" s="37" t="n">
        <v>3023.33</v>
      </c>
      <c r="D66" s="28">
        <f>IF(B66="","",'1_原料参数'!$G$6*B66)</f>
        <v/>
      </c>
      <c r="E66" s="28">
        <f>IF(C66="","",'1_原料参数'!$G$7*C66)</f>
        <v/>
      </c>
      <c r="F66" s="29">
        <f>IF(OR(D66="",E66=""),"",SUM(D66:E66))</f>
        <v/>
      </c>
    </row>
    <row r="67">
      <c r="A67" s="10" t="inlineStr">
        <is>
          <t>2026-09-22</t>
        </is>
      </c>
      <c r="B67" s="37" t="n">
        <v>987.5</v>
      </c>
      <c r="C67" s="37" t="n">
        <v>2946.67</v>
      </c>
      <c r="D67" s="28">
        <f>IF(B67="","",'1_原料参数'!$G$6*B67)</f>
        <v/>
      </c>
      <c r="E67" s="28">
        <f>IF(C67="","",'1_原料参数'!$G$7*C67)</f>
        <v/>
      </c>
      <c r="F67" s="29">
        <f>IF(OR(D67="",E67=""),"",SUM(D67:E67))</f>
        <v/>
      </c>
    </row>
    <row r="68">
      <c r="A68" s="10" t="inlineStr">
        <is>
          <t>2026-09-23</t>
        </is>
      </c>
      <c r="B68" s="37" t="n">
        <v>989.5</v>
      </c>
      <c r="C68" s="37" t="n">
        <v>2903.33</v>
      </c>
      <c r="D68" s="28">
        <f>IF(B68="","",'1_原料参数'!$G$6*B68)</f>
        <v/>
      </c>
      <c r="E68" s="28">
        <f>IF(C68="","",'1_原料参数'!$G$7*C68)</f>
        <v/>
      </c>
      <c r="F68" s="29">
        <f>IF(OR(D68="",E68=""),"",SUM(D68:E68))</f>
        <v/>
      </c>
    </row>
    <row r="69">
      <c r="A69" s="10" t="inlineStr">
        <is>
          <t>2026-09-24</t>
        </is>
      </c>
      <c r="B69" s="37" t="n">
        <v>993.75</v>
      </c>
      <c r="C69" s="37" t="n">
        <v>2903.33</v>
      </c>
      <c r="D69" s="28">
        <f>IF(B69="","",'1_原料参数'!$G$6*B69)</f>
        <v/>
      </c>
      <c r="E69" s="28">
        <f>IF(C69="","",'1_原料参数'!$G$7*C69)</f>
        <v/>
      </c>
      <c r="F69" s="29">
        <f>IF(OR(D69="",E69=""),"",SUM(D69:E69))</f>
        <v/>
      </c>
    </row>
    <row r="70">
      <c r="A70" s="10" t="inlineStr">
        <is>
          <t>2026-09-25</t>
        </is>
      </c>
      <c r="B70" s="37" t="n">
        <v>993.75</v>
      </c>
      <c r="C70" s="37" t="n">
        <v>2813.33</v>
      </c>
      <c r="D70" s="28">
        <f>IF(B70="","",'1_原料参数'!$G$6*B70)</f>
        <v/>
      </c>
      <c r="E70" s="28">
        <f>IF(C70="","",'1_原料参数'!$G$7*C70)</f>
        <v/>
      </c>
      <c r="F70" s="29">
        <f>IF(OR(D70="",E70=""),"",SUM(D70:E70))</f>
        <v/>
      </c>
    </row>
    <row r="71">
      <c r="A71" s="10" t="inlineStr">
        <is>
          <t>2026-09-26</t>
        </is>
      </c>
      <c r="B71" s="37" t="n">
        <v>993.75</v>
      </c>
      <c r="C71" s="37" t="n">
        <v>2813.33</v>
      </c>
      <c r="D71" s="28">
        <f>IF(B71="","",'1_原料参数'!$G$6*B71)</f>
        <v/>
      </c>
      <c r="E71" s="28">
        <f>IF(C71="","",'1_原料参数'!$G$7*C71)</f>
        <v/>
      </c>
      <c r="F71" s="29">
        <f>IF(OR(D71="",E71=""),"",SUM(D71:E71))</f>
        <v/>
      </c>
    </row>
    <row r="72">
      <c r="A72" s="10" t="inlineStr">
        <is>
          <t>2026-09-27</t>
        </is>
      </c>
      <c r="B72" s="37" t="n">
        <v>993.75</v>
      </c>
      <c r="C72" s="37" t="n">
        <v>2813.33</v>
      </c>
      <c r="D72" s="28">
        <f>IF(B72="","",'1_原料参数'!$G$6*B72)</f>
        <v/>
      </c>
      <c r="E72" s="28">
        <f>IF(C72="","",'1_原料参数'!$G$7*C72)</f>
        <v/>
      </c>
      <c r="F72" s="29">
        <f>IF(OR(D72="",E72=""),"",SUM(D72:E72))</f>
        <v/>
      </c>
    </row>
    <row r="73">
      <c r="A73" s="10" t="inlineStr">
        <is>
          <t>2026-09-28</t>
        </is>
      </c>
      <c r="B73" s="37" t="n">
        <v>994.5</v>
      </c>
      <c r="C73" s="37" t="n">
        <v>2563.33</v>
      </c>
      <c r="D73" s="28">
        <f>IF(B73="","",'1_原料参数'!$G$6*B73)</f>
        <v/>
      </c>
      <c r="E73" s="28">
        <f>IF(C73="","",'1_原料参数'!$G$7*C73)</f>
        <v/>
      </c>
      <c r="F73" s="29">
        <f>IF(OR(D73="",E73=""),"",SUM(D73:E73))</f>
        <v/>
      </c>
    </row>
    <row r="74">
      <c r="A74" s="10" t="inlineStr">
        <is>
          <t>2026-09-29</t>
        </is>
      </c>
      <c r="B74" s="37" t="n">
        <v>994.5</v>
      </c>
      <c r="C74" s="37" t="n">
        <v>2540</v>
      </c>
      <c r="D74" s="28">
        <f>IF(B74="","",'1_原料参数'!$G$6*B74)</f>
        <v/>
      </c>
      <c r="E74" s="28">
        <f>IF(C74="","",'1_原料参数'!$G$7*C74)</f>
        <v/>
      </c>
      <c r="F74" s="29">
        <f>IF(OR(D74="",E74=""),"",SUM(D74:E74))</f>
        <v/>
      </c>
    </row>
    <row r="75">
      <c r="A75" s="10" t="inlineStr">
        <is>
          <t>2026-09-30</t>
        </is>
      </c>
      <c r="B75" s="37" t="n">
        <v>994.5</v>
      </c>
      <c r="C75" s="37" t="n">
        <v>2540</v>
      </c>
      <c r="D75" s="28">
        <f>IF(B75="","",'1_原料参数'!$G$6*B75)</f>
        <v/>
      </c>
      <c r="E75" s="28">
        <f>IF(C75="","",'1_原料参数'!$G$7*C75)</f>
        <v/>
      </c>
      <c r="F75" s="29">
        <f>IF(OR(D75="",E75=""),"",SUM(D75:E75))</f>
        <v/>
      </c>
    </row>
    <row r="76">
      <c r="A76" s="10" t="inlineStr">
        <is>
          <t>2026-10-01</t>
        </is>
      </c>
      <c r="B76" s="37" t="n">
        <v>994.5</v>
      </c>
      <c r="C76" s="37" t="n">
        <v>2540</v>
      </c>
      <c r="D76" s="28">
        <f>IF(B76="","",'1_原料参数'!$G$6*B76)</f>
        <v/>
      </c>
      <c r="E76" s="28">
        <f>IF(C76="","",'1_原料参数'!$G$7*C76)</f>
        <v/>
      </c>
      <c r="F76" s="29">
        <f>IF(OR(D76="",E76=""),"",SUM(D76:E76))</f>
        <v/>
      </c>
    </row>
    <row r="77">
      <c r="A77" s="10" t="inlineStr">
        <is>
          <t>2026-10-02</t>
        </is>
      </c>
      <c r="B77" s="37" t="n">
        <v>994.5</v>
      </c>
      <c r="C77" s="37" t="n">
        <v>2540</v>
      </c>
      <c r="D77" s="28">
        <f>IF(B77="","",'1_原料参数'!$G$6*B77)</f>
        <v/>
      </c>
      <c r="E77" s="28">
        <f>IF(C77="","",'1_原料参数'!$G$7*C77)</f>
        <v/>
      </c>
      <c r="F77" s="29">
        <f>IF(OR(D77="",E77=""),"",SUM(D77:E77))</f>
        <v/>
      </c>
    </row>
    <row r="78">
      <c r="A78" s="10" t="inlineStr">
        <is>
          <t>2026-10-03</t>
        </is>
      </c>
      <c r="B78" s="37" t="n">
        <v>994.5</v>
      </c>
      <c r="C78" s="37" t="n">
        <v>2540</v>
      </c>
      <c r="D78" s="28">
        <f>IF(B78="","",'1_原料参数'!$G$6*B78)</f>
        <v/>
      </c>
      <c r="E78" s="28">
        <f>IF(C78="","",'1_原料参数'!$G$7*C78)</f>
        <v/>
      </c>
      <c r="F78" s="29">
        <f>IF(OR(D78="",E78=""),"",SUM(D78:E78))</f>
        <v/>
      </c>
    </row>
    <row r="79">
      <c r="A79" s="10" t="inlineStr">
        <is>
          <t>2026-10-04</t>
        </is>
      </c>
      <c r="B79" s="37" t="n">
        <v>994.5</v>
      </c>
      <c r="C79" s="37" t="n">
        <v>2540</v>
      </c>
      <c r="D79" s="28">
        <f>IF(B79="","",'1_原料参数'!$G$6*B79)</f>
        <v/>
      </c>
      <c r="E79" s="28">
        <f>IF(C79="","",'1_原料参数'!$G$7*C79)</f>
        <v/>
      </c>
      <c r="F79" s="29">
        <f>IF(OR(D79="",E79=""),"",SUM(D79:E79))</f>
        <v/>
      </c>
    </row>
    <row r="80">
      <c r="A80" s="10" t="inlineStr">
        <is>
          <t>2026-10-05</t>
        </is>
      </c>
      <c r="B80" s="37" t="n">
        <v>994.5</v>
      </c>
      <c r="C80" s="37" t="n">
        <v>2540</v>
      </c>
      <c r="D80" s="28">
        <f>IF(B80="","",'1_原料参数'!$G$6*B80)</f>
        <v/>
      </c>
      <c r="E80" s="28">
        <f>IF(C80="","",'1_原料参数'!$G$7*C80)</f>
        <v/>
      </c>
      <c r="F80" s="29">
        <f>IF(OR(D80="",E80=""),"",SUM(D80:E80))</f>
        <v/>
      </c>
    </row>
    <row r="81">
      <c r="A81" s="10" t="inlineStr">
        <is>
          <t>2026-10-06</t>
        </is>
      </c>
      <c r="B81" s="37" t="n">
        <v>994.5</v>
      </c>
      <c r="C81" s="37" t="n">
        <v>2540</v>
      </c>
      <c r="D81" s="28">
        <f>IF(B81="","",'1_原料参数'!$G$6*B81)</f>
        <v/>
      </c>
      <c r="E81" s="28">
        <f>IF(C81="","",'1_原料参数'!$G$7*C81)</f>
        <v/>
      </c>
      <c r="F81" s="29">
        <f>IF(OR(D81="",E81=""),"",SUM(D81:E81))</f>
        <v/>
      </c>
    </row>
    <row r="82">
      <c r="A82" s="10" t="inlineStr">
        <is>
          <t>2026-10-07</t>
        </is>
      </c>
      <c r="B82" s="37" t="n">
        <v>994.5</v>
      </c>
      <c r="C82" s="37" t="n">
        <v>2540</v>
      </c>
      <c r="D82" s="28">
        <f>IF(B82="","",'1_原料参数'!$G$6*B82)</f>
        <v/>
      </c>
      <c r="E82" s="28">
        <f>IF(C82="","",'1_原料参数'!$G$7*C82)</f>
        <v/>
      </c>
      <c r="F82" s="29">
        <f>IF(OR(D82="",E82=""),"",SUM(D82:E82))</f>
        <v/>
      </c>
    </row>
    <row r="83">
      <c r="A83" s="10" t="inlineStr">
        <is>
          <t>2026-10-08</t>
        </is>
      </c>
      <c r="B83" s="37" t="n">
        <v>994.5</v>
      </c>
      <c r="C83" s="37" t="n">
        <v>2780</v>
      </c>
      <c r="D83" s="28">
        <f>IF(B83="","",'1_原料参数'!$G$6*B83)</f>
        <v/>
      </c>
      <c r="E83" s="28">
        <f>IF(C83="","",'1_原料参数'!$G$7*C83)</f>
        <v/>
      </c>
      <c r="F83" s="29">
        <f>IF(OR(D83="",E83=""),"",SUM(D83:E83))</f>
        <v/>
      </c>
    </row>
    <row r="84">
      <c r="A84" s="10" t="inlineStr">
        <is>
          <t>2026-10-09</t>
        </is>
      </c>
      <c r="B84" s="37" t="n">
        <v>995.5</v>
      </c>
      <c r="C84" s="37" t="n">
        <v>2860</v>
      </c>
      <c r="D84" s="28">
        <f>IF(B84="","",'1_原料参数'!$G$6*B84)</f>
        <v/>
      </c>
      <c r="E84" s="28">
        <f>IF(C84="","",'1_原料参数'!$G$7*C84)</f>
        <v/>
      </c>
      <c r="F84" s="29">
        <f>IF(OR(D84="",E84=""),"",SUM(D84:E84))</f>
        <v/>
      </c>
    </row>
    <row r="85">
      <c r="A85" s="10" t="inlineStr">
        <is>
          <t>2026-10-10</t>
        </is>
      </c>
      <c r="B85" s="37" t="n">
        <v>998.5</v>
      </c>
      <c r="C85" s="37" t="n">
        <v>3006.67</v>
      </c>
      <c r="D85" s="28">
        <f>IF(B85="","",'1_原料参数'!$G$6*B85)</f>
        <v/>
      </c>
      <c r="E85" s="28">
        <f>IF(C85="","",'1_原料参数'!$G$7*C85)</f>
        <v/>
      </c>
      <c r="F85" s="29">
        <f>IF(OR(D85="",E85=""),"",SUM(D85:E85))</f>
        <v/>
      </c>
    </row>
    <row r="86">
      <c r="A86" s="10" t="inlineStr">
        <is>
          <t>2026-10-11</t>
        </is>
      </c>
      <c r="B86" s="37" t="n">
        <v>998.5</v>
      </c>
      <c r="C86" s="37" t="n">
        <v>3006.67</v>
      </c>
      <c r="D86" s="28">
        <f>IF(B86="","",'1_原料参数'!$G$6*B86)</f>
        <v/>
      </c>
      <c r="E86" s="28">
        <f>IF(C86="","",'1_原料参数'!$G$7*C86)</f>
        <v/>
      </c>
      <c r="F86" s="29">
        <f>IF(OR(D86="",E86=""),"",SUM(D86:E86))</f>
        <v/>
      </c>
    </row>
    <row r="87">
      <c r="A87" s="10" t="inlineStr">
        <is>
          <t>2026-10-12</t>
        </is>
      </c>
      <c r="B87" s="37" t="n">
        <v>1002.5</v>
      </c>
      <c r="C87" s="37" t="n">
        <v>3006.67</v>
      </c>
      <c r="D87" s="28">
        <f>IF(B87="","",'1_原料参数'!$G$6*B87)</f>
        <v/>
      </c>
      <c r="E87" s="28">
        <f>IF(C87="","",'1_原料参数'!$G$7*C87)</f>
        <v/>
      </c>
      <c r="F87" s="29">
        <f>IF(OR(D87="",E87=""),"",SUM(D87:E87))</f>
        <v/>
      </c>
    </row>
    <row r="88">
      <c r="A88" s="10" t="inlineStr">
        <is>
          <t>2026-10-13</t>
        </is>
      </c>
      <c r="B88" s="37" t="n">
        <v>1013.75</v>
      </c>
      <c r="C88" s="37" t="n">
        <v>3006.67</v>
      </c>
      <c r="D88" s="28">
        <f>IF(B88="","",'1_原料参数'!$G$6*B88)</f>
        <v/>
      </c>
      <c r="E88" s="28">
        <f>IF(C88="","",'1_原料参数'!$G$7*C88)</f>
        <v/>
      </c>
      <c r="F88" s="29">
        <f>IF(OR(D88="",E88=""),"",SUM(D88:E88))</f>
        <v/>
      </c>
    </row>
    <row r="89">
      <c r="A89" s="10" t="inlineStr">
        <is>
          <t>2026-10-14</t>
        </is>
      </c>
      <c r="B89" s="37" t="n">
        <v>1018.75</v>
      </c>
      <c r="C89" s="37" t="n">
        <v>2916.67</v>
      </c>
      <c r="D89" s="28">
        <f>IF(B89="","",'1_原料参数'!$G$6*B89)</f>
        <v/>
      </c>
      <c r="E89" s="28">
        <f>IF(C89="","",'1_原料参数'!$G$7*C89)</f>
        <v/>
      </c>
      <c r="F89" s="29">
        <f>IF(OR(D89="",E89=""),"",SUM(D89:E89))</f>
        <v/>
      </c>
    </row>
    <row r="90">
      <c r="A90" s="10" t="inlineStr">
        <is>
          <t>2026-10-15</t>
        </is>
      </c>
      <c r="B90" s="37" t="n">
        <v>1026.25</v>
      </c>
      <c r="C90" s="37" t="n">
        <v>2733.33</v>
      </c>
      <c r="D90" s="28">
        <f>IF(B90="","",'1_原料参数'!$G$6*B90)</f>
        <v/>
      </c>
      <c r="E90" s="28">
        <f>IF(C90="","",'1_原料参数'!$G$7*C90)</f>
        <v/>
      </c>
      <c r="F90" s="29">
        <f>IF(OR(D90="",E90=""),"",SUM(D90:E90))</f>
        <v/>
      </c>
    </row>
    <row r="91">
      <c r="A91" s="10" t="inlineStr">
        <is>
          <t>2026-10-16</t>
        </is>
      </c>
      <c r="B91" s="37" t="n">
        <v>1026.25</v>
      </c>
      <c r="C91" s="37" t="n">
        <v>2616.67</v>
      </c>
      <c r="D91" s="28">
        <f>IF(B91="","",'1_原料参数'!$G$6*B91)</f>
        <v/>
      </c>
      <c r="E91" s="28">
        <f>IF(C91="","",'1_原料参数'!$G$7*C91)</f>
        <v/>
      </c>
      <c r="F91" s="29">
        <f>IF(OR(D91="",E91=""),"",SUM(D91:E91))</f>
        <v/>
      </c>
    </row>
    <row r="92">
      <c r="A92" s="10" t="inlineStr">
        <is>
          <t>2026-10-17</t>
        </is>
      </c>
      <c r="B92" s="37" t="n">
        <v>1026.25</v>
      </c>
      <c r="C92" s="37" t="n">
        <v>2616.67</v>
      </c>
      <c r="D92" s="28">
        <f>IF(B92="","",'1_原料参数'!$G$6*B92)</f>
        <v/>
      </c>
      <c r="E92" s="28">
        <f>IF(C92="","",'1_原料参数'!$G$7*C92)</f>
        <v/>
      </c>
      <c r="F92" s="29">
        <f>IF(OR(D92="",E92=""),"",SUM(D92:E92))</f>
        <v/>
      </c>
    </row>
    <row r="93">
      <c r="A93" s="10" t="inlineStr">
        <is>
          <t>2026-10-18</t>
        </is>
      </c>
      <c r="B93" s="37" t="n">
        <v>1026.25</v>
      </c>
      <c r="C93" s="37" t="n">
        <v>2616.67</v>
      </c>
      <c r="D93" s="28">
        <f>IF(B93="","",'1_原料参数'!$G$6*B93)</f>
        <v/>
      </c>
      <c r="E93" s="28">
        <f>IF(C93="","",'1_原料参数'!$G$7*C93)</f>
        <v/>
      </c>
      <c r="F93" s="29">
        <f>IF(OR(D93="",E93=""),"",SUM(D93:E93))</f>
        <v/>
      </c>
    </row>
    <row r="94">
      <c r="A94" s="10" t="inlineStr">
        <is>
          <t>2026-10-19</t>
        </is>
      </c>
      <c r="B94" s="37" t="n">
        <v>1027.5</v>
      </c>
      <c r="C94" s="37" t="n">
        <v>2596.67</v>
      </c>
      <c r="D94" s="28">
        <f>IF(B94="","",'1_原料参数'!$G$6*B94)</f>
        <v/>
      </c>
      <c r="E94" s="28">
        <f>IF(C94="","",'1_原料参数'!$G$7*C94)</f>
        <v/>
      </c>
      <c r="F94" s="29">
        <f>IF(OR(D94="",E94=""),"",SUM(D94:E94))</f>
        <v/>
      </c>
    </row>
    <row r="95">
      <c r="A95" s="10" t="inlineStr">
        <is>
          <t>2026-10-20</t>
        </is>
      </c>
      <c r="B95" s="37" t="n">
        <v>1041</v>
      </c>
      <c r="C95" s="37" t="n">
        <v>2686.67</v>
      </c>
      <c r="D95" s="28">
        <f>IF(B95="","",'1_原料参数'!$G$6*B95)</f>
        <v/>
      </c>
      <c r="E95" s="28">
        <f>IF(C95="","",'1_原料参数'!$G$7*C95)</f>
        <v/>
      </c>
      <c r="F95" s="29">
        <f>IF(OR(D95="",E95=""),"",SUM(D95:E95))</f>
        <v/>
      </c>
    </row>
    <row r="97">
      <c r="A97" s="7" t="inlineStr">
        <is>
          <t>历史变化统计（按日历回溯；起点早于数据起点 → 缺口，不插值）</t>
        </is>
      </c>
    </row>
    <row r="98" ht="30" customHeight="1">
      <c r="A98" s="8" t="inlineStr">
        <is>
          <t>窗口</t>
        </is>
      </c>
      <c r="B98" s="8" t="inlineStr">
        <is>
          <t>起点日</t>
        </is>
      </c>
      <c r="C98" s="8" t="inlineStr">
        <is>
          <t>起点成本</t>
        </is>
      </c>
      <c r="D98" s="8" t="inlineStr">
        <is>
          <t>终点日</t>
        </is>
      </c>
      <c r="E98" s="8" t="inlineStr">
        <is>
          <t>终点成本</t>
        </is>
      </c>
      <c r="F98" s="8" t="inlineStr">
        <is>
          <t>Δ成本</t>
        </is>
      </c>
      <c r="G98" s="8" t="inlineStr">
        <is>
          <t>Δ%</t>
        </is>
      </c>
    </row>
    <row r="99">
      <c r="A99" s="9" t="inlineStr">
        <is>
          <t>30天</t>
        </is>
      </c>
      <c r="B99" s="10" t="inlineStr">
        <is>
          <t>2026-09-20</t>
        </is>
      </c>
      <c r="C99" s="37" t="n">
        <v>582.8133199999999</v>
      </c>
      <c r="D99" s="10" t="inlineStr">
        <is>
          <t>2026-10-20</t>
        </is>
      </c>
      <c r="E99" s="28">
        <f>F95</f>
        <v/>
      </c>
      <c r="F99" s="28">
        <f>E99-C99</f>
        <v/>
      </c>
      <c r="G99" s="30">
        <f>IF(C99=0,"",F99/C99)</f>
        <v/>
      </c>
    </row>
    <row r="100">
      <c r="A100" s="9" t="inlineStr">
        <is>
          <t>3个月</t>
        </is>
      </c>
      <c r="B100" s="10" t="inlineStr">
        <is>
          <t>2026-07-21</t>
        </is>
      </c>
      <c r="C100" s="37" t="n">
        <v>496.19668</v>
      </c>
      <c r="D100" s="10" t="inlineStr">
        <is>
          <t>2026-10-20</t>
        </is>
      </c>
      <c r="E100" s="28">
        <f>F95</f>
        <v/>
      </c>
      <c r="F100" s="28">
        <f>E100-C100</f>
        <v/>
      </c>
      <c r="G100" s="30">
        <f>IF(C100=0,"",F100/C100)</f>
        <v/>
      </c>
    </row>
    <row r="101">
      <c r="A101" s="9" t="inlineStr">
        <is>
          <t>1年</t>
        </is>
      </c>
      <c r="B101" s="10" t="inlineStr">
        <is>
          <t>—</t>
        </is>
      </c>
      <c r="C101" s="28" t="n"/>
      <c r="D101" s="10" t="inlineStr">
        <is>
          <t>2026-10-20</t>
        </is>
      </c>
      <c r="E101" s="28">
        <f>F95</f>
        <v/>
      </c>
      <c r="F101" s="38" t="inlineStr">
        <is>
          <t>缺口，未插值</t>
        </is>
      </c>
      <c r="G101" s="38" t="inlineStr">
        <is>
          <t>—</t>
        </is>
      </c>
    </row>
    <row r="102">
      <c r="A102" s="9" t="inlineStr">
        <is>
          <t>3年</t>
        </is>
      </c>
      <c r="B102" s="10" t="inlineStr">
        <is>
          <t>—</t>
        </is>
      </c>
      <c r="C102" s="28" t="n"/>
      <c r="D102" s="10" t="inlineStr">
        <is>
          <t>2026-10-20</t>
        </is>
      </c>
      <c r="E102" s="28">
        <f>F95</f>
        <v/>
      </c>
      <c r="F102" s="38" t="inlineStr">
        <is>
          <t>缺口，未插值</t>
        </is>
      </c>
      <c r="G102" s="38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4" customWidth="1" min="5" max="5"/>
  </cols>
  <sheetData>
    <row r="1" ht="24" customHeight="1">
      <c r="A1" s="1" t="inlineStr">
        <is>
          <t>⑥ 各原料对历史成本变化的贡献</t>
        </is>
      </c>
    </row>
    <row r="2">
      <c r="A2" s="2" t="inlineStr">
        <is>
          <t>Δc_i = q_i×(p_i,T − p_i,0)；贡献比 = Δc_i / ΔC_T（ΔC_T≈0 时留空）。</t>
        </is>
      </c>
    </row>
    <row r="3">
      <c r="A3" s="22" t="inlineStr">
        <is>
          <t>窗口 30天：2026-09-20 → 2026-10-20</t>
        </is>
      </c>
      <c r="B3" s="5" t="n"/>
      <c r="C3" s="5" t="n"/>
      <c r="D3" s="5" t="n"/>
      <c r="E3" s="6" t="n"/>
    </row>
    <row r="4" ht="30" customHeight="1">
      <c r="A4" s="8" t="inlineStr">
        <is>
          <t>原料</t>
        </is>
      </c>
      <c r="B4" s="8" t="inlineStr">
        <is>
          <t>起点成本</t>
        </is>
      </c>
      <c r="C4" s="8" t="inlineStr">
        <is>
          <t>终点成本</t>
        </is>
      </c>
      <c r="D4" s="8" t="inlineStr">
        <is>
          <t>Δ成本</t>
        </is>
      </c>
      <c r="E4" s="8" t="inlineStr">
        <is>
          <t>占总变化比</t>
        </is>
      </c>
    </row>
    <row r="5">
      <c r="A5" s="9" t="inlineStr">
        <is>
          <t>动力煤（燃料）</t>
        </is>
      </c>
      <c r="B5" s="37" t="n">
        <v>570.7199999999999</v>
      </c>
      <c r="C5" s="37" t="n">
        <v>603.78</v>
      </c>
      <c r="D5" s="28">
        <f>C5-B5</f>
        <v/>
      </c>
      <c r="E5" s="30">
        <f>IF(ABS($D$7)&lt;0.000001,"",D5/$D$7)</f>
        <v/>
      </c>
    </row>
    <row r="6">
      <c r="A6" s="9" t="inlineStr">
        <is>
          <t>液氨（补充氨耗）</t>
        </is>
      </c>
      <c r="B6" s="37" t="n">
        <v>12.09332</v>
      </c>
      <c r="C6" s="37" t="n">
        <v>10.74668</v>
      </c>
      <c r="D6" s="28">
        <f>C6-B6</f>
        <v/>
      </c>
      <c r="E6" s="30">
        <f>IF(ABS($D$7)&lt;0.000001,"",D6/$D$7)</f>
        <v/>
      </c>
    </row>
    <row r="7">
      <c r="A7" s="22" t="inlineStr">
        <is>
          <t>合计</t>
        </is>
      </c>
      <c r="B7" s="24">
        <f>SUM(B5:B6)</f>
        <v/>
      </c>
      <c r="C7" s="24">
        <f>SUM(C5:C6)</f>
        <v/>
      </c>
      <c r="D7" s="24">
        <f>SUM(D5:D6)</f>
        <v/>
      </c>
      <c r="E7" s="25">
        <f>IF(ABS(D7)&lt;0.000001,"",SUM(E5:E6))</f>
        <v/>
      </c>
    </row>
    <row r="9">
      <c r="A9" s="22" t="inlineStr">
        <is>
          <t>窗口 3个月：2026-07-21 → 2026-10-20</t>
        </is>
      </c>
      <c r="B9" s="5" t="n"/>
      <c r="C9" s="5" t="n"/>
      <c r="D9" s="5" t="n"/>
      <c r="E9" s="6" t="n"/>
    </row>
    <row r="10" ht="30" customHeight="1">
      <c r="A10" s="8" t="inlineStr">
        <is>
          <t>原料</t>
        </is>
      </c>
      <c r="B10" s="8" t="inlineStr">
        <is>
          <t>起点成本</t>
        </is>
      </c>
      <c r="C10" s="8" t="inlineStr">
        <is>
          <t>终点成本</t>
        </is>
      </c>
      <c r="D10" s="8" t="inlineStr">
        <is>
          <t>Δ成本</t>
        </is>
      </c>
      <c r="E10" s="8" t="inlineStr">
        <is>
          <t>占总变化比</t>
        </is>
      </c>
    </row>
    <row r="11">
      <c r="A11" s="9" t="inlineStr">
        <is>
          <t>动力煤（燃料）</t>
        </is>
      </c>
      <c r="B11" s="37" t="n">
        <v>487.49</v>
      </c>
      <c r="C11" s="37" t="n">
        <v>603.78</v>
      </c>
      <c r="D11" s="28">
        <f>C11-B11</f>
        <v/>
      </c>
      <c r="E11" s="30">
        <f>IF(ABS($D$13)&lt;0.000001,"",D11/$D$13)</f>
        <v/>
      </c>
    </row>
    <row r="12">
      <c r="A12" s="9" t="inlineStr">
        <is>
          <t>液氨（补充氨耗）</t>
        </is>
      </c>
      <c r="B12" s="37" t="n">
        <v>8.70668</v>
      </c>
      <c r="C12" s="37" t="n">
        <v>10.74668</v>
      </c>
      <c r="D12" s="28">
        <f>C12-B12</f>
        <v/>
      </c>
      <c r="E12" s="30">
        <f>IF(ABS($D$13)&lt;0.000001,"",D12/$D$13)</f>
        <v/>
      </c>
    </row>
    <row r="13">
      <c r="A13" s="22" t="inlineStr">
        <is>
          <t>合计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5">
        <f>IF(ABS(D13)&lt;0.000001,"",SUM(E11:E12))</f>
        <v/>
      </c>
    </row>
    <row r="15">
      <c r="A15" s="22" t="inlineStr">
        <is>
          <t>窗口 1年：— → —</t>
        </is>
      </c>
      <c r="B15" s="5" t="n"/>
      <c r="C15" s="5" t="n"/>
      <c r="D15" s="5" t="n"/>
      <c r="E15" s="6" t="n"/>
    </row>
    <row r="16">
      <c r="A16" s="39" t="inlineStr">
        <is>
          <t>缺口：该窗口起点早于可得数据（2026-07-21 起），无法计算，未做插值/补数</t>
        </is>
      </c>
      <c r="B16" s="5" t="n"/>
      <c r="C16" s="5" t="n"/>
      <c r="D16" s="5" t="n"/>
      <c r="E16" s="6" t="n"/>
    </row>
    <row r="18">
      <c r="A18" s="22" t="inlineStr">
        <is>
          <t>窗口 3年：— → —</t>
        </is>
      </c>
      <c r="B18" s="5" t="n"/>
      <c r="C18" s="5" t="n"/>
      <c r="D18" s="5" t="n"/>
      <c r="E18" s="6" t="n"/>
    </row>
    <row r="19">
      <c r="A19" s="39" t="inlineStr">
        <is>
          <t>缺口：该窗口起点早于可得数据（2026-07-21 起），无法计算，未做插值/补数</t>
        </is>
      </c>
      <c r="B19" s="5" t="n"/>
      <c r="C19" s="5" t="n"/>
      <c r="D19" s="5" t="n"/>
      <c r="E19" s="6" t="n"/>
    </row>
  </sheetData>
  <mergeCells count="6">
    <mergeCell ref="A18:E18"/>
    <mergeCell ref="A16:E16"/>
    <mergeCell ref="A15:E15"/>
    <mergeCell ref="A19:E19"/>
    <mergeCell ref="A9:E9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54" customWidth="1" min="3" max="3"/>
    <col width="50" customWidth="1" min="4" max="4"/>
    <col width="46" customWidth="1" min="5" max="5"/>
  </cols>
  <sheetData>
    <row r="1" ht="24" customHeight="1">
      <c r="A1" s="1" t="inlineStr">
        <is>
          <t>⑦ 数据来源清单（单耗 / 价格 / 标准）</t>
        </is>
      </c>
    </row>
    <row r="3" ht="30" customHeight="1">
      <c r="A3" s="8" t="inlineStr">
        <is>
          <t>来源ID</t>
        </is>
      </c>
      <c r="B3" s="8" t="inlineStr">
        <is>
          <t>类型</t>
        </is>
      </c>
      <c r="C3" s="8" t="inlineStr">
        <is>
          <t>标题</t>
        </is>
      </c>
      <c r="D3" s="8" t="inlineStr">
        <is>
          <t>URL</t>
        </is>
      </c>
      <c r="E3" s="8" t="inlineStr">
        <is>
          <t>用于哪些参数</t>
        </is>
      </c>
    </row>
    <row r="4">
      <c r="A4" s="9" t="inlineStr">
        <is>
          <t>S1</t>
        </is>
      </c>
      <c r="B4" s="4" t="inlineStr">
        <is>
          <t>B/资讯商</t>
        </is>
      </c>
      <c r="C4" s="4" t="inlineStr">
        <is>
          <t>生意社（100ppi.com）动力煤基准价（Q5500）</t>
        </is>
      </c>
      <c r="D4" s="4" t="inlineStr">
        <is>
          <t>https://www.100ppi.com/graph/cindex.php?f=graph_ppid_ave&amp;ppid=369</t>
        </is>
      </c>
      <c r="E4" s="4" t="inlineStr">
        <is>
          <t>燃料煤价格与93天历史</t>
        </is>
      </c>
    </row>
    <row r="5">
      <c r="A5" s="9" t="inlineStr">
        <is>
          <t>S2</t>
        </is>
      </c>
      <c r="B5" s="4" t="inlineStr">
        <is>
          <t>B/资讯商</t>
        </is>
      </c>
      <c r="C5" s="4" t="inlineStr">
        <is>
          <t>生意社（100ppi.com）液氨基准价</t>
        </is>
      </c>
      <c r="D5" s="4" t="inlineStr">
        <is>
          <t>https://www.100ppi.com/graph/cindex.php?f=graph_ppid_ave&amp;ppid=965</t>
        </is>
      </c>
      <c r="E5" s="4" t="inlineStr">
        <is>
          <t>液氨价格与历史</t>
        </is>
      </c>
    </row>
    <row r="6">
      <c r="A6" s="9" t="inlineStr">
        <is>
          <t>S3</t>
        </is>
      </c>
      <c r="B6" s="4" t="inlineStr">
        <is>
          <t>B/资讯商</t>
        </is>
      </c>
      <c r="C6" s="4" t="inlineStr">
        <is>
          <t>生意社（100ppi.com）重质纯碱基准价</t>
        </is>
      </c>
      <c r="D6" s="4" t="inlineStr">
        <is>
          <t>https://www.100ppi.com/graph/cindex.php?f=graph_ppid_ave&amp;ppid=737</t>
        </is>
      </c>
      <c r="E6" s="4" t="inlineStr">
        <is>
          <t>产品价参照与加工价差</t>
        </is>
      </c>
    </row>
    <row r="7">
      <c r="A7" s="9" t="inlineStr">
        <is>
          <t>S4</t>
        </is>
      </c>
      <c r="B7" s="4" t="inlineStr">
        <is>
          <t>C/行业媒体</t>
        </is>
      </c>
      <c r="C7" s="4" t="inlineStr">
        <is>
          <t>山东化工网《氨碱法纯碱：在变局中探寻可持续发展之路》(2025-02-27)</t>
        </is>
      </c>
      <c r="D7" s="4" t="inlineStr">
        <is>
          <t>http://www.sdchem.com.cn/html/wuji/gnxw/2025/0227/38746.html</t>
        </is>
      </c>
      <c r="E7" s="4" t="inlineStr">
        <is>
          <t>原盐 1.5 t/t、石灰石 1.3 t/t 的行业口径</t>
        </is>
      </c>
    </row>
    <row r="8">
      <c r="A8" s="9" t="inlineStr">
        <is>
          <t>S5</t>
        </is>
      </c>
      <c r="B8" s="4" t="inlineStr">
        <is>
          <t>C/研究</t>
        </is>
      </c>
      <c r="C8" s="4" t="inlineStr">
        <is>
          <t>七禾网《纯碱生产成本核算》(2025-04-24)</t>
        </is>
      </c>
      <c r="D8" s="4" t="inlineStr">
        <is>
          <t>https://www.7hcn.com/article/469438-1.html</t>
        </is>
      </c>
      <c r="E8" s="4" t="inlineStr">
        <is>
          <t>氨碱法成本公式：原盐*1.6 + 动力煤*0.58 + 烟煤*0.1 + 550</t>
        </is>
      </c>
    </row>
    <row r="9">
      <c r="A9" s="9" t="inlineStr">
        <is>
          <t>S6</t>
        </is>
      </c>
      <c r="B9" s="4" t="inlineStr">
        <is>
          <t>C/研究</t>
        </is>
      </c>
      <c r="C9" s="4" t="inlineStr">
        <is>
          <t>光期研究《走进纯碱原料——原盐》</t>
        </is>
      </c>
      <c r="D9" s="4" t="inlineStr">
        <is>
          <t>http://www.cfachina.org/servicesupport/analygarden/nyhgl/cj_5769/202306/P020230630561088700775.pdf</t>
        </is>
      </c>
      <c r="E9" s="4" t="inlineStr">
        <is>
          <t>氨碱法原盐吨耗 1.6 t/t 交叉验证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4" customWidth="1" min="3" max="3"/>
  </cols>
  <sheetData>
    <row r="1" ht="24" customHeight="1">
      <c r="A1" s="1" t="inlineStr">
        <is>
          <t>⑧ 计算公式、单位换算与口径约定</t>
        </is>
      </c>
    </row>
    <row r="3" ht="30" customHeight="1">
      <c r="A3" s="8" t="inlineStr">
        <is>
          <t>项目</t>
        </is>
      </c>
      <c r="B3" s="8" t="inlineStr">
        <is>
          <t>公式 / 规则</t>
        </is>
      </c>
      <c r="C3" s="8" t="inlineStr">
        <is>
          <t>说明 / 本例取值</t>
        </is>
      </c>
    </row>
    <row r="4">
      <c r="A4" s="4" t="inlineStr">
        <is>
          <t>单项成本</t>
        </is>
      </c>
      <c r="B4" s="4" t="inlineStr">
        <is>
          <t>c_i = q_i × p_i</t>
        </is>
      </c>
      <c r="C4" s="4" t="inlineStr">
        <is>
          <t>单耗(t/t) × 价格(元/t) = 元/吨产品</t>
        </is>
      </c>
    </row>
    <row r="5">
      <c r="A5" s="4" t="inlineStr">
        <is>
          <t>理论原料成本</t>
        </is>
      </c>
      <c r="B5" s="4" t="inlineStr">
        <is>
          <t>C = Σ c_i</t>
        </is>
      </c>
      <c r="C5" s="4" t="inlineStr">
        <is>
          <t>只含已计价原料，缺价原料不按 0 计</t>
        </is>
      </c>
    </row>
    <row r="6">
      <c r="A6" s="4" t="inlineStr">
        <is>
          <t>成本占比</t>
        </is>
      </c>
      <c r="B6" s="4" t="inlineStr">
        <is>
          <t>w_i = c_i / C</t>
        </is>
      </c>
      <c r="C6" s="4" t="inlineStr">
        <is>
          <t>缺价原料存在时为"占已计价部分"口径</t>
        </is>
      </c>
    </row>
    <row r="7">
      <c r="A7" s="4" t="inlineStr">
        <is>
          <t>涨价影响</t>
        </is>
      </c>
      <c r="B7" s="4" t="inlineStr">
        <is>
          <t>Δc_i = q_i × p_i × r</t>
        </is>
      </c>
      <c r="C7" s="4" t="inlineStr">
        <is>
          <t>r 为涨跌幅，+10% 即 0.10</t>
        </is>
      </c>
    </row>
    <row r="9">
      <c r="A9" s="3" t="inlineStr">
        <is>
          <t>单位换算</t>
        </is>
      </c>
      <c r="B9" s="4" t="inlineStr">
        <is>
          <t>1 t = 1000 kg；1 kg/t 产品 = 0.001 t/t 产品；涨跌幅列按"%"填写，公式内部 ÷100</t>
        </is>
      </c>
      <c r="C9" s="6" t="n"/>
    </row>
    <row r="10">
      <c r="A10" s="3" t="inlineStr">
        <is>
          <t>税口径</t>
        </is>
      </c>
      <c r="B10" s="4" t="inlineStr">
        <is>
          <t>含税→不含税 ÷(1+税率)；不含税→含税 ×(1+税率)。税率由「1_原料参数」X 列语义约定，默认 13%，须企业核定</t>
        </is>
      </c>
      <c r="C10" s="6" t="n"/>
    </row>
    <row r="11">
      <c r="A11" s="3" t="inlineStr">
        <is>
          <t>单耗口径</t>
        </is>
      </c>
      <c r="B11" s="4" t="inlineStr">
        <is>
          <t>净单耗（已扣回收、含转化/收率/副反应损失）。单耗取公开行业口径（多源交叉）：原盐 1.5-1.6 t/t、石灰石 1.3 t/t、动力煤 0.58 t/t、液氨 ~4 kg/t。本示例取保守值：原盐 1.5、石灰石 1.3、动力煤 0.58、液氨 0.004。收率定义未取得，未参与计算。</t>
        </is>
      </c>
      <c r="C11" s="6" t="n"/>
    </row>
    <row r="12">
      <c r="A12" s="3" t="inlineStr">
        <is>
          <t>成品收率</t>
        </is>
      </c>
      <c r="B12" s="4" t="inlineStr">
        <is>
          <t>收率 — / 转化率 — / 过量醇回收率 —</t>
        </is>
      </c>
      <c r="C12" s="6" t="n"/>
    </row>
  </sheetData>
  <mergeCells count="4">
    <mergeCell ref="B9:C9"/>
    <mergeCell ref="B11:C11"/>
    <mergeCell ref="B10:C10"/>
    <mergeCell ref="B12:C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2" customWidth="1" min="4" max="4"/>
    <col width="44" customWidth="1" min="5" max="5"/>
  </cols>
  <sheetData>
    <row r="1" ht="24" customHeight="1">
      <c r="A1" s="1" t="inlineStr">
        <is>
          <t>⑨ 缺口、未量化项与待补数据</t>
        </is>
      </c>
    </row>
    <row r="2">
      <c r="A2" s="2" t="inlineStr">
        <is>
          <t>缺什么、影响什么、怎么补。没有可靠数据的一律留空，不估算、不插值。</t>
        </is>
      </c>
    </row>
    <row r="3" ht="30" customHeight="1">
      <c r="A3" s="8" t="inlineStr">
        <is>
          <t>类型</t>
        </is>
      </c>
      <c r="B3" s="8" t="inlineStr">
        <is>
          <t>项目</t>
        </is>
      </c>
      <c r="C3" s="8" t="inlineStr">
        <is>
          <t>说明</t>
        </is>
      </c>
      <c r="D3" s="8" t="inlineStr">
        <is>
          <t>影响</t>
        </is>
      </c>
      <c r="E3" s="8" t="inlineStr">
        <is>
          <t>补齐路径</t>
        </is>
      </c>
    </row>
    <row r="4">
      <c r="A4" s="4" t="inlineStr">
        <is>
          <t>价格缺口</t>
        </is>
      </c>
      <c r="B4" s="4" t="inlineStr">
        <is>
          <t>原盐（工业盐，NaCl）</t>
        </is>
      </c>
      <c r="C4" s="4" t="inlineStr">
        <is>
          <t>价格缺失：该原料成本无法计入（不按 0 处理，单列为缺口）</t>
        </is>
      </c>
      <c r="D4" s="4" t="inlineStr">
        <is>
          <t>该原料未计入理论原料成本；总成本仅覆盖已计价原料，口径为"部分覆盖"</t>
        </is>
      </c>
      <c r="E4" s="4" t="inlineStr">
        <is>
          <t>补充同规格/同区域/同税口径的现货价（含数据日期与来源）</t>
        </is>
      </c>
    </row>
    <row r="5">
      <c r="A5" s="4" t="inlineStr">
        <is>
          <t>价格缺口</t>
        </is>
      </c>
      <c r="B5" s="4" t="inlineStr">
        <is>
          <t>石灰石（CaCO₃）</t>
        </is>
      </c>
      <c r="C5" s="4" t="inlineStr">
        <is>
          <t>价格缺失：该原料成本无法计入（不按 0 处理，单列为缺口）</t>
        </is>
      </c>
      <c r="D5" s="4" t="inlineStr">
        <is>
          <t>该原料未计入理论原料成本；总成本仅覆盖已计价原料，口径为"部分覆盖"</t>
        </is>
      </c>
      <c r="E5" s="4" t="inlineStr">
        <is>
          <t>补充同规格/同区域/同税口径的现货价（含数据日期与来源）</t>
        </is>
      </c>
    </row>
    <row r="6">
      <c r="A6" s="4" t="inlineStr">
        <is>
          <t>历史序列</t>
        </is>
      </c>
      <c r="B6" s="4" t="inlineStr">
        <is>
          <t>原盐价格</t>
        </is>
      </c>
      <c r="C6" s="4" t="inlineStr">
        <is>
          <t>生意社未收录可公开核验的原盐日度基准价序列</t>
        </is>
      </c>
      <c r="D6" s="4" t="inlineStr">
        <is>
          <t>原盐占氨碱法原料成本的大头（1.5 t/t），缺价会使合计严重低估</t>
        </is>
      </c>
      <c r="E6" s="4" t="inlineStr">
        <is>
          <t>用本厂采购合同价或当地盐业公司挂牌价，按六项口径填入 materials[salt].price</t>
        </is>
      </c>
    </row>
    <row r="7">
      <c r="A7" s="4" t="inlineStr">
        <is>
          <t>历史序列</t>
        </is>
      </c>
      <c r="B7" s="4" t="inlineStr">
        <is>
          <t>石灰石价格</t>
        </is>
      </c>
      <c r="C7" s="4" t="inlineStr">
        <is>
          <t>矿山直供价，随运距剧烈变化，无公开日序列</t>
        </is>
      </c>
      <c r="D7" s="4" t="inlineStr">
        <is>
          <t>石灰石 1.3 t/t 未计入</t>
        </is>
      </c>
      <c r="E7" s="4" t="inlineStr">
        <is>
          <t>用本厂到厂价（含运费）填入 materials[lime].price</t>
        </is>
      </c>
    </row>
    <row r="8">
      <c r="A8" s="4" t="inlineStr">
        <is>
          <t>历史序列</t>
        </is>
      </c>
      <c r="B8" s="4" t="inlineStr">
        <is>
          <t>历史长度</t>
        </is>
      </c>
      <c r="C8" s="4" t="inlineStr">
        <is>
          <t>100ppi 端点只返回 93 天</t>
        </is>
      </c>
      <c r="D8" s="4" t="inlineStr">
        <is>
          <t>1年/3年窗口无法计算</t>
        </is>
      </c>
      <c r="E8" s="4" t="inlineStr">
        <is>
          <t>卓创/隆众付费终端或自建日采集</t>
        </is>
      </c>
    </row>
    <row r="9">
      <c r="A9" s="4" t="inlineStr">
        <is>
          <t>历史窗口</t>
        </is>
      </c>
      <c r="B9" s="4" t="inlineStr">
        <is>
          <t>1年</t>
        </is>
      </c>
      <c r="C9" s="4" t="inlineStr">
        <is>
          <t>该窗口起点早于可得数据（2026-07-21 起），无法计算，未做插值/补数</t>
        </is>
      </c>
      <c r="D9" s="4" t="inlineStr">
        <is>
          <t>该时间窗的理论成本变化不展示为数字</t>
        </is>
      </c>
      <c r="E9" s="4" t="inlineStr">
        <is>
          <t>接入更长历史价格源（付费终端/自采积累）</t>
        </is>
      </c>
    </row>
    <row r="10">
      <c r="A10" s="4" t="inlineStr">
        <is>
          <t>历史窗口</t>
        </is>
      </c>
      <c r="B10" s="4" t="inlineStr">
        <is>
          <t>3年</t>
        </is>
      </c>
      <c r="C10" s="4" t="inlineStr">
        <is>
          <t>该窗口起点早于可得数据（2026-07-21 起），无法计算，未做插值/补数</t>
        </is>
      </c>
      <c r="D10" s="4" t="inlineStr">
        <is>
          <t>该时间窗的理论成本变化不展示为数字</t>
        </is>
      </c>
      <c r="E10" s="4" t="inlineStr">
        <is>
          <t>接入更长历史价格源（付费终端/自采积累）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2" customWidth="1" min="5" max="5"/>
  </cols>
  <sheetData>
    <row r="1" ht="24" customHeight="1">
      <c r="A1" s="1" t="inlineStr">
        <is>
          <t>⑩ 理论原料成本 vs 产品现货价（加工价差 ≠ 利润）</t>
        </is>
      </c>
    </row>
    <row r="2">
      <c r="A2" s="2" t="inlineStr">
        <is>
          <t>价差 = 产品价 − 理论原料成本，仅表示"原料之外还剩多少空间"，未扣能源/人工/折旧/运费，不是利润。</t>
        </is>
      </c>
    </row>
    <row r="3" ht="30" customHeight="1">
      <c r="A3" s="8" t="inlineStr">
        <is>
          <t>日期</t>
        </is>
      </c>
      <c r="B3" s="8" t="inlineStr">
        <is>
          <t>产品价(元/t)</t>
        </is>
      </c>
      <c r="C3" s="8" t="inlineStr">
        <is>
          <t>理论原料成本(元/t)</t>
        </is>
      </c>
      <c r="D3" s="8" t="inlineStr">
        <is>
          <t>价差(元/t)</t>
        </is>
      </c>
      <c r="E3" s="8" t="inlineStr">
        <is>
          <t>价差率</t>
        </is>
      </c>
    </row>
    <row r="4">
      <c r="A4" s="10" t="inlineStr">
        <is>
          <t>2026-07-21</t>
        </is>
      </c>
      <c r="B4" s="37" t="n">
        <v>1152.86</v>
      </c>
      <c r="C4" s="28">
        <f>'5_历史理论成本'!F4</f>
        <v/>
      </c>
      <c r="D4" s="28">
        <f>IF(OR(B4="",C4=""),"",B4-C4)</f>
        <v/>
      </c>
      <c r="E4" s="30">
        <f>IF(OR(B4="",C4="",B4=0),"",D4/B4)</f>
        <v/>
      </c>
    </row>
    <row r="5">
      <c r="A5" s="10" t="inlineStr">
        <is>
          <t>2026-07-22</t>
        </is>
      </c>
      <c r="B5" s="37" t="n">
        <v>1152.86</v>
      </c>
      <c r="C5" s="28">
        <f>'5_历史理论成本'!F5</f>
        <v/>
      </c>
      <c r="D5" s="28">
        <f>IF(OR(B5="",C5=""),"",B5-C5)</f>
        <v/>
      </c>
      <c r="E5" s="30">
        <f>IF(OR(B5="",C5="",B5=0),"",D5/B5)</f>
        <v/>
      </c>
    </row>
    <row r="6">
      <c r="A6" s="10" t="inlineStr">
        <is>
          <t>2026-07-23</t>
        </is>
      </c>
      <c r="B6" s="37" t="n">
        <v>1152.86</v>
      </c>
      <c r="C6" s="28">
        <f>'5_历史理论成本'!F6</f>
        <v/>
      </c>
      <c r="D6" s="28">
        <f>IF(OR(B6="",C6=""),"",B6-C6)</f>
        <v/>
      </c>
      <c r="E6" s="30">
        <f>IF(OR(B6="",C6="",B6=0),"",D6/B6)</f>
        <v/>
      </c>
    </row>
    <row r="7">
      <c r="A7" s="10" t="inlineStr">
        <is>
          <t>2026-07-24</t>
        </is>
      </c>
      <c r="B7" s="37" t="n">
        <v>1152.86</v>
      </c>
      <c r="C7" s="28">
        <f>'5_历史理论成本'!F7</f>
        <v/>
      </c>
      <c r="D7" s="28">
        <f>IF(OR(B7="",C7=""),"",B7-C7)</f>
        <v/>
      </c>
      <c r="E7" s="30">
        <f>IF(OR(B7="",C7="",B7=0),"",D7/B7)</f>
        <v/>
      </c>
    </row>
    <row r="8">
      <c r="A8" s="10" t="inlineStr">
        <is>
          <t>2026-07-25</t>
        </is>
      </c>
      <c r="B8" s="37" t="n">
        <v>1152.86</v>
      </c>
      <c r="C8" s="28">
        <f>'5_历史理论成本'!F8</f>
        <v/>
      </c>
      <c r="D8" s="28">
        <f>IF(OR(B8="",C8=""),"",B8-C8)</f>
        <v/>
      </c>
      <c r="E8" s="30">
        <f>IF(OR(B8="",C8="",B8=0),"",D8/B8)</f>
        <v/>
      </c>
    </row>
    <row r="9">
      <c r="A9" s="10" t="inlineStr">
        <is>
          <t>2026-07-26</t>
        </is>
      </c>
      <c r="B9" s="37" t="n">
        <v>1152.86</v>
      </c>
      <c r="C9" s="28">
        <f>'5_历史理论成本'!F9</f>
        <v/>
      </c>
      <c r="D9" s="28">
        <f>IF(OR(B9="",C9=""),"",B9-C9)</f>
        <v/>
      </c>
      <c r="E9" s="30">
        <f>IF(OR(B9="",C9="",B9=0),"",D9/B9)</f>
        <v/>
      </c>
    </row>
    <row r="10">
      <c r="A10" s="10" t="inlineStr">
        <is>
          <t>2026-07-27</t>
        </is>
      </c>
      <c r="B10" s="37" t="n">
        <v>1144.29</v>
      </c>
      <c r="C10" s="28">
        <f>'5_历史理论成本'!F10</f>
        <v/>
      </c>
      <c r="D10" s="28">
        <f>IF(OR(B10="",C10=""),"",B10-C10)</f>
        <v/>
      </c>
      <c r="E10" s="30">
        <f>IF(OR(B10="",C10="",B10=0),"",D10/B10)</f>
        <v/>
      </c>
    </row>
    <row r="11">
      <c r="A11" s="10" t="inlineStr">
        <is>
          <t>2026-07-28</t>
        </is>
      </c>
      <c r="B11" s="37" t="n">
        <v>1144.29</v>
      </c>
      <c r="C11" s="28">
        <f>'5_历史理论成本'!F11</f>
        <v/>
      </c>
      <c r="D11" s="28">
        <f>IF(OR(B11="",C11=""),"",B11-C11)</f>
        <v/>
      </c>
      <c r="E11" s="30">
        <f>IF(OR(B11="",C11="",B11=0),"",D11/B11)</f>
        <v/>
      </c>
    </row>
    <row r="12">
      <c r="A12" s="10" t="inlineStr">
        <is>
          <t>2026-07-29</t>
        </is>
      </c>
      <c r="B12" s="37" t="n">
        <v>1144.29</v>
      </c>
      <c r="C12" s="28">
        <f>'5_历史理论成本'!F12</f>
        <v/>
      </c>
      <c r="D12" s="28">
        <f>IF(OR(B12="",C12=""),"",B12-C12)</f>
        <v/>
      </c>
      <c r="E12" s="30">
        <f>IF(OR(B12="",C12="",B12=0),"",D12/B12)</f>
        <v/>
      </c>
    </row>
    <row r="13">
      <c r="A13" s="10" t="inlineStr">
        <is>
          <t>2026-07-30</t>
        </is>
      </c>
      <c r="B13" s="37" t="n">
        <v>1140</v>
      </c>
      <c r="C13" s="28">
        <f>'5_历史理论成本'!F13</f>
        <v/>
      </c>
      <c r="D13" s="28">
        <f>IF(OR(B13="",C13=""),"",B13-C13)</f>
        <v/>
      </c>
      <c r="E13" s="30">
        <f>IF(OR(B13="",C13="",B13=0),"",D13/B13)</f>
        <v/>
      </c>
    </row>
    <row r="14">
      <c r="A14" s="10" t="inlineStr">
        <is>
          <t>2026-07-31</t>
        </is>
      </c>
      <c r="B14" s="37" t="n">
        <v>1104.29</v>
      </c>
      <c r="C14" s="28">
        <f>'5_历史理论成本'!F14</f>
        <v/>
      </c>
      <c r="D14" s="28">
        <f>IF(OR(B14="",C14=""),"",B14-C14)</f>
        <v/>
      </c>
      <c r="E14" s="30">
        <f>IF(OR(B14="",C14="",B14=0),"",D14/B14)</f>
        <v/>
      </c>
    </row>
    <row r="15">
      <c r="A15" s="10" t="inlineStr">
        <is>
          <t>2026-08-01</t>
        </is>
      </c>
      <c r="B15" s="37" t="n">
        <v>1104.29</v>
      </c>
      <c r="C15" s="28">
        <f>'5_历史理论成本'!F15</f>
        <v/>
      </c>
      <c r="D15" s="28">
        <f>IF(OR(B15="",C15=""),"",B15-C15)</f>
        <v/>
      </c>
      <c r="E15" s="30">
        <f>IF(OR(B15="",C15="",B15=0),"",D15/B15)</f>
        <v/>
      </c>
    </row>
    <row r="16">
      <c r="A16" s="10" t="inlineStr">
        <is>
          <t>2026-08-02</t>
        </is>
      </c>
      <c r="B16" s="37" t="n">
        <v>1104.29</v>
      </c>
      <c r="C16" s="28">
        <f>'5_历史理论成本'!F16</f>
        <v/>
      </c>
      <c r="D16" s="28">
        <f>IF(OR(B16="",C16=""),"",B16-C16)</f>
        <v/>
      </c>
      <c r="E16" s="30">
        <f>IF(OR(B16="",C16="",B16=0),"",D16/B16)</f>
        <v/>
      </c>
    </row>
    <row r="17">
      <c r="A17" s="10" t="inlineStr">
        <is>
          <t>2026-08-03</t>
        </is>
      </c>
      <c r="B17" s="37" t="n">
        <v>1090</v>
      </c>
      <c r="C17" s="28">
        <f>'5_历史理论成本'!F17</f>
        <v/>
      </c>
      <c r="D17" s="28">
        <f>IF(OR(B17="",C17=""),"",B17-C17)</f>
        <v/>
      </c>
      <c r="E17" s="30">
        <f>IF(OR(B17="",C17="",B17=0),"",D17/B17)</f>
        <v/>
      </c>
    </row>
    <row r="18">
      <c r="A18" s="10" t="inlineStr">
        <is>
          <t>2026-08-04</t>
        </is>
      </c>
      <c r="B18" s="37" t="n">
        <v>1090</v>
      </c>
      <c r="C18" s="28">
        <f>'5_历史理论成本'!F18</f>
        <v/>
      </c>
      <c r="D18" s="28">
        <f>IF(OR(B18="",C18=""),"",B18-C18)</f>
        <v/>
      </c>
      <c r="E18" s="30">
        <f>IF(OR(B18="",C18="",B18=0),"",D18/B18)</f>
        <v/>
      </c>
    </row>
    <row r="19">
      <c r="A19" s="10" t="inlineStr">
        <is>
          <t>2026-08-05</t>
        </is>
      </c>
      <c r="B19" s="37" t="n">
        <v>1090</v>
      </c>
      <c r="C19" s="28">
        <f>'5_历史理论成本'!F19</f>
        <v/>
      </c>
      <c r="D19" s="28">
        <f>IF(OR(B19="",C19=""),"",B19-C19)</f>
        <v/>
      </c>
      <c r="E19" s="30">
        <f>IF(OR(B19="",C19="",B19=0),"",D19/B19)</f>
        <v/>
      </c>
    </row>
    <row r="20">
      <c r="A20" s="10" t="inlineStr">
        <is>
          <t>2026-08-06</t>
        </is>
      </c>
      <c r="B20" s="37" t="n">
        <v>1090</v>
      </c>
      <c r="C20" s="28">
        <f>'5_历史理论成本'!F20</f>
        <v/>
      </c>
      <c r="D20" s="28">
        <f>IF(OR(B20="",C20=""),"",B20-C20)</f>
        <v/>
      </c>
      <c r="E20" s="30">
        <f>IF(OR(B20="",C20="",B20=0),"",D20/B20)</f>
        <v/>
      </c>
    </row>
    <row r="21">
      <c r="A21" s="10" t="inlineStr">
        <is>
          <t>2026-08-07</t>
        </is>
      </c>
      <c r="B21" s="37" t="n">
        <v>1090</v>
      </c>
      <c r="C21" s="28">
        <f>'5_历史理论成本'!F21</f>
        <v/>
      </c>
      <c r="D21" s="28">
        <f>IF(OR(B21="",C21=""),"",B21-C21)</f>
        <v/>
      </c>
      <c r="E21" s="30">
        <f>IF(OR(B21="",C21="",B21=0),"",D21/B21)</f>
        <v/>
      </c>
    </row>
    <row r="22">
      <c r="A22" s="10" t="inlineStr">
        <is>
          <t>2026-08-08</t>
        </is>
      </c>
      <c r="B22" s="37" t="n">
        <v>1090</v>
      </c>
      <c r="C22" s="28">
        <f>'5_历史理论成本'!F22</f>
        <v/>
      </c>
      <c r="D22" s="28">
        <f>IF(OR(B22="",C22=""),"",B22-C22)</f>
        <v/>
      </c>
      <c r="E22" s="30">
        <f>IF(OR(B22="",C22="",B22=0),"",D22/B22)</f>
        <v/>
      </c>
    </row>
    <row r="23">
      <c r="A23" s="10" t="inlineStr">
        <is>
          <t>2026-08-09</t>
        </is>
      </c>
      <c r="B23" s="37" t="n">
        <v>1090</v>
      </c>
      <c r="C23" s="28">
        <f>'5_历史理论成本'!F23</f>
        <v/>
      </c>
      <c r="D23" s="28">
        <f>IF(OR(B23="",C23=""),"",B23-C23)</f>
        <v/>
      </c>
      <c r="E23" s="30">
        <f>IF(OR(B23="",C23="",B23=0),"",D23/B23)</f>
        <v/>
      </c>
    </row>
    <row r="24">
      <c r="A24" s="10" t="inlineStr">
        <is>
          <t>2026-08-10</t>
        </is>
      </c>
      <c r="B24" s="37" t="n">
        <v>1090</v>
      </c>
      <c r="C24" s="28">
        <f>'5_历史理论成本'!F24</f>
        <v/>
      </c>
      <c r="D24" s="28">
        <f>IF(OR(B24="",C24=""),"",B24-C24)</f>
        <v/>
      </c>
      <c r="E24" s="30">
        <f>IF(OR(B24="",C24="",B24=0),"",D24/B24)</f>
        <v/>
      </c>
    </row>
    <row r="25">
      <c r="A25" s="10" t="inlineStr">
        <is>
          <t>2026-08-11</t>
        </is>
      </c>
      <c r="B25" s="37" t="n">
        <v>1090</v>
      </c>
      <c r="C25" s="28">
        <f>'5_历史理论成本'!F25</f>
        <v/>
      </c>
      <c r="D25" s="28">
        <f>IF(OR(B25="",C25=""),"",B25-C25)</f>
        <v/>
      </c>
      <c r="E25" s="30">
        <f>IF(OR(B25="",C25="",B25=0),"",D25/B25)</f>
        <v/>
      </c>
    </row>
    <row r="26">
      <c r="A26" s="10" t="inlineStr">
        <is>
          <t>2026-08-12</t>
        </is>
      </c>
      <c r="B26" s="37" t="n">
        <v>1090</v>
      </c>
      <c r="C26" s="28">
        <f>'5_历史理论成本'!F26</f>
        <v/>
      </c>
      <c r="D26" s="28">
        <f>IF(OR(B26="",C26=""),"",B26-C26)</f>
        <v/>
      </c>
      <c r="E26" s="30">
        <f>IF(OR(B26="",C26="",B26=0),"",D26/B26)</f>
        <v/>
      </c>
    </row>
    <row r="27">
      <c r="A27" s="10" t="inlineStr">
        <is>
          <t>2026-08-13</t>
        </is>
      </c>
      <c r="B27" s="37" t="n">
        <v>1090</v>
      </c>
      <c r="C27" s="28">
        <f>'5_历史理论成本'!F27</f>
        <v/>
      </c>
      <c r="D27" s="28">
        <f>IF(OR(B27="",C27=""),"",B27-C27)</f>
        <v/>
      </c>
      <c r="E27" s="30">
        <f>IF(OR(B27="",C27="",B27=0),"",D27/B27)</f>
        <v/>
      </c>
    </row>
    <row r="28">
      <c r="A28" s="10" t="inlineStr">
        <is>
          <t>2026-08-14</t>
        </is>
      </c>
      <c r="B28" s="37" t="n">
        <v>1090</v>
      </c>
      <c r="C28" s="28">
        <f>'5_历史理论成本'!F28</f>
        <v/>
      </c>
      <c r="D28" s="28">
        <f>IF(OR(B28="",C28=""),"",B28-C28)</f>
        <v/>
      </c>
      <c r="E28" s="30">
        <f>IF(OR(B28="",C28="",B28=0),"",D28/B28)</f>
        <v/>
      </c>
    </row>
    <row r="29">
      <c r="A29" s="10" t="inlineStr">
        <is>
          <t>2026-08-15</t>
        </is>
      </c>
      <c r="B29" s="37" t="n">
        <v>1090</v>
      </c>
      <c r="C29" s="28">
        <f>'5_历史理论成本'!F29</f>
        <v/>
      </c>
      <c r="D29" s="28">
        <f>IF(OR(B29="",C29=""),"",B29-C29)</f>
        <v/>
      </c>
      <c r="E29" s="30">
        <f>IF(OR(B29="",C29="",B29=0),"",D29/B29)</f>
        <v/>
      </c>
    </row>
    <row r="30">
      <c r="A30" s="10" t="inlineStr">
        <is>
          <t>2026-08-16</t>
        </is>
      </c>
      <c r="B30" s="37" t="n">
        <v>1090</v>
      </c>
      <c r="C30" s="28">
        <f>'5_历史理论成本'!F30</f>
        <v/>
      </c>
      <c r="D30" s="28">
        <f>IF(OR(B30="",C30=""),"",B30-C30)</f>
        <v/>
      </c>
      <c r="E30" s="30">
        <f>IF(OR(B30="",C30="",B30=0),"",D30/B30)</f>
        <v/>
      </c>
    </row>
    <row r="31">
      <c r="A31" s="10" t="inlineStr">
        <is>
          <t>2026-08-17</t>
        </is>
      </c>
      <c r="B31" s="37" t="n">
        <v>1090</v>
      </c>
      <c r="C31" s="28">
        <f>'5_历史理论成本'!F31</f>
        <v/>
      </c>
      <c r="D31" s="28">
        <f>IF(OR(B31="",C31=""),"",B31-C31)</f>
        <v/>
      </c>
      <c r="E31" s="30">
        <f>IF(OR(B31="",C31="",B31=0),"",D31/B31)</f>
        <v/>
      </c>
    </row>
    <row r="32">
      <c r="A32" s="10" t="inlineStr">
        <is>
          <t>2026-08-18</t>
        </is>
      </c>
      <c r="B32" s="37" t="n">
        <v>1090</v>
      </c>
      <c r="C32" s="28">
        <f>'5_历史理论成本'!F32</f>
        <v/>
      </c>
      <c r="D32" s="28">
        <f>IF(OR(B32="",C32=""),"",B32-C32)</f>
        <v/>
      </c>
      <c r="E32" s="30">
        <f>IF(OR(B32="",C32="",B32=0),"",D32/B32)</f>
        <v/>
      </c>
    </row>
    <row r="33">
      <c r="A33" s="10" t="inlineStr">
        <is>
          <t>2026-08-19</t>
        </is>
      </c>
      <c r="B33" s="37" t="n">
        <v>1090</v>
      </c>
      <c r="C33" s="28">
        <f>'5_历史理论成本'!F33</f>
        <v/>
      </c>
      <c r="D33" s="28">
        <f>IF(OR(B33="",C33=""),"",B33-C33)</f>
        <v/>
      </c>
      <c r="E33" s="30">
        <f>IF(OR(B33="",C33="",B33=0),"",D33/B33)</f>
        <v/>
      </c>
    </row>
    <row r="34">
      <c r="A34" s="10" t="inlineStr">
        <is>
          <t>2026-08-20</t>
        </is>
      </c>
      <c r="B34" s="37" t="n">
        <v>1090</v>
      </c>
      <c r="C34" s="28">
        <f>'5_历史理论成本'!F34</f>
        <v/>
      </c>
      <c r="D34" s="28">
        <f>IF(OR(B34="",C34=""),"",B34-C34)</f>
        <v/>
      </c>
      <c r="E34" s="30">
        <f>IF(OR(B34="",C34="",B34=0),"",D34/B34)</f>
        <v/>
      </c>
    </row>
    <row r="35">
      <c r="A35" s="10" t="inlineStr">
        <is>
          <t>2026-08-21</t>
        </is>
      </c>
      <c r="B35" s="37" t="n">
        <v>1090</v>
      </c>
      <c r="C35" s="28">
        <f>'5_历史理论成本'!F35</f>
        <v/>
      </c>
      <c r="D35" s="28">
        <f>IF(OR(B35="",C35=""),"",B35-C35)</f>
        <v/>
      </c>
      <c r="E35" s="30">
        <f>IF(OR(B35="",C35="",B35=0),"",D35/B35)</f>
        <v/>
      </c>
    </row>
    <row r="36">
      <c r="A36" s="10" t="inlineStr">
        <is>
          <t>2026-08-22</t>
        </is>
      </c>
      <c r="B36" s="37" t="n">
        <v>1090</v>
      </c>
      <c r="C36" s="28">
        <f>'5_历史理论成本'!F36</f>
        <v/>
      </c>
      <c r="D36" s="28">
        <f>IF(OR(B36="",C36=""),"",B36-C36)</f>
        <v/>
      </c>
      <c r="E36" s="30">
        <f>IF(OR(B36="",C36="",B36=0),"",D36/B36)</f>
        <v/>
      </c>
    </row>
    <row r="37">
      <c r="A37" s="10" t="inlineStr">
        <is>
          <t>2026-08-23</t>
        </is>
      </c>
      <c r="B37" s="37" t="n">
        <v>1090</v>
      </c>
      <c r="C37" s="28">
        <f>'5_历史理论成本'!F37</f>
        <v/>
      </c>
      <c r="D37" s="28">
        <f>IF(OR(B37="",C37=""),"",B37-C37)</f>
        <v/>
      </c>
      <c r="E37" s="30">
        <f>IF(OR(B37="",C37="",B37=0),"",D37/B37)</f>
        <v/>
      </c>
    </row>
    <row r="38">
      <c r="A38" s="10" t="inlineStr">
        <is>
          <t>2026-08-24</t>
        </is>
      </c>
      <c r="B38" s="37" t="n">
        <v>1090</v>
      </c>
      <c r="C38" s="28">
        <f>'5_历史理论成本'!F38</f>
        <v/>
      </c>
      <c r="D38" s="28">
        <f>IF(OR(B38="",C38=""),"",B38-C38)</f>
        <v/>
      </c>
      <c r="E38" s="30">
        <f>IF(OR(B38="",C38="",B38=0),"",D38/B38)</f>
        <v/>
      </c>
    </row>
    <row r="39">
      <c r="A39" s="10" t="inlineStr">
        <is>
          <t>2026-08-25</t>
        </is>
      </c>
      <c r="B39" s="37" t="n">
        <v>1090</v>
      </c>
      <c r="C39" s="28">
        <f>'5_历史理论成本'!F39</f>
        <v/>
      </c>
      <c r="D39" s="28">
        <f>IF(OR(B39="",C39=""),"",B39-C39)</f>
        <v/>
      </c>
      <c r="E39" s="30">
        <f>IF(OR(B39="",C39="",B39=0),"",D39/B39)</f>
        <v/>
      </c>
    </row>
    <row r="40">
      <c r="A40" s="10" t="inlineStr">
        <is>
          <t>2026-08-26</t>
        </is>
      </c>
      <c r="B40" s="37" t="n">
        <v>1087.14</v>
      </c>
      <c r="C40" s="28">
        <f>'5_历史理论成本'!F40</f>
        <v/>
      </c>
      <c r="D40" s="28">
        <f>IF(OR(B40="",C40=""),"",B40-C40)</f>
        <v/>
      </c>
      <c r="E40" s="30">
        <f>IF(OR(B40="",C40="",B40=0),"",D40/B40)</f>
        <v/>
      </c>
    </row>
    <row r="41">
      <c r="A41" s="10" t="inlineStr">
        <is>
          <t>2026-08-27</t>
        </is>
      </c>
      <c r="B41" s="37" t="n">
        <v>1087.14</v>
      </c>
      <c r="C41" s="28">
        <f>'5_历史理论成本'!F41</f>
        <v/>
      </c>
      <c r="D41" s="28">
        <f>IF(OR(B41="",C41=""),"",B41-C41)</f>
        <v/>
      </c>
      <c r="E41" s="30">
        <f>IF(OR(B41="",C41="",B41=0),"",D41/B41)</f>
        <v/>
      </c>
    </row>
    <row r="42">
      <c r="A42" s="10" t="inlineStr">
        <is>
          <t>2026-08-28</t>
        </is>
      </c>
      <c r="B42" s="37" t="n">
        <v>1087.14</v>
      </c>
      <c r="C42" s="28">
        <f>'5_历史理论成本'!F42</f>
        <v/>
      </c>
      <c r="D42" s="28">
        <f>IF(OR(B42="",C42=""),"",B42-C42)</f>
        <v/>
      </c>
      <c r="E42" s="30">
        <f>IF(OR(B42="",C42="",B42=0),"",D42/B42)</f>
        <v/>
      </c>
    </row>
    <row r="43">
      <c r="A43" s="10" t="inlineStr">
        <is>
          <t>2026-08-29</t>
        </is>
      </c>
      <c r="B43" s="37" t="n">
        <v>1087.14</v>
      </c>
      <c r="C43" s="28">
        <f>'5_历史理论成本'!F43</f>
        <v/>
      </c>
      <c r="D43" s="28">
        <f>IF(OR(B43="",C43=""),"",B43-C43)</f>
        <v/>
      </c>
      <c r="E43" s="30">
        <f>IF(OR(B43="",C43="",B43=0),"",D43/B43)</f>
        <v/>
      </c>
    </row>
    <row r="44">
      <c r="A44" s="10" t="inlineStr">
        <is>
          <t>2026-08-30</t>
        </is>
      </c>
      <c r="B44" s="37" t="n">
        <v>1087.14</v>
      </c>
      <c r="C44" s="28">
        <f>'5_历史理论成本'!F44</f>
        <v/>
      </c>
      <c r="D44" s="28">
        <f>IF(OR(B44="",C44=""),"",B44-C44)</f>
        <v/>
      </c>
      <c r="E44" s="30">
        <f>IF(OR(B44="",C44="",B44=0),"",D44/B44)</f>
        <v/>
      </c>
    </row>
    <row r="45">
      <c r="A45" s="10" t="inlineStr">
        <is>
          <t>2026-08-31</t>
        </is>
      </c>
      <c r="B45" s="37" t="n">
        <v>1087.14</v>
      </c>
      <c r="C45" s="28">
        <f>'5_历史理论成本'!F45</f>
        <v/>
      </c>
      <c r="D45" s="28">
        <f>IF(OR(B45="",C45=""),"",B45-C45)</f>
        <v/>
      </c>
      <c r="E45" s="30">
        <f>IF(OR(B45="",C45="",B45=0),"",D45/B45)</f>
        <v/>
      </c>
    </row>
    <row r="46">
      <c r="A46" s="10" t="inlineStr">
        <is>
          <t>2026-09-01</t>
        </is>
      </c>
      <c r="B46" s="37" t="n">
        <v>1087.14</v>
      </c>
      <c r="C46" s="28">
        <f>'5_历史理论成本'!F46</f>
        <v/>
      </c>
      <c r="D46" s="28">
        <f>IF(OR(B46="",C46=""),"",B46-C46)</f>
        <v/>
      </c>
      <c r="E46" s="30">
        <f>IF(OR(B46="",C46="",B46=0),"",D46/B46)</f>
        <v/>
      </c>
    </row>
    <row r="47">
      <c r="A47" s="10" t="inlineStr">
        <is>
          <t>2026-09-02</t>
        </is>
      </c>
      <c r="B47" s="37" t="n">
        <v>1087.14</v>
      </c>
      <c r="C47" s="28">
        <f>'5_历史理论成本'!F47</f>
        <v/>
      </c>
      <c r="D47" s="28">
        <f>IF(OR(B47="",C47=""),"",B47-C47)</f>
        <v/>
      </c>
      <c r="E47" s="30">
        <f>IF(OR(B47="",C47="",B47=0),"",D47/B47)</f>
        <v/>
      </c>
    </row>
    <row r="48">
      <c r="A48" s="10" t="inlineStr">
        <is>
          <t>2026-09-03</t>
        </is>
      </c>
      <c r="B48" s="37" t="n">
        <v>1087.14</v>
      </c>
      <c r="C48" s="28">
        <f>'5_历史理论成本'!F48</f>
        <v/>
      </c>
      <c r="D48" s="28">
        <f>IF(OR(B48="",C48=""),"",B48-C48)</f>
        <v/>
      </c>
      <c r="E48" s="30">
        <f>IF(OR(B48="",C48="",B48=0),"",D48/B48)</f>
        <v/>
      </c>
    </row>
    <row r="49">
      <c r="A49" s="10" t="inlineStr">
        <is>
          <t>2026-09-04</t>
        </is>
      </c>
      <c r="B49" s="37" t="n">
        <v>1087.14</v>
      </c>
      <c r="C49" s="28">
        <f>'5_历史理论成本'!F49</f>
        <v/>
      </c>
      <c r="D49" s="28">
        <f>IF(OR(B49="",C49=""),"",B49-C49)</f>
        <v/>
      </c>
      <c r="E49" s="30">
        <f>IF(OR(B49="",C49="",B49=0),"",D49/B49)</f>
        <v/>
      </c>
    </row>
    <row r="50">
      <c r="A50" s="10" t="inlineStr">
        <is>
          <t>2026-09-05</t>
        </is>
      </c>
      <c r="B50" s="37" t="n">
        <v>1087.14</v>
      </c>
      <c r="C50" s="28">
        <f>'5_历史理论成本'!F50</f>
        <v/>
      </c>
      <c r="D50" s="28">
        <f>IF(OR(B50="",C50=""),"",B50-C50)</f>
        <v/>
      </c>
      <c r="E50" s="30">
        <f>IF(OR(B50="",C50="",B50=0),"",D50/B50)</f>
        <v/>
      </c>
    </row>
    <row r="51">
      <c r="A51" s="10" t="inlineStr">
        <is>
          <t>2026-09-06</t>
        </is>
      </c>
      <c r="B51" s="37" t="n">
        <v>1087.14</v>
      </c>
      <c r="C51" s="28">
        <f>'5_历史理论成本'!F51</f>
        <v/>
      </c>
      <c r="D51" s="28">
        <f>IF(OR(B51="",C51=""),"",B51-C51)</f>
        <v/>
      </c>
      <c r="E51" s="30">
        <f>IF(OR(B51="",C51="",B51=0),"",D51/B51)</f>
        <v/>
      </c>
    </row>
    <row r="52">
      <c r="A52" s="10" t="inlineStr">
        <is>
          <t>2026-09-07</t>
        </is>
      </c>
      <c r="B52" s="37" t="n">
        <v>1087.14</v>
      </c>
      <c r="C52" s="28">
        <f>'5_历史理论成本'!F52</f>
        <v/>
      </c>
      <c r="D52" s="28">
        <f>IF(OR(B52="",C52=""),"",B52-C52)</f>
        <v/>
      </c>
      <c r="E52" s="30">
        <f>IF(OR(B52="",C52="",B52=0),"",D52/B52)</f>
        <v/>
      </c>
    </row>
    <row r="53">
      <c r="A53" s="10" t="inlineStr">
        <is>
          <t>2026-09-08</t>
        </is>
      </c>
      <c r="B53" s="37" t="n">
        <v>1087.14</v>
      </c>
      <c r="C53" s="28">
        <f>'5_历史理论成本'!F53</f>
        <v/>
      </c>
      <c r="D53" s="28">
        <f>IF(OR(B53="",C53=""),"",B53-C53)</f>
        <v/>
      </c>
      <c r="E53" s="30">
        <f>IF(OR(B53="",C53="",B53=0),"",D53/B53)</f>
        <v/>
      </c>
    </row>
    <row r="54">
      <c r="A54" s="10" t="inlineStr">
        <is>
          <t>2026-09-09</t>
        </is>
      </c>
      <c r="B54" s="37" t="n">
        <v>1090</v>
      </c>
      <c r="C54" s="28">
        <f>'5_历史理论成本'!F54</f>
        <v/>
      </c>
      <c r="D54" s="28">
        <f>IF(OR(B54="",C54=""),"",B54-C54)</f>
        <v/>
      </c>
      <c r="E54" s="30">
        <f>IF(OR(B54="",C54="",B54=0),"",D54/B54)</f>
        <v/>
      </c>
    </row>
    <row r="55">
      <c r="A55" s="10" t="inlineStr">
        <is>
          <t>2026-09-10</t>
        </is>
      </c>
      <c r="B55" s="37" t="n">
        <v>1090</v>
      </c>
      <c r="C55" s="28">
        <f>'5_历史理论成本'!F55</f>
        <v/>
      </c>
      <c r="D55" s="28">
        <f>IF(OR(B55="",C55=""),"",B55-C55)</f>
        <v/>
      </c>
      <c r="E55" s="30">
        <f>IF(OR(B55="",C55="",B55=0),"",D55/B55)</f>
        <v/>
      </c>
    </row>
    <row r="56">
      <c r="A56" s="10" t="inlineStr">
        <is>
          <t>2026-09-11</t>
        </is>
      </c>
      <c r="B56" s="37" t="n">
        <v>1090</v>
      </c>
      <c r="C56" s="28">
        <f>'5_历史理论成本'!F56</f>
        <v/>
      </c>
      <c r="D56" s="28">
        <f>IF(OR(B56="",C56=""),"",B56-C56)</f>
        <v/>
      </c>
      <c r="E56" s="30">
        <f>IF(OR(B56="",C56="",B56=0),"",D56/B56)</f>
        <v/>
      </c>
    </row>
    <row r="57">
      <c r="A57" s="10" t="inlineStr">
        <is>
          <t>2026-09-12</t>
        </is>
      </c>
      <c r="B57" s="37" t="n">
        <v>1090</v>
      </c>
      <c r="C57" s="28">
        <f>'5_历史理论成本'!F57</f>
        <v/>
      </c>
      <c r="D57" s="28">
        <f>IF(OR(B57="",C57=""),"",B57-C57)</f>
        <v/>
      </c>
      <c r="E57" s="30">
        <f>IF(OR(B57="",C57="",B57=0),"",D57/B57)</f>
        <v/>
      </c>
    </row>
    <row r="58">
      <c r="A58" s="10" t="inlineStr">
        <is>
          <t>2026-09-13</t>
        </is>
      </c>
      <c r="B58" s="37" t="n">
        <v>1090</v>
      </c>
      <c r="C58" s="28">
        <f>'5_历史理论成本'!F58</f>
        <v/>
      </c>
      <c r="D58" s="28">
        <f>IF(OR(B58="",C58=""),"",B58-C58)</f>
        <v/>
      </c>
      <c r="E58" s="30">
        <f>IF(OR(B58="",C58="",B58=0),"",D58/B58)</f>
        <v/>
      </c>
    </row>
    <row r="59">
      <c r="A59" s="10" t="inlineStr">
        <is>
          <t>2026-09-14</t>
        </is>
      </c>
      <c r="B59" s="37" t="n">
        <v>1090</v>
      </c>
      <c r="C59" s="28">
        <f>'5_历史理论成本'!F59</f>
        <v/>
      </c>
      <c r="D59" s="28">
        <f>IF(OR(B59="",C59=""),"",B59-C59)</f>
        <v/>
      </c>
      <c r="E59" s="30">
        <f>IF(OR(B59="",C59="",B59=0),"",D59/B59)</f>
        <v/>
      </c>
    </row>
    <row r="60">
      <c r="A60" s="10" t="inlineStr">
        <is>
          <t>2026-09-15</t>
        </is>
      </c>
      <c r="B60" s="37" t="n">
        <v>1090</v>
      </c>
      <c r="C60" s="28">
        <f>'5_历史理论成本'!F60</f>
        <v/>
      </c>
      <c r="D60" s="28">
        <f>IF(OR(B60="",C60=""),"",B60-C60)</f>
        <v/>
      </c>
      <c r="E60" s="30">
        <f>IF(OR(B60="",C60="",B60=0),"",D60/B60)</f>
        <v/>
      </c>
    </row>
    <row r="61">
      <c r="A61" s="10" t="inlineStr">
        <is>
          <t>2026-09-16</t>
        </is>
      </c>
      <c r="B61" s="37" t="n">
        <v>1080</v>
      </c>
      <c r="C61" s="28">
        <f>'5_历史理论成本'!F61</f>
        <v/>
      </c>
      <c r="D61" s="28">
        <f>IF(OR(B61="",C61=""),"",B61-C61)</f>
        <v/>
      </c>
      <c r="E61" s="30">
        <f>IF(OR(B61="",C61="",B61=0),"",D61/B61)</f>
        <v/>
      </c>
    </row>
    <row r="62">
      <c r="A62" s="10" t="inlineStr">
        <is>
          <t>2026-09-17</t>
        </is>
      </c>
      <c r="B62" s="37" t="n">
        <v>1077.14</v>
      </c>
      <c r="C62" s="28">
        <f>'5_历史理论成本'!F62</f>
        <v/>
      </c>
      <c r="D62" s="28">
        <f>IF(OR(B62="",C62=""),"",B62-C62)</f>
        <v/>
      </c>
      <c r="E62" s="30">
        <f>IF(OR(B62="",C62="",B62=0),"",D62/B62)</f>
        <v/>
      </c>
    </row>
    <row r="63">
      <c r="A63" s="10" t="inlineStr">
        <is>
          <t>2026-09-18</t>
        </is>
      </c>
      <c r="B63" s="37" t="n">
        <v>1077.14</v>
      </c>
      <c r="C63" s="28">
        <f>'5_历史理论成本'!F63</f>
        <v/>
      </c>
      <c r="D63" s="28">
        <f>IF(OR(B63="",C63=""),"",B63-C63)</f>
        <v/>
      </c>
      <c r="E63" s="30">
        <f>IF(OR(B63="",C63="",B63=0),"",D63/B63)</f>
        <v/>
      </c>
    </row>
    <row r="64">
      <c r="A64" s="10" t="inlineStr">
        <is>
          <t>2026-09-19</t>
        </is>
      </c>
      <c r="B64" s="37" t="n">
        <v>1077.14</v>
      </c>
      <c r="C64" s="28">
        <f>'5_历史理论成本'!F64</f>
        <v/>
      </c>
      <c r="D64" s="28">
        <f>IF(OR(B64="",C64=""),"",B64-C64)</f>
        <v/>
      </c>
      <c r="E64" s="30">
        <f>IF(OR(B64="",C64="",B64=0),"",D64/B64)</f>
        <v/>
      </c>
    </row>
    <row r="65">
      <c r="A65" s="10" t="inlineStr">
        <is>
          <t>2026-09-20</t>
        </is>
      </c>
      <c r="B65" s="37" t="n">
        <v>1077.14</v>
      </c>
      <c r="C65" s="28">
        <f>'5_历史理论成本'!F65</f>
        <v/>
      </c>
      <c r="D65" s="28">
        <f>IF(OR(B65="",C65=""),"",B65-C65)</f>
        <v/>
      </c>
      <c r="E65" s="30">
        <f>IF(OR(B65="",C65="",B65=0),"",D65/B65)</f>
        <v/>
      </c>
    </row>
    <row r="66">
      <c r="A66" s="10" t="inlineStr">
        <is>
          <t>2026-09-21</t>
        </is>
      </c>
      <c r="B66" s="37" t="n">
        <v>1077.14</v>
      </c>
      <c r="C66" s="28">
        <f>'5_历史理论成本'!F66</f>
        <v/>
      </c>
      <c r="D66" s="28">
        <f>IF(OR(B66="",C66=""),"",B66-C66)</f>
        <v/>
      </c>
      <c r="E66" s="30">
        <f>IF(OR(B66="",C66="",B66=0),"",D66/B66)</f>
        <v/>
      </c>
    </row>
    <row r="67">
      <c r="A67" s="10" t="inlineStr">
        <is>
          <t>2026-09-22</t>
        </is>
      </c>
      <c r="B67" s="37" t="n">
        <v>1077.14</v>
      </c>
      <c r="C67" s="28">
        <f>'5_历史理论成本'!F67</f>
        <v/>
      </c>
      <c r="D67" s="28">
        <f>IF(OR(B67="",C67=""),"",B67-C67)</f>
        <v/>
      </c>
      <c r="E67" s="30">
        <f>IF(OR(B67="",C67="",B67=0),"",D67/B67)</f>
        <v/>
      </c>
    </row>
    <row r="68">
      <c r="A68" s="10" t="inlineStr">
        <is>
          <t>2026-09-23</t>
        </is>
      </c>
      <c r="B68" s="37" t="n">
        <v>1077.14</v>
      </c>
      <c r="C68" s="28">
        <f>'5_历史理论成本'!F68</f>
        <v/>
      </c>
      <c r="D68" s="28">
        <f>IF(OR(B68="",C68=""),"",B68-C68)</f>
        <v/>
      </c>
      <c r="E68" s="30">
        <f>IF(OR(B68="",C68="",B68=0),"",D68/B68)</f>
        <v/>
      </c>
    </row>
    <row r="69">
      <c r="A69" s="10" t="inlineStr">
        <is>
          <t>2026-09-24</t>
        </is>
      </c>
      <c r="B69" s="37" t="n">
        <v>1075.71</v>
      </c>
      <c r="C69" s="28">
        <f>'5_历史理论成本'!F69</f>
        <v/>
      </c>
      <c r="D69" s="28">
        <f>IF(OR(B69="",C69=""),"",B69-C69)</f>
        <v/>
      </c>
      <c r="E69" s="30">
        <f>IF(OR(B69="",C69="",B69=0),"",D69/B69)</f>
        <v/>
      </c>
    </row>
    <row r="70">
      <c r="A70" s="10" t="inlineStr">
        <is>
          <t>2026-09-25</t>
        </is>
      </c>
      <c r="B70" s="37" t="n">
        <v>1075.71</v>
      </c>
      <c r="C70" s="28">
        <f>'5_历史理论成本'!F70</f>
        <v/>
      </c>
      <c r="D70" s="28">
        <f>IF(OR(B70="",C70=""),"",B70-C70)</f>
        <v/>
      </c>
      <c r="E70" s="30">
        <f>IF(OR(B70="",C70="",B70=0),"",D70/B70)</f>
        <v/>
      </c>
    </row>
    <row r="71">
      <c r="A71" s="10" t="inlineStr">
        <is>
          <t>2026-09-26</t>
        </is>
      </c>
      <c r="B71" s="37" t="n">
        <v>1075.71</v>
      </c>
      <c r="C71" s="28">
        <f>'5_历史理论成本'!F71</f>
        <v/>
      </c>
      <c r="D71" s="28">
        <f>IF(OR(B71="",C71=""),"",B71-C71)</f>
        <v/>
      </c>
      <c r="E71" s="30">
        <f>IF(OR(B71="",C71="",B71=0),"",D71/B71)</f>
        <v/>
      </c>
    </row>
    <row r="72">
      <c r="A72" s="10" t="inlineStr">
        <is>
          <t>2026-09-27</t>
        </is>
      </c>
      <c r="B72" s="37" t="n">
        <v>1075.71</v>
      </c>
      <c r="C72" s="28">
        <f>'5_历史理论成本'!F72</f>
        <v/>
      </c>
      <c r="D72" s="28">
        <f>IF(OR(B72="",C72=""),"",B72-C72)</f>
        <v/>
      </c>
      <c r="E72" s="30">
        <f>IF(OR(B72="",C72="",B72=0),"",D72/B72)</f>
        <v/>
      </c>
    </row>
    <row r="73">
      <c r="A73" s="10" t="inlineStr">
        <is>
          <t>2026-09-28</t>
        </is>
      </c>
      <c r="B73" s="37" t="n">
        <v>1075.71</v>
      </c>
      <c r="C73" s="28">
        <f>'5_历史理论成本'!F73</f>
        <v/>
      </c>
      <c r="D73" s="28">
        <f>IF(OR(B73="",C73=""),"",B73-C73)</f>
        <v/>
      </c>
      <c r="E73" s="30">
        <f>IF(OR(B73="",C73="",B73=0),"",D73/B73)</f>
        <v/>
      </c>
    </row>
    <row r="74">
      <c r="A74" s="10" t="inlineStr">
        <is>
          <t>2026-09-29</t>
        </is>
      </c>
      <c r="B74" s="37" t="n">
        <v>1075.71</v>
      </c>
      <c r="C74" s="28">
        <f>'5_历史理论成本'!F74</f>
        <v/>
      </c>
      <c r="D74" s="28">
        <f>IF(OR(B74="",C74=""),"",B74-C74)</f>
        <v/>
      </c>
      <c r="E74" s="30">
        <f>IF(OR(B74="",C74="",B74=0),"",D74/B74)</f>
        <v/>
      </c>
    </row>
    <row r="75">
      <c r="A75" s="10" t="inlineStr">
        <is>
          <t>2026-09-30</t>
        </is>
      </c>
      <c r="B75" s="37" t="n">
        <v>1075.71</v>
      </c>
      <c r="C75" s="28">
        <f>'5_历史理论成本'!F75</f>
        <v/>
      </c>
      <c r="D75" s="28">
        <f>IF(OR(B75="",C75=""),"",B75-C75)</f>
        <v/>
      </c>
      <c r="E75" s="30">
        <f>IF(OR(B75="",C75="",B75=0),"",D75/B75)</f>
        <v/>
      </c>
    </row>
    <row r="76">
      <c r="A76" s="10" t="inlineStr">
        <is>
          <t>2026-10-01</t>
        </is>
      </c>
      <c r="B76" s="37" t="n">
        <v>1075.71</v>
      </c>
      <c r="C76" s="28">
        <f>'5_历史理论成本'!F76</f>
        <v/>
      </c>
      <c r="D76" s="28">
        <f>IF(OR(B76="",C76=""),"",B76-C76)</f>
        <v/>
      </c>
      <c r="E76" s="30">
        <f>IF(OR(B76="",C76="",B76=0),"",D76/B76)</f>
        <v/>
      </c>
    </row>
    <row r="77">
      <c r="A77" s="10" t="inlineStr">
        <is>
          <t>2026-10-02</t>
        </is>
      </c>
      <c r="B77" s="37" t="n">
        <v>1075.71</v>
      </c>
      <c r="C77" s="28">
        <f>'5_历史理论成本'!F77</f>
        <v/>
      </c>
      <c r="D77" s="28">
        <f>IF(OR(B77="",C77=""),"",B77-C77)</f>
        <v/>
      </c>
      <c r="E77" s="30">
        <f>IF(OR(B77="",C77="",B77=0),"",D77/B77)</f>
        <v/>
      </c>
    </row>
    <row r="78">
      <c r="A78" s="10" t="inlineStr">
        <is>
          <t>2026-10-03</t>
        </is>
      </c>
      <c r="B78" s="37" t="n">
        <v>1075.71</v>
      </c>
      <c r="C78" s="28">
        <f>'5_历史理论成本'!F78</f>
        <v/>
      </c>
      <c r="D78" s="28">
        <f>IF(OR(B78="",C78=""),"",B78-C78)</f>
        <v/>
      </c>
      <c r="E78" s="30">
        <f>IF(OR(B78="",C78="",B78=0),"",D78/B78)</f>
        <v/>
      </c>
    </row>
    <row r="79">
      <c r="A79" s="10" t="inlineStr">
        <is>
          <t>2026-10-04</t>
        </is>
      </c>
      <c r="B79" s="37" t="n">
        <v>1075.71</v>
      </c>
      <c r="C79" s="28">
        <f>'5_历史理论成本'!F79</f>
        <v/>
      </c>
      <c r="D79" s="28">
        <f>IF(OR(B79="",C79=""),"",B79-C79)</f>
        <v/>
      </c>
      <c r="E79" s="30">
        <f>IF(OR(B79="",C79="",B79=0),"",D79/B79)</f>
        <v/>
      </c>
    </row>
    <row r="80">
      <c r="A80" s="10" t="inlineStr">
        <is>
          <t>2026-10-05</t>
        </is>
      </c>
      <c r="B80" s="37" t="n">
        <v>1075.71</v>
      </c>
      <c r="C80" s="28">
        <f>'5_历史理论成本'!F80</f>
        <v/>
      </c>
      <c r="D80" s="28">
        <f>IF(OR(B80="",C80=""),"",B80-C80)</f>
        <v/>
      </c>
      <c r="E80" s="30">
        <f>IF(OR(B80="",C80="",B80=0),"",D80/B80)</f>
        <v/>
      </c>
    </row>
    <row r="81">
      <c r="A81" s="10" t="inlineStr">
        <is>
          <t>2026-10-06</t>
        </is>
      </c>
      <c r="B81" s="37" t="n">
        <v>1075.71</v>
      </c>
      <c r="C81" s="28">
        <f>'5_历史理论成本'!F81</f>
        <v/>
      </c>
      <c r="D81" s="28">
        <f>IF(OR(B81="",C81=""),"",B81-C81)</f>
        <v/>
      </c>
      <c r="E81" s="30">
        <f>IF(OR(B81="",C81="",B81=0),"",D81/B81)</f>
        <v/>
      </c>
    </row>
    <row r="82">
      <c r="A82" s="10" t="inlineStr">
        <is>
          <t>2026-10-07</t>
        </is>
      </c>
      <c r="B82" s="37" t="n">
        <v>1075.71</v>
      </c>
      <c r="C82" s="28">
        <f>'5_历史理论成本'!F82</f>
        <v/>
      </c>
      <c r="D82" s="28">
        <f>IF(OR(B82="",C82=""),"",B82-C82)</f>
        <v/>
      </c>
      <c r="E82" s="30">
        <f>IF(OR(B82="",C82="",B82=0),"",D82/B82)</f>
        <v/>
      </c>
    </row>
    <row r="83">
      <c r="A83" s="10" t="inlineStr">
        <is>
          <t>2026-10-08</t>
        </is>
      </c>
      <c r="B83" s="37" t="n">
        <v>1074.29</v>
      </c>
      <c r="C83" s="28">
        <f>'5_历史理论成本'!F83</f>
        <v/>
      </c>
      <c r="D83" s="28">
        <f>IF(OR(B83="",C83=""),"",B83-C83)</f>
        <v/>
      </c>
      <c r="E83" s="30">
        <f>IF(OR(B83="",C83="",B83=0),"",D83/B83)</f>
        <v/>
      </c>
    </row>
    <row r="84">
      <c r="A84" s="10" t="inlineStr">
        <is>
          <t>2026-10-09</t>
        </is>
      </c>
      <c r="B84" s="37" t="n">
        <v>1074.29</v>
      </c>
      <c r="C84" s="28">
        <f>'5_历史理论成本'!F84</f>
        <v/>
      </c>
      <c r="D84" s="28">
        <f>IF(OR(B84="",C84=""),"",B84-C84)</f>
        <v/>
      </c>
      <c r="E84" s="30">
        <f>IF(OR(B84="",C84="",B84=0),"",D84/B84)</f>
        <v/>
      </c>
    </row>
    <row r="85">
      <c r="A85" s="10" t="inlineStr">
        <is>
          <t>2026-10-10</t>
        </is>
      </c>
      <c r="B85" s="37" t="n">
        <v>1074.29</v>
      </c>
      <c r="C85" s="28">
        <f>'5_历史理论成本'!F85</f>
        <v/>
      </c>
      <c r="D85" s="28">
        <f>IF(OR(B85="",C85=""),"",B85-C85)</f>
        <v/>
      </c>
      <c r="E85" s="30">
        <f>IF(OR(B85="",C85="",B85=0),"",D85/B85)</f>
        <v/>
      </c>
    </row>
    <row r="86">
      <c r="A86" s="10" t="inlineStr">
        <is>
          <t>2026-10-11</t>
        </is>
      </c>
      <c r="B86" s="37" t="n">
        <v>1074.29</v>
      </c>
      <c r="C86" s="28">
        <f>'5_历史理论成本'!F86</f>
        <v/>
      </c>
      <c r="D86" s="28">
        <f>IF(OR(B86="",C86=""),"",B86-C86)</f>
        <v/>
      </c>
      <c r="E86" s="30">
        <f>IF(OR(B86="",C86="",B86=0),"",D86/B86)</f>
        <v/>
      </c>
    </row>
    <row r="87">
      <c r="A87" s="10" t="inlineStr">
        <is>
          <t>2026-10-12</t>
        </is>
      </c>
      <c r="B87" s="37" t="n">
        <v>1071.43</v>
      </c>
      <c r="C87" s="28">
        <f>'5_历史理论成本'!F87</f>
        <v/>
      </c>
      <c r="D87" s="28">
        <f>IF(OR(B87="",C87=""),"",B87-C87)</f>
        <v/>
      </c>
      <c r="E87" s="30">
        <f>IF(OR(B87="",C87="",B87=0),"",D87/B87)</f>
        <v/>
      </c>
    </row>
    <row r="88">
      <c r="A88" s="10" t="inlineStr">
        <is>
          <t>2026-10-13</t>
        </is>
      </c>
      <c r="B88" s="37" t="n">
        <v>1064.29</v>
      </c>
      <c r="C88" s="28">
        <f>'5_历史理论成本'!F88</f>
        <v/>
      </c>
      <c r="D88" s="28">
        <f>IF(OR(B88="",C88=""),"",B88-C88)</f>
        <v/>
      </c>
      <c r="E88" s="30">
        <f>IF(OR(B88="",C88="",B88=0),"",D88/B88)</f>
        <v/>
      </c>
    </row>
    <row r="89">
      <c r="A89" s="10" t="inlineStr">
        <is>
          <t>2026-10-14</t>
        </is>
      </c>
      <c r="B89" s="37" t="n">
        <v>1062.86</v>
      </c>
      <c r="C89" s="28">
        <f>'5_历史理论成本'!F89</f>
        <v/>
      </c>
      <c r="D89" s="28">
        <f>IF(OR(B89="",C89=""),"",B89-C89)</f>
        <v/>
      </c>
      <c r="E89" s="30">
        <f>IF(OR(B89="",C89="",B89=0),"",D89/B89)</f>
        <v/>
      </c>
    </row>
    <row r="90">
      <c r="A90" s="10" t="inlineStr">
        <is>
          <t>2026-10-15</t>
        </is>
      </c>
      <c r="B90" s="37" t="n">
        <v>1062.86</v>
      </c>
      <c r="C90" s="28">
        <f>'5_历史理论成本'!F90</f>
        <v/>
      </c>
      <c r="D90" s="28">
        <f>IF(OR(B90="",C90=""),"",B90-C90)</f>
        <v/>
      </c>
      <c r="E90" s="30">
        <f>IF(OR(B90="",C90="",B90=0),"",D90/B90)</f>
        <v/>
      </c>
    </row>
    <row r="91">
      <c r="A91" s="10" t="inlineStr">
        <is>
          <t>2026-10-16</t>
        </is>
      </c>
      <c r="B91" s="37" t="n">
        <v>1062.86</v>
      </c>
      <c r="C91" s="28">
        <f>'5_历史理论成本'!F91</f>
        <v/>
      </c>
      <c r="D91" s="28">
        <f>IF(OR(B91="",C91=""),"",B91-C91)</f>
        <v/>
      </c>
      <c r="E91" s="30">
        <f>IF(OR(B91="",C91="",B91=0),"",D91/B91)</f>
        <v/>
      </c>
    </row>
    <row r="92">
      <c r="A92" s="10" t="inlineStr">
        <is>
          <t>2026-10-17</t>
        </is>
      </c>
      <c r="B92" s="37" t="n">
        <v>1062.86</v>
      </c>
      <c r="C92" s="28">
        <f>'5_历史理论成本'!F92</f>
        <v/>
      </c>
      <c r="D92" s="28">
        <f>IF(OR(B92="",C92=""),"",B92-C92)</f>
        <v/>
      </c>
      <c r="E92" s="30">
        <f>IF(OR(B92="",C92="",B92=0),"",D92/B92)</f>
        <v/>
      </c>
    </row>
    <row r="93">
      <c r="A93" s="10" t="inlineStr">
        <is>
          <t>2026-10-18</t>
        </is>
      </c>
      <c r="B93" s="37" t="n">
        <v>1062.86</v>
      </c>
      <c r="C93" s="28">
        <f>'5_历史理论成本'!F93</f>
        <v/>
      </c>
      <c r="D93" s="28">
        <f>IF(OR(B93="",C93=""),"",B93-C93)</f>
        <v/>
      </c>
      <c r="E93" s="30">
        <f>IF(OR(B93="",C93="",B93=0),"",D93/B93)</f>
        <v/>
      </c>
    </row>
    <row r="94">
      <c r="A94" s="10" t="inlineStr">
        <is>
          <t>2026-10-19</t>
        </is>
      </c>
      <c r="B94" s="37" t="n">
        <v>1062.86</v>
      </c>
      <c r="C94" s="28">
        <f>'5_历史理论成本'!F94</f>
        <v/>
      </c>
      <c r="D94" s="28">
        <f>IF(OR(B94="",C94=""),"",B94-C94)</f>
        <v/>
      </c>
      <c r="E94" s="30">
        <f>IF(OR(B94="",C94="",B94=0),"",D94/B94)</f>
        <v/>
      </c>
    </row>
    <row r="95">
      <c r="A95" s="10" t="inlineStr">
        <is>
          <t>2026-10-20</t>
        </is>
      </c>
      <c r="B95" s="37" t="n">
        <v>1062.86</v>
      </c>
      <c r="C95" s="28">
        <f>'5_历史理论成本'!F95</f>
        <v/>
      </c>
      <c r="D95" s="28">
        <f>IF(OR(B95="",C95=""),"",B95-C95)</f>
        <v/>
      </c>
      <c r="E95" s="30">
        <f>IF(OR(B95="",C95="",B95=0),"",D95/B95)</f>
        <v/>
      </c>
    </row>
    <row r="97" ht="15" customHeight="1">
      <c r="A97" s="26" t="inlineStr">
        <is>
          <t>产品价来源：生意社（100ppi.com）基准价 · 重质纯碱（重质纯碱，全国综合）</t>
        </is>
      </c>
    </row>
    <row r="98" ht="15" customHeight="1">
      <c r="A98" s="26" t="inlineStr">
        <is>
          <t>仅用于与理论原料成本并列展示加工价差，不是成本的一部分</t>
        </is>
      </c>
    </row>
  </sheetData>
  <mergeCells count="2">
    <mergeCell ref="A97:F97"/>
    <mergeCell ref="A98:F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chem-cost-model skill</dc:creator>
  <dc:title xmlns:dc="http://purl.org/dc/elements/1.1/">轻质纯碱（碳酸钠，Na₂CO₃，CAS 497-19-8） 理论原料成本模型</dc:title>
  <dc:description xmlns:dc="http://purl.org/dc/elements/1.1/">理论原料成本 ≠ 完整生产成本 ≠ 利润；不预测价格。</dc:description>
  <dc:subject xmlns:dc="http://purl.org/dc/elements/1.1/">理论原料成本 / 敏感性 / 历史成本 / 缺口</dc:subject>
  <dcterms:created xmlns:dcterms="http://purl.org/dc/terms/" xmlns:xsi="http://www.w3.org/2001/XMLSchema-instance" xsi:type="dcterms:W3CDTF">2026-10-21T01:38:55Z</dcterms:created>
  <dcterms:modified xmlns:dcterms="http://purl.org/dc/terms/" xmlns:xsi="http://www.w3.org/2001/XMLSchema-instance" xsi:type="dcterms:W3CDTF">2026-10-21T01:38:55Z</dcterms:modified>
</cp:coreProperties>
</file>
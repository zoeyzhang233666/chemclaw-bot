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备选池" sheetId="2" state="visible" r:id="rId2"/>
    <sheet xmlns:r="http://schemas.openxmlformats.org/officeDocument/2006/relationships" name="02_图表" sheetId="3" state="visible" r:id="rId3"/>
    <sheet xmlns:r="http://schemas.openxmlformats.org/officeDocument/2006/relationships" name="03_横向对比" sheetId="4" state="visible" r:id="rId4"/>
    <sheet xmlns:r="http://schemas.openxmlformats.org/officeDocument/2006/relationships" name="04_试样计划" sheetId="5" state="visible" r:id="rId5"/>
    <sheet xmlns:r="http://schemas.openxmlformats.org/officeDocument/2006/relationships" name="05_同源关系" sheetId="6" state="visible" r:id="rId6"/>
    <sheet xmlns:r="http://schemas.openxmlformats.org/officeDocument/2006/relationships" name="06_风险台账" sheetId="7" state="visible" r:id="rId7"/>
    <sheet xmlns:r="http://schemas.openxmlformats.org/officeDocument/2006/relationships" name="07_行动清单" sheetId="8" state="visible" r:id="rId8"/>
    <sheet xmlns:r="http://schemas.openxmlformats.org/officeDocument/2006/relationships" name="08_数据来源" sheetId="9" state="visible" r:id="rId9"/>
    <sheet xmlns:r="http://schemas.openxmlformats.org/officeDocument/2006/relationships" name="09_尽调清单" sheetId="10" state="visible" r:id="rId10"/>
  </sheets>
  <definedNames>
    <definedName name="_xlnm.Print_Area" localSheetId="0">'00_说明'!$A$1:$F$43</definedName>
    <definedName name="_xlnm._FilterDatabase" localSheetId="1" hidden="1">'01_备选池'!$A$4:$AG$17</definedName>
    <definedName name="_xlnm.Print_Titles" localSheetId="1">'01_备选池'!$1:$4</definedName>
    <definedName name="_xlnm.Print_Area" localSheetId="1">'01_备选池'!$A$1:$AG$17</definedName>
    <definedName name="_xlnm.Print_Titles" localSheetId="2">'02_图表'!$1:$6</definedName>
    <definedName name="_xlnm.Print_Area" localSheetId="2">'02_图表'!$A$1:$V$65</definedName>
    <definedName name="_xlnm.Print_Titles" localSheetId="3">'03_横向对比'!$5:$6</definedName>
    <definedName name="_xlnm.Print_Area" localSheetId="3">'03_横向对比'!$A$1:$O$30</definedName>
    <definedName name="_xlnm._FilterDatabase" localSheetId="4" hidden="1">'04_试样计划'!$A$5:$R$17</definedName>
    <definedName name="_xlnm.Print_Titles" localSheetId="4">'04_试样计划'!$1:$5</definedName>
    <definedName name="_xlnm.Print_Area" localSheetId="4">'04_试样计划'!$A$1:$R$17</definedName>
    <definedName name="_xlnm.Print_Titles" localSheetId="5">'05_同源关系'!$1:$5</definedName>
    <definedName name="_xlnm.Print_Area" localSheetId="5">'05_同源关系'!$A$1:$G$11</definedName>
    <definedName name="_xlnm._FilterDatabase" localSheetId="6" hidden="1">'06_风险台账'!$A$5:$G$23</definedName>
    <definedName name="_xlnm.Print_Titles" localSheetId="6">'06_风险台账'!$1:$5</definedName>
    <definedName name="_xlnm.Print_Area" localSheetId="6">'06_风险台账'!$A$1:$G$23</definedName>
    <definedName name="_xlnm.Print_Titles" localSheetId="7">'07_行动清单'!$1:$5</definedName>
    <definedName name="_xlnm.Print_Area" localSheetId="7">'07_行动清单'!$A$1:$G$11</definedName>
    <definedName name="_xlnm._FilterDatabase" localSheetId="8" hidden="1">'08_数据来源'!$A$5:$E$50</definedName>
    <definedName name="_xlnm.Print_Titles" localSheetId="8">'08_数据来源'!$1:$5</definedName>
    <definedName name="_xlnm.Print_Area" localSheetId="8">'08_数据来源'!$A$1:$E$50</definedName>
    <definedName name="_xlnm._FilterDatabase" localSheetId="9" hidden="1">'09_尽调清单'!$A$5:$R$17</definedName>
    <definedName name="_xlnm.Print_Titles" localSheetId="9">'09_尽调清单'!$1:$5</definedName>
    <definedName name="_xlnm.Print_Area" localSheetId="9">'09_尽调清单'!$A$1:$R$17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微软雅黑"/>
      <b val="1"/>
      <color rgb="00FFFFFF"/>
      <sz val="22"/>
    </font>
    <font>
      <name val="微软雅黑"/>
      <color rgb="00D6E4F2"/>
      <sz val="10"/>
    </font>
    <font>
      <name val="微软雅黑"/>
      <i val="1"/>
      <color rgb="005A6B7D"/>
      <sz val="9"/>
    </font>
    <font>
      <name val="微软雅黑"/>
      <b val="1"/>
      <color rgb="00FFFFFF"/>
      <sz val="11"/>
    </font>
    <font>
      <name val="微软雅黑"/>
      <b val="1"/>
      <color rgb="000B2545"/>
      <sz val="10"/>
    </font>
    <font>
      <name val="微软雅黑"/>
      <color rgb="001A2B3C"/>
      <sz val="9.5"/>
    </font>
    <font>
      <name val="微软雅黑"/>
      <b val="1"/>
      <color rgb="001F5EFF"/>
      <sz val="9.5"/>
    </font>
    <font>
      <name val="微软雅黑"/>
      <b val="1"/>
      <color rgb="000E7490"/>
      <sz val="9.5"/>
    </font>
    <font>
      <name val="微软雅黑"/>
      <b val="1"/>
      <color rgb="000B2545"/>
      <sz val="9"/>
    </font>
    <font>
      <name val="微软雅黑"/>
      <color rgb="001A2B3C"/>
      <sz val="9"/>
    </font>
    <font>
      <name val="微软雅黑"/>
      <b val="1"/>
      <color rgb="00B45309"/>
      <sz val="9"/>
    </font>
    <font>
      <name val="微软雅黑"/>
      <b val="1"/>
      <color rgb="00FFFFFF"/>
      <sz val="20"/>
    </font>
    <font>
      <name val="微软雅黑"/>
      <color rgb="00C9D9EA"/>
      <sz val="10"/>
    </font>
    <font>
      <name val="微软雅黑"/>
      <b val="1"/>
      <color rgb="00FFFFFF"/>
      <sz val="9"/>
    </font>
    <font>
      <name val="微软雅黑"/>
      <color rgb="001F5EFF"/>
      <sz val="8.5"/>
      <u val="single"/>
    </font>
    <font>
      <name val="微软雅黑"/>
      <b val="1"/>
      <color rgb="001A2B3C"/>
      <sz val="9"/>
    </font>
    <font>
      <name val="微软雅黑"/>
      <color rgb="005A6B7D"/>
      <sz val="8"/>
    </font>
    <font>
      <name val="微软雅黑"/>
      <b val="1"/>
      <color rgb="00FFFFFF"/>
      <sz val="9.5"/>
    </font>
  </fonts>
  <fills count="10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23B63"/>
      </patternFill>
    </fill>
    <fill>
      <patternFill patternType="solid">
        <fgColor rgb="00F5F8FC"/>
      </patternFill>
    </fill>
    <fill>
      <patternFill patternType="solid">
        <fgColor rgb="000E7490"/>
      </patternFill>
    </fill>
    <fill>
      <patternFill patternType="solid">
        <fgColor rgb="001F5EFF"/>
      </patternFill>
    </fill>
    <fill>
      <patternFill patternType="solid">
        <fgColor rgb="00B45309"/>
      </patternFill>
    </fill>
    <fill>
      <patternFill patternType="solid">
        <fgColor rgb="00FBFDFF"/>
      </patternFill>
    </fill>
    <fill>
      <patternFill patternType="solid">
        <fgColor rgb="006D28D9"/>
      </patternFill>
    </fill>
  </fills>
  <borders count="5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D9E2EC"/>
      </left>
      <right/>
      <top/>
      <bottom/>
      <diagonal/>
    </border>
    <border>
      <left style="thin">
        <color rgb="00D9E2EC"/>
      </left>
      <right style="thin">
        <color rgb="00D9E2EC"/>
      </right>
      <top/>
      <bottom/>
      <diagonal/>
    </border>
    <border>
      <left style="thin">
        <color rgb="00D9E2EC"/>
      </left>
      <right style="thin">
        <color rgb="00D9E2EC"/>
      </right>
      <top/>
      <bottom style="thin">
        <color rgb="00D9E2EC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4" fillId="5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top" wrapText="1" indent="1"/>
    </xf>
    <xf numFmtId="0" fontId="4" fillId="6" borderId="0" applyAlignment="1" pivotButton="0" quotePrefix="0" xfId="0">
      <alignment horizontal="left" vertical="center" indent="1"/>
    </xf>
    <xf numFmtId="0" fontId="9" fillId="0" borderId="1" applyAlignment="1" pivotButton="0" quotePrefix="0" xfId="0">
      <alignment horizontal="left" vertical="center" wrapText="1" indent="1"/>
    </xf>
    <xf numFmtId="0" fontId="10" fillId="0" borderId="1" applyAlignment="1" pivotButton="0" quotePrefix="0" xfId="0">
      <alignment horizontal="left" vertical="center" wrapText="1" indent="1"/>
    </xf>
    <xf numFmtId="0" fontId="4" fillId="7" borderId="0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left" vertical="top" wrapText="1" indent="1"/>
    </xf>
    <xf numFmtId="0" fontId="10" fillId="0" borderId="1" applyAlignment="1" pivotButton="0" quotePrefix="0" xfId="0">
      <alignment horizontal="left" vertical="top" wrapText="1" indent="1"/>
    </xf>
    <xf numFmtId="0" fontId="12" fillId="2" borderId="0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indent="1"/>
    </xf>
    <xf numFmtId="0" fontId="14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0" fontId="15" fillId="0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center" vertical="top" wrapText="1"/>
    </xf>
    <xf numFmtId="0" fontId="15" fillId="8" borderId="1" applyAlignment="1" pivotButton="0" quotePrefix="0" xfId="0">
      <alignment horizontal="left" vertical="top" wrapText="1"/>
    </xf>
    <xf numFmtId="0" fontId="14" fillId="3" borderId="1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left" vertical="center" indent="1"/>
    </xf>
    <xf numFmtId="0" fontId="14" fillId="9" borderId="1" applyAlignment="1" pivotButton="0" quotePrefix="0" xfId="0">
      <alignment horizontal="center" vertical="center" wrapText="1"/>
    </xf>
    <xf numFmtId="0" fontId="10" fillId="0" borderId="1" pivotButton="0" quotePrefix="0" xfId="0"/>
    <xf numFmtId="0" fontId="16" fillId="0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textRotation="90" wrapText="1"/>
    </xf>
    <xf numFmtId="0" fontId="9" fillId="4" borderId="1" applyAlignment="1" pivotButton="0" quotePrefix="0" xfId="0">
      <alignment horizontal="left" vertical="center" wrapText="1" indent="1"/>
    </xf>
    <xf numFmtId="0" fontId="0" fillId="0" borderId="3" pivotButton="0" quotePrefix="0" xfId="0"/>
    <xf numFmtId="0" fontId="0" fillId="0" borderId="4" pivotButton="0" quotePrefix="0" xfId="0"/>
    <xf numFmtId="0" fontId="18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5">
    <dxf>
      <font>
        <name val="微软雅黑"/>
        <b val="1"/>
        <color rgb="00B42318"/>
        <sz val="9"/>
      </font>
      <fill>
        <patternFill patternType="solid">
          <fgColor rgb="00FDE2E1"/>
        </patternFill>
      </fill>
    </dxf>
    <dxf>
      <font>
        <name val="微软雅黑"/>
        <b val="1"/>
        <color rgb="00B45309"/>
        <sz val="9"/>
      </font>
      <fill>
        <patternFill patternType="solid">
          <fgColor rgb="00FFE8CC"/>
        </patternFill>
      </fill>
    </dxf>
    <dxf>
      <font>
        <name val="微软雅黑"/>
        <b val="1"/>
        <color rgb="008A6A00"/>
        <sz val="9"/>
      </font>
      <fill>
        <patternFill patternType="solid">
          <fgColor rgb="00FFF7D6"/>
        </patternFill>
      </fill>
    </dxf>
    <dxf>
      <font>
        <name val="微软雅黑"/>
        <b val="1"/>
        <color rgb="00067647"/>
        <sz val="9"/>
      </font>
      <fill>
        <patternFill patternType="solid">
          <fgColor rgb="00E3F4E8"/>
        </patternFill>
      </fill>
    </dxf>
    <dxf>
      <fill>
        <patternFill patternType="solid">
          <fgColor rgb="00E3F4E8"/>
        </patternFill>
      </fill>
    </dxf>
    <dxf>
      <fill>
        <patternFill patternType="solid">
          <fgColor rgb="00FFF5E6"/>
        </patternFill>
      </fill>
    </dxf>
    <dxf>
      <font>
        <name val="微软雅黑"/>
        <color rgb="00B45309"/>
        <sz val="9"/>
      </font>
      <fill>
        <patternFill patternType="solid">
          <fgColor rgb="00FFF5E6"/>
        </patternFill>
      </fill>
    </dxf>
    <dxf>
      <fill>
        <patternFill patternType="solid">
          <fgColor rgb="00E8EFFF"/>
        </patternFill>
      </fill>
    </dxf>
    <dxf>
      <font>
        <name val="微软雅黑"/>
        <b val="1"/>
        <color rgb="005A6B7D"/>
        <sz val="9"/>
      </font>
      <fill>
        <patternFill patternType="solid">
          <fgColor rgb="00EEF3F8"/>
        </patternFill>
      </fill>
    </dxf>
    <dxf>
      <font>
        <name val="微软雅黑"/>
        <b val="1"/>
        <color rgb="001F5EFF"/>
        <sz val="9"/>
      </font>
      <fill>
        <patternFill patternType="solid">
          <fgColor rgb="00E8EFFF"/>
        </patternFill>
      </fill>
    </dxf>
    <dxf>
      <font>
        <name val="微软雅黑"/>
        <b val="1"/>
        <color rgb="00B45309"/>
        <sz val="9"/>
      </font>
      <fill>
        <patternFill patternType="solid">
          <fgColor rgb="00FFF5E6"/>
        </patternFill>
      </fill>
    </dxf>
    <dxf>
      <font>
        <name val="微软雅黑"/>
        <b val="1"/>
        <color rgb="006D28D9"/>
        <sz val="9"/>
      </font>
      <fill>
        <patternFill patternType="solid">
          <fgColor rgb="00F2ECFF"/>
        </patternFill>
      </fill>
    </dxf>
    <dxf>
      <font>
        <name val="微软雅黑"/>
        <color rgb="00067647"/>
        <sz val="9"/>
      </font>
      <fill>
        <patternFill patternType="solid">
          <fgColor rgb="00E3F4E8"/>
        </patternFill>
      </fill>
    </dxf>
    <dxf>
      <font>
        <name val="微软雅黑"/>
        <color rgb="005A6B7D"/>
        <sz val="9"/>
      </font>
      <fill>
        <patternFill patternType="solid">
          <fgColor rgb="00EEF3F8"/>
        </patternFill>
      </fill>
    </dxf>
    <dxf>
      <font>
        <name val="微软雅黑"/>
        <color rgb="005A6B7D"/>
        <sz val="9"/>
      </font>
      <fill>
        <patternFill patternType="solid">
          <fgColor rgb="00F8FA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重质纯碱产能（万吨/年）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'02_图表'!B6</f>
            </strRef>
          </tx>
          <spPr>
            <a:solidFill xmlns:a="http://schemas.openxmlformats.org/drawingml/2006/main">
              <a:srgbClr val="0E7490"/>
            </a:solidFill>
            <a:ln xmlns:a="http://schemas.openxmlformats.org/drawingml/2006/main">
              <a:prstDash val="solid"/>
            </a:ln>
          </spPr>
          <cat>
            <numRef>
              <f>'02_图表'!$A$7:$A$19</f>
            </numRef>
          </cat>
          <val>
            <numRef>
              <f>'02_图表'!$B$7:$B$19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万吨/年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估算运费中值（元/吨，到苏州）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'02_图表'!C6</f>
            </strRef>
          </tx>
          <spPr>
            <a:solidFill xmlns:a="http://schemas.openxmlformats.org/drawingml/2006/main">
              <a:srgbClr val="B45309"/>
            </a:solidFill>
            <a:ln xmlns:a="http://schemas.openxmlformats.org/drawingml/2006/main">
              <a:prstDash val="solid"/>
            </a:ln>
          </spPr>
          <cat>
            <numRef>
              <f>'02_图表'!$A$7:$A$19</f>
            </numRef>
          </cat>
          <val>
            <numRef>
              <f>'02_图表'!$C$7:$C$19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元/吨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工艺阵营（含现有供应商）</a:t>
            </a:r>
          </a:p>
        </rich>
      </tx>
    </title>
    <plotArea>
      <pieChart>
        <varyColors val="1"/>
        <ser>
          <idx val="0"/>
          <order val="0"/>
          <tx>
            <strRef>
              <f>'02_图表'!B22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'02_图表'!$A$23:$A$25</f>
            </numRef>
          </cat>
          <val>
            <numRef>
              <f>'02_图表'!$B$23:$B$25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6</row>
      <rowOff>0</rowOff>
    </from>
    <ext cx="6120000" cy="331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25</row>
      <rowOff>0</rowOff>
    </from>
    <ext cx="6120000" cy="331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44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isc.static.szse.cn/disc/disk03/finalpage/2026-03-21/6a3e3b5a-afd9-42d8-8220-f838c724ab84.PDF" TargetMode="External" Id="rId1"/><Relationship Type="http://schemas.openxmlformats.org/officeDocument/2006/relationships/hyperlink" Target="https://www.lyg.gov.cn/zglygzfmhwz/gcyw/content/3ad7d8d1-8a2a-4683-82b5-4766ac84985e.html" TargetMode="External" Id="rId2"/><Relationship Type="http://schemas.openxmlformats.org/officeDocument/2006/relationships/hyperlink" Target="http://www.jsdebang.com/" TargetMode="External" Id="rId3"/><Relationship Type="http://schemas.openxmlformats.org/officeDocument/2006/relationships/hyperlink" Target="https://www.csks.cn/helps/gyzyks.html" TargetMode="External" Id="rId4"/><Relationship Type="http://schemas.openxmlformats.org/officeDocument/2006/relationships/hyperlink" Target="https://www.huachangchem.cn/wap_about_zh.html" TargetMode="External" Id="rId5"/><Relationship Type="http://schemas.openxmlformats.org/officeDocument/2006/relationships/hyperlink" Target="http://www.jssyjsgf.com/about/about.html" TargetMode="External" Id="rId6"/><Relationship Type="http://schemas.openxmlformats.org/officeDocument/2006/relationships/hyperlink" Target="https://money.finance.sina.com.cn/corp/view/vCB_AllBulletinDetail.php?stockid=600409&amp;id=12180724" TargetMode="External" Id="rId7"/><Relationship Type="http://schemas.openxmlformats.org/officeDocument/2006/relationships/hyperlink" Target="http://www.jshgjt.com/a/zoujinjinshan/" TargetMode="External" Id="rId8"/><Relationship Type="http://schemas.openxmlformats.org/officeDocument/2006/relationships/hyperlink" Target="https://paper.cnstock.com/html/2025-04/25/content_2056260.htm" TargetMode="External" Id="rId9"/><Relationship Type="http://schemas.openxmlformats.org/officeDocument/2006/relationships/hyperlink" Target="https://app.dahecube.com/nweb/news/20230510/162062nd161ddea3b3.htm" TargetMode="External" Id="rId10"/><Relationship Type="http://schemas.openxmlformats.org/officeDocument/2006/relationships/hyperlink" Target="http://cdmxhjj.haixi.gov.cn/system/2021/06/30/010387079.shtml" TargetMode="External" Id="rId11"/><Relationship Type="http://schemas.openxmlformats.org/officeDocument/2006/relationships/hyperlink" Target="http://file.finance.sina.com.cn/211.154.219.97:9494/MRGG/CNSESZ_STOCK/2026/2026-4/2026-04-29/12261120.PDF" TargetMode="External" Id="rId12"/><Relationship Type="http://schemas.openxmlformats.org/officeDocument/2006/relationships/hyperlink" Target="https://baike.baidu.com/item/&#23665;&#19996;&#28023;&#22825;&#29983;&#29289;&#21270;&#24037;&#26377;&#38480;&#20844;&#21496;/10619153" TargetMode="External" Id="rId13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stcn.com/article/detail/3689241.html" TargetMode="External" Id="rId1"/><Relationship Type="http://schemas.openxmlformats.org/officeDocument/2006/relationships/hyperlink" Target="https://www.stcn.com/article/detail/1424449.html" TargetMode="External" Id="rId2"/><Relationship Type="http://schemas.openxmlformats.org/officeDocument/2006/relationships/hyperlink" Target="https://www.lyg.gov.cn/zglygzfmhwz/gcyw/content/3ad7d8d1-8a2a-4683-82b5-4766ac84985e.html" TargetMode="External" Id="rId3"/><Relationship Type="http://schemas.openxmlformats.org/officeDocument/2006/relationships/hyperlink" Target="https://finance.sina.com.cn/money/bond/2025-02-20/doc-inemarzm4048650.shtml" TargetMode="External" Id="rId4"/><Relationship Type="http://schemas.openxmlformats.org/officeDocument/2006/relationships/hyperlink" Target="http://www.jsdebang.com/" TargetMode="External" Id="rId5"/><Relationship Type="http://schemas.openxmlformats.org/officeDocument/2006/relationships/hyperlink" Target="https://www.csks.cn/helps/gyzyks.html" TargetMode="External" Id="rId6"/><Relationship Type="http://schemas.openxmlformats.org/officeDocument/2006/relationships/hyperlink" Target="http://static.cninfo.com.cn/finalpage/2026-04-18/1225115189.PDF" TargetMode="External" Id="rId7"/><Relationship Type="http://schemas.openxmlformats.org/officeDocument/2006/relationships/hyperlink" Target="https://money.finance.sina.com.cn/corp/view/vCB_AllBulletinDetail.php?stockid=600409&amp;id=12180724" TargetMode="External" Id="rId8"/><Relationship Type="http://schemas.openxmlformats.org/officeDocument/2006/relationships/hyperlink" Target="https://www.stcn.com/article/detail/1424449.html" TargetMode="External" Id="rId9"/><Relationship Type="http://schemas.openxmlformats.org/officeDocument/2006/relationships/hyperlink" Target="https://m.chinabaogao.com/detail/741959.html" TargetMode="External" Id="rId10"/><Relationship Type="http://schemas.openxmlformats.org/officeDocument/2006/relationships/hyperlink" Target="https://www.nbd.com.cn/articles/2023-11-29/3138455.html" TargetMode="External" Id="rId11"/><Relationship Type="http://schemas.openxmlformats.org/officeDocument/2006/relationships/hyperlink" Target="https://finance.ifeng.com/c/8cdOst6NQDg" TargetMode="External" Id="rId12"/><Relationship Type="http://schemas.openxmlformats.org/officeDocument/2006/relationships/hyperlink" Target="http://money.finance.sina.com.cn/corp/view/vCB_AllBulletinDetail.php?stockid=000683&amp;id=7139660" TargetMode="External" Id="rId13"/><Relationship Type="http://schemas.openxmlformats.org/officeDocument/2006/relationships/hyperlink" Target="https://pdf.dfcfw.com/pdf/H3_AP202508281736014851_1.pdf" TargetMode="External" Id="rId14"/><Relationship Type="http://schemas.openxmlformats.org/officeDocument/2006/relationships/hyperlink" Target="https://finance.eastmoney.com/a/202607143805775564.html" TargetMode="External" Id="rId15"/><Relationship Type="http://schemas.openxmlformats.org/officeDocument/2006/relationships/hyperlink" Target="http://static.cninfo.com.cn/finalpage/2018-06-06/1205038312.PDF" TargetMode="External" Id="rId16"/><Relationship Type="http://schemas.openxmlformats.org/officeDocument/2006/relationships/hyperlink" Target="https://www.sohu.com/a/1079343192_122014422" TargetMode="External" Id="rId17"/><Relationship Type="http://schemas.openxmlformats.org/officeDocument/2006/relationships/hyperlink" Target="https://caifuhao.eastmoney.com/news/20261005182510160125460" TargetMode="External" Id="rId18"/></Relationships>
</file>

<file path=xl/worksheets/_rels/sheet9.xml.rels><Relationships xmlns="http://schemas.openxmlformats.org/package/2006/relationships"><Relationship Type="http://schemas.openxmlformats.org/officeDocument/2006/relationships/hyperlink" Target="https://m.chinabaogao.com/detail/741959.html" TargetMode="External" Id="rId1"/><Relationship Type="http://schemas.openxmlformats.org/officeDocument/2006/relationships/hyperlink" Target="https://news.haiwainet.cn/n/2025/0122/c3541089-32832061.html" TargetMode="External" Id="rId2"/><Relationship Type="http://schemas.openxmlformats.org/officeDocument/2006/relationships/hyperlink" Target="https://www.stcn.com/article/detail/1424449.html" TargetMode="External" Id="rId3"/><Relationship Type="http://schemas.openxmlformats.org/officeDocument/2006/relationships/hyperlink" Target="https://www.sohu.com/a/1079343192_122014422" TargetMode="External" Id="rId4"/><Relationship Type="http://schemas.openxmlformats.org/officeDocument/2006/relationships/hyperlink" Target="https://caifuhao.eastmoney.com/news/20261005182510160125460" TargetMode="External" Id="rId5"/><Relationship Type="http://schemas.openxmlformats.org/officeDocument/2006/relationships/hyperlink" Target="https://www.glqh.com/u/cms/www/202409/131008303uib.pdf" TargetMode="External" Id="rId6"/><Relationship Type="http://schemas.openxmlformats.org/officeDocument/2006/relationships/hyperlink" Target="https://www.cfachina.org/industrydynamics/mediaviewoffuturesmarket/202601/t20260120_86178.html" TargetMode="External" Id="rId7"/><Relationship Type="http://schemas.openxmlformats.org/officeDocument/2006/relationships/hyperlink" Target="https://finance.eastmoney.com/a/202607093800400551.html" TargetMode="External" Id="rId8"/><Relationship Type="http://schemas.openxmlformats.org/officeDocument/2006/relationships/hyperlink" Target="https://disc.static.szse.cn/disc/disk03/finalpage/2026-03-21/6a3e3b5a-afd9-42d8-8220-f838c724ab84.PDF" TargetMode="External" Id="rId9"/><Relationship Type="http://schemas.openxmlformats.org/officeDocument/2006/relationships/hyperlink" Target="https://stcn.com/article/detail/3689241.html" TargetMode="External" Id="rId10"/><Relationship Type="http://schemas.openxmlformats.org/officeDocument/2006/relationships/hyperlink" Target="https://www.lyg.gov.cn/zglygzfmhwz/gcyw/content/3ad7d8d1-8a2a-4683-82b5-4766ac84985e.html" TargetMode="External" Id="rId11"/><Relationship Type="http://schemas.openxmlformats.org/officeDocument/2006/relationships/hyperlink" Target="http://js.people.com.cn/n2/2025/0811/c360301-41318945.html" TargetMode="External" Id="rId12"/><Relationship Type="http://schemas.openxmlformats.org/officeDocument/2006/relationships/hyperlink" Target="https://www.csks.cn/helps/gyzyks.html" TargetMode="External" Id="rId13"/><Relationship Type="http://schemas.openxmlformats.org/officeDocument/2006/relationships/hyperlink" Target="http://static.cninfo.com.cn/finalpage/2026-04-18/1225115189.PDF" TargetMode="External" Id="rId14"/><Relationship Type="http://schemas.openxmlformats.org/officeDocument/2006/relationships/hyperlink" Target="http://file.finance.sina.com.cn/211.154.219.97:9494/MRGG/CNSESH_STOCK/2026/2026-4/2026-04-23/12149430.PDF" TargetMode="External" Id="rId15"/><Relationship Type="http://schemas.openxmlformats.org/officeDocument/2006/relationships/hyperlink" Target="https://money.finance.sina.com.cn/corp/view/vCB_AllBulletinDetail.php?stockid=600409&amp;id=12180724" TargetMode="External" Id="rId16"/><Relationship Type="http://schemas.openxmlformats.org/officeDocument/2006/relationships/hyperlink" Target="https://paper.cnstock.com/html/2025-04/25/content_2056260.htm" TargetMode="External" Id="rId17"/><Relationship Type="http://schemas.openxmlformats.org/officeDocument/2006/relationships/hyperlink" Target="https://www.nbd.com.cn/articles/2023-11-29/3138455.html" TargetMode="External" Id="rId18"/><Relationship Type="http://schemas.openxmlformats.org/officeDocument/2006/relationships/hyperlink" Target="https://app.dahecube.com/nweb/news/20230510/162062nd161ddea3b3.htm" TargetMode="External" Id="rId19"/><Relationship Type="http://schemas.openxmlformats.org/officeDocument/2006/relationships/hyperlink" Target="http://cdmxhjj.haixi.gov.cn/system/2021/06/30/010387079.shtml" TargetMode="External" Id="rId20"/><Relationship Type="http://schemas.openxmlformats.org/officeDocument/2006/relationships/hyperlink" Target="http://dataclouds.cninfo.com.cn/shgonggao/hsomarket/2026/20260429/f0f0b3057b0c40d9941d00be40097953.PDF" TargetMode="External" Id="rId21"/><Relationship Type="http://schemas.openxmlformats.org/officeDocument/2006/relationships/hyperlink" Target="http://file.finance.sina.com.cn/211.154.219.97:9494/MRGG/CNSESZ_STOCK/2026/2026-4/2026-04-29/12261120.PDF" TargetMode="External" Id="rId22"/><Relationship Type="http://schemas.openxmlformats.org/officeDocument/2006/relationships/hyperlink" Target="https://finance.eastmoney.com/a/202607143805775564.html" TargetMode="External" Id="rId23"/><Relationship Type="http://schemas.openxmlformats.org/officeDocument/2006/relationships/hyperlink" Target="https://baike.baidu.com/item/&#23665;&#19996;&#28023;&#22825;&#29983;&#29289;&#21270;&#24037;&#26377;&#38480;&#20844;&#21496;/10619153" TargetMode="External" Id="rId24"/><Relationship Type="http://schemas.openxmlformats.org/officeDocument/2006/relationships/hyperlink" Target="http://static.cninfo.com.cn/finalpage/2018-06-06/1205038312.PDF" TargetMode="External" Id="rId25"/><Relationship Type="http://schemas.openxmlformats.org/officeDocument/2006/relationships/hyperlink" Target="https://www.haihua.com.cn/About_11/1664471386467147776.html" TargetMode="External" Id="rId26"/><Relationship Type="http://schemas.openxmlformats.org/officeDocument/2006/relationships/hyperlink" Target="http://gzw.lyg.gov.cn/lygsrmzfgyzcjdglwyh/gzdt/content/f9ce6041-d283-45be-8802-85955bccacef.html" TargetMode="External" Id="rId27"/><Relationship Type="http://schemas.openxmlformats.org/officeDocument/2006/relationships/hyperlink" Target="https://baike.baidu.com/item/&#36830;&#20113;&#28207;&#30897;&#19994;&#26377;&#38480;&#20844;&#21496;/20021302" TargetMode="External" Id="rId28"/><Relationship Type="http://schemas.openxmlformats.org/officeDocument/2006/relationships/hyperlink" Target="http://www.jsdebang.com/" TargetMode="External" Id="rId29"/><Relationship Type="http://schemas.openxmlformats.org/officeDocument/2006/relationships/hyperlink" Target="https://finance.sina.com.cn/money/bond/2025-02-20/doc-inemarzm4048650.shtml" TargetMode="External" Id="rId30"/><Relationship Type="http://schemas.openxmlformats.org/officeDocument/2006/relationships/hyperlink" Target="https://baike.baidu.com/item/&#20013;&#30416;&#26118;&#23665;&#26377;&#38480;&#20844;&#21496;/2110720" TargetMode="External" Id="rId31"/><Relationship Type="http://schemas.openxmlformats.org/officeDocument/2006/relationships/hyperlink" Target="https://www.huachangchem.cn/wap_about_zh.html" TargetMode="External" Id="rId32"/><Relationship Type="http://schemas.openxmlformats.org/officeDocument/2006/relationships/hyperlink" Target="https://pdf.dfcfw.com/pdf/H3_AP202310071601015959_1.pdf" TargetMode="External" Id="rId33"/><Relationship Type="http://schemas.openxmlformats.org/officeDocument/2006/relationships/hyperlink" Target="http://www.jssyjsgf.com/about/about.html" TargetMode="External" Id="rId34"/><Relationship Type="http://schemas.openxmlformats.org/officeDocument/2006/relationships/hyperlink" Target="https://pdf.dfcfw.com/pdf/H3_AP202305281587323251_1.pdf" TargetMode="External" Id="rId35"/><Relationship Type="http://schemas.openxmlformats.org/officeDocument/2006/relationships/hyperlink" Target="https://www.lhratings.com/uploads/file/20261016/g39fff68a7e.pdf" TargetMode="External" Id="rId36"/><Relationship Type="http://schemas.openxmlformats.org/officeDocument/2006/relationships/hyperlink" Target="https://stockmc.xueqiu.com/202608/600409_20260826_M4J9.pdf" TargetMode="External" Id="rId37"/><Relationship Type="http://schemas.openxmlformats.org/officeDocument/2006/relationships/hyperlink" Target="http://www.jshgjt.com/a/zoujinjinshan/" TargetMode="External" Id="rId38"/><Relationship Type="http://schemas.openxmlformats.org/officeDocument/2006/relationships/hyperlink" Target="https://www.fxbaogao.com/detail/5119625" TargetMode="External" Id="rId39"/><Relationship Type="http://schemas.openxmlformats.org/officeDocument/2006/relationships/hyperlink" Target="http://money.finance.sina.com.cn/corp/view/vCB_AllBulletinDetail.php?stockid=000683&amp;id=7139660" TargetMode="External" Id="rId40"/><Relationship Type="http://schemas.openxmlformats.org/officeDocument/2006/relationships/hyperlink" Target="http://www.xinhuanet.com/enterprise/20230816/8eb1a23d74544aa3b12f039e107d6e50/c.html" TargetMode="External" Id="rId41"/><Relationship Type="http://schemas.openxmlformats.org/officeDocument/2006/relationships/hyperlink" Target="https://pdf.dfcfw.com/pdf/H3_AP202508281736014851_1.pdf" TargetMode="External" Id="rId42"/><Relationship Type="http://schemas.openxmlformats.org/officeDocument/2006/relationships/hyperlink" Target="https://www.news.cn/politics/20250804/10050573c0924c01ade524fbd8a3d2ac/c.html" TargetMode="External" Id="rId43"/><Relationship Type="http://schemas.openxmlformats.org/officeDocument/2006/relationships/hyperlink" Target="https://www.cnggg.cn/fuzhiyingyezhizhao.html" TargetMode="External" Id="rId44"/><Relationship Type="http://schemas.openxmlformats.org/officeDocument/2006/relationships/hyperlink" Target="https://finance.ifeng.com/c/8cdOst6NQDg" TargetMode="External" Id="rId45"/></Relationships>
</file>

<file path=xl/worksheets/sheet1.xml><?xml version="1.0" encoding="utf-8"?>
<worksheet xmlns="http://schemas.openxmlformats.org/spreadsheetml/2006/main">
  <sheetPr>
    <tabColor rgb="000B2545"/>
    <outlinePr summaryBelow="1" summaryRight="1"/>
    <pageSetUpPr fitToPage="1"/>
  </sheetPr>
  <dimension ref="A1:F4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50" customHeight="1">
      <c r="A1" s="1" t="inlineStr">
        <is>
          <t>重质纯碱（碳酸钠） 第二供应源备选池</t>
        </is>
      </c>
    </row>
    <row r="2" ht="32" customHeight="1">
      <c r="A2" s="2" t="inlineStr">
        <is>
          <t>现有供应商：山东海化股份有限公司（氨碱 280 万吨/年）｜收货地：江苏苏州（工业园区）｜采购量：800 吨/月｜规格：GB/T 210.1-2004 II类优等品；Na2CO3 ≥99.2%；NaCl ≤0.6%；重质（堆密度 0.9–1.1 g/cm³）</t>
        </is>
      </c>
    </row>
    <row r="3" ht="22" customHeight="1">
      <c r="A3" s="3" t="inlineStr">
        <is>
          <t>数据截止 2026-10-19 · 公开信息研究，不构成供应商替换或授标建议 · “待核实”项须以证照、COA、现场审核为准</t>
        </is>
      </c>
    </row>
    <row r="5" ht="26" customHeight="1">
      <c r="A5" s="4" t="inlineStr">
        <is>
          <t>一、场景参数（可在询价单中直接复用）</t>
        </is>
      </c>
    </row>
    <row r="6" ht="44" customHeight="1">
      <c r="A6" s="5" t="inlineStr">
        <is>
          <t>现有供应商</t>
        </is>
      </c>
      <c r="B6" s="6" t="inlineStr">
        <is>
          <t>山东海化股份有限公司（深交所 000822）｜氨碱 280 万吨/年｜潍坊 潍坊滨海经济技术开发区（纯碱厂）｜免检 鸢都牌｜距收货地约 760 km</t>
        </is>
      </c>
    </row>
    <row r="7" ht="30" customHeight="1">
      <c r="A7" s="5" t="inlineStr">
        <is>
          <t>采购产品</t>
        </is>
      </c>
      <c r="B7" s="6" t="inlineStr">
        <is>
          <t>重质纯碱（碳酸钠）；用途：浮法 / 光伏玻璃；不接受替代等级，除非试样与工况验证通过</t>
        </is>
      </c>
    </row>
    <row r="8" ht="30" customHeight="1">
      <c r="A8" s="5" t="inlineStr">
        <is>
          <t>质量规格</t>
        </is>
      </c>
      <c r="B8" s="6" t="inlineStr">
        <is>
          <t>GB/T 210.1-2004 II类优等品；Na2CO3 ≥99.2%；NaCl ≤0.6%；重质（堆密度 0.9–1.1 g/cm³）</t>
        </is>
      </c>
    </row>
    <row r="9" ht="30" customHeight="1">
      <c r="A9" s="5" t="inlineStr">
        <is>
          <t>采购量</t>
        </is>
      </c>
      <c r="B9" s="6" t="inlineStr">
        <is>
          <t>800 吨/月（年约 9,600 吨）</t>
        </is>
      </c>
    </row>
    <row r="10" ht="30" customHeight="1">
      <c r="A10" s="5" t="inlineStr">
        <is>
          <t>收货地</t>
        </is>
      </c>
      <c r="B10" s="6" t="inlineStr">
        <is>
          <t>江苏苏州（工业园区）</t>
        </is>
      </c>
    </row>
    <row r="11" ht="30" customHeight="1">
      <c r="A11" s="5" t="inlineStr">
        <is>
          <t>目标</t>
        </is>
      </c>
      <c r="B11" s="6" t="inlineStr">
        <is>
          <t>建立 1 家主供 + 1 家备供的第二供应源；先验证，不先替换</t>
        </is>
      </c>
    </row>
    <row r="13" ht="26" customHeight="1">
      <c r="A13" s="4" t="inlineStr">
        <is>
          <t>二、研究方法（可复核、可复用）</t>
        </is>
      </c>
    </row>
    <row r="14" ht="30" customHeight="1">
      <c r="A14" s="7" t="inlineStr">
        <is>
          <t>规格锚定</t>
        </is>
      </c>
      <c r="B14" s="8" t="inlineStr">
        <is>
          <t>把现有供应商的牌号、COA、内控指标拆成 9 项可检测指标；先定义“兼容”，再找厂。</t>
        </is>
      </c>
    </row>
    <row r="15" ht="30" customHeight="1">
      <c r="A15" s="7" t="inlineStr">
        <is>
          <t>厂家身份</t>
        </is>
      </c>
      <c r="B15" s="8" t="inlineStr">
        <is>
          <t>以统一社会信用代码/股票代码/集团股权穿透确认“生产企业”，排除贸易商与贴牌商。</t>
        </is>
      </c>
    </row>
    <row r="16" ht="30" customHeight="1">
      <c r="A16" s="7" t="inlineStr">
        <is>
          <t>产能与区位</t>
        </is>
      </c>
      <c r="B16" s="8" t="inlineStr">
        <is>
          <t>公开产能、投产时间、重质比例、到苏州运距/运输方式；估算运费区间。</t>
        </is>
      </c>
    </row>
    <row r="17" ht="30" customHeight="1">
      <c r="A17" s="7" t="inlineStr">
        <is>
          <t>资质与风险</t>
        </is>
      </c>
      <c r="B17" s="8" t="inlineStr">
        <is>
          <t>郑商所免检品牌、SC/质量体系、环保/安全/财务公开记录；区分“已公开”与“待核实”。</t>
        </is>
      </c>
    </row>
    <row r="18" ht="30" customHeight="1">
      <c r="A18" s="7" t="inlineStr">
        <is>
          <t>试样与审厂</t>
        </is>
      </c>
      <c r="B18" s="8" t="inlineStr">
        <is>
          <t>新装置、新工艺、非免检品牌一律首样；首样 20–50 kg × 3 批，按 9 项指标逐项验证。</t>
        </is>
      </c>
    </row>
    <row r="20" ht="26" customHeight="1">
      <c r="A20" s="9" t="inlineStr">
        <is>
          <t>三、关键判断（中性，不替代采购决策）</t>
        </is>
      </c>
    </row>
    <row r="21" ht="38" customHeight="1">
      <c r="A21" s="10" t="inlineStr">
        <is>
          <t>池子结构</t>
        </is>
      </c>
      <c r="B21" s="8" t="inlineStr">
        <is>
          <t>12 家备选覆盖氨碱/联碱/天然碱；7 家为郑商所免检品牌，5 家非免检；5 家距苏州 ≤500 km。</t>
        </is>
      </c>
    </row>
    <row r="22" ht="38" customHeight="1">
      <c r="A22" s="10" t="inlineStr">
        <is>
          <t>近场优先</t>
        </is>
      </c>
      <c r="B22" s="8" t="inlineStr">
        <is>
          <t>连云港碱业、江苏德邦、中盐昆山、华昌化工、苏盐井神运距 150–400 km，是替代山东海化的最近选项；但前两家为 2025 年新装置。</t>
        </is>
      </c>
    </row>
    <row r="23" ht="38" customHeight="1">
      <c r="A23" s="10" t="inlineStr">
        <is>
          <t>成本分层</t>
        </is>
      </c>
      <c r="B23" s="8" t="inlineStr">
        <is>
          <t>天然碱成本最低（远兴/中源/昆仑），联碱次之，氨碱最高；低价期氨碱亏损面扩大，现有供应商 2025 年亏 13.88 亿元。</t>
        </is>
      </c>
    </row>
    <row r="24" ht="38" customHeight="1">
      <c r="A24" s="10" t="inlineStr">
        <is>
          <t>同源陷阱</t>
        </is>
      </c>
      <c r="B24" s="8" t="inlineStr">
        <is>
          <t>远兴↔中源只能算一个源；中盐昆山↔昆仑同集团需核销售政策；海天↔金晶存在纵向竞争；海化与海天生物不是同集团。</t>
        </is>
      </c>
    </row>
    <row r="25" ht="38" customHeight="1">
      <c r="A25" s="10" t="inlineStr">
        <is>
          <t>新装置</t>
        </is>
      </c>
      <c r="B25" s="8" t="inlineStr">
        <is>
          <t>连云港碱业、江苏德邦为 2025 年新装置，重质比例/粒度/白度必须 3–6 个月稳定性验证，不能只看“已贯通”。</t>
        </is>
      </c>
    </row>
    <row r="26" ht="38" customHeight="1">
      <c r="A26" s="10" t="inlineStr">
        <is>
          <t>决策边界</t>
        </is>
      </c>
      <c r="B26" s="8" t="inlineStr">
        <is>
          <t>不替采购决定是否更换；建议先选 2–3 家试样，再谈 70/30 双源与最小起订、账期、质量赔付。</t>
        </is>
      </c>
    </row>
    <row r="28" ht="26" customHeight="1">
      <c r="A28" s="11" t="inlineStr">
        <is>
          <t>四、工作簿导航</t>
        </is>
      </c>
    </row>
    <row r="29" ht="26" customHeight="1">
      <c r="A29" s="12" t="inlineStr">
        <is>
          <t>01_备选池</t>
        </is>
      </c>
      <c r="B29" s="13" t="inlineStr">
        <is>
          <t>12 家备选的关键字段、风险摘要、证据链接；适合筛选与排序。</t>
        </is>
      </c>
    </row>
    <row r="30" ht="26" customHeight="1">
      <c r="A30" s="12" t="inlineStr">
        <is>
          <t>02_图表</t>
        </is>
      </c>
      <c r="B30" s="13" t="inlineStr">
        <is>
          <t>产能、运费、工艺结构可视化；图表数据可编辑。</t>
        </is>
      </c>
    </row>
    <row r="31" ht="26" customHeight="1">
      <c r="A31" s="12" t="inlineStr">
        <is>
          <t>03_横向对比</t>
        </is>
      </c>
      <c r="B31" s="13" t="inlineStr">
        <is>
          <t>现有 + 备选逐项对比；运距/运费/产能/风险用色阶标记相对位置。</t>
        </is>
      </c>
    </row>
    <row r="32" ht="26" customHeight="1">
      <c r="A32" s="12" t="inlineStr">
        <is>
          <t>04_试样计划</t>
        </is>
      </c>
      <c r="B32" s="13" t="inlineStr">
        <is>
          <t>9 项指标 × 12 家的试样矩阵与状态跟踪。</t>
        </is>
      </c>
    </row>
    <row r="33" ht="26" customHeight="1">
      <c r="A33" s="12" t="inlineStr">
        <is>
          <t>05_同源关系</t>
        </is>
      </c>
      <c r="B33" s="13" t="inlineStr">
        <is>
          <t>股权、集团、实控人与同源判断，避免“假第二源”。</t>
        </is>
      </c>
    </row>
    <row r="34" ht="26" customHeight="1">
      <c r="A34" s="12" t="inlineStr">
        <is>
          <t>06_风险台账</t>
        </is>
      </c>
      <c r="B34" s="13" t="inlineStr">
        <is>
          <t>18 条公开风险事实、影响、来源与核实状态。</t>
        </is>
      </c>
    </row>
    <row r="35" ht="26" customHeight="1">
      <c r="A35" s="12" t="inlineStr">
        <is>
          <t>07_行动清单</t>
        </is>
      </c>
      <c r="B35" s="13" t="inlineStr">
        <is>
          <t>90 天 双源推进动作、责任与产出。</t>
        </is>
      </c>
    </row>
    <row r="36" ht="26" customHeight="1">
      <c r="A36" s="12" t="inlineStr">
        <is>
          <t>08_数据来源</t>
        </is>
      </c>
      <c r="B36" s="13" t="inlineStr">
        <is>
          <t>45 条来源，A/B/C 证据等级与日期。</t>
        </is>
      </c>
    </row>
    <row r="37" ht="26" customHeight="1">
      <c r="A37" s="12" t="inlineStr">
        <is>
          <t>09_尽调清单</t>
        </is>
      </c>
      <c r="B37" s="13" t="inlineStr">
        <is>
          <t>12 家 × 13 项尽调状态矩阵。</t>
        </is>
      </c>
    </row>
    <row r="39" ht="26" customHeight="1">
      <c r="A39" s="14" t="inlineStr">
        <is>
          <t>五、证据等级、风险口径与免责</t>
        </is>
      </c>
    </row>
    <row r="40" ht="26" customHeight="1">
      <c r="A40" s="15" t="inlineStr">
        <is>
          <t>证据等级</t>
        </is>
      </c>
      <c r="B40" s="16" t="inlineStr">
        <is>
          <t>A = 上市公司公告/政府网站；B = 行业协会/券商研报/主流媒体；C = 企业官网/百科。C 级需二次核验。</t>
        </is>
      </c>
    </row>
    <row r="41" ht="26" customHeight="1">
      <c r="A41" s="15" t="inlineStr">
        <is>
          <t>风险等级</t>
        </is>
      </c>
      <c r="B41" s="16" t="inlineStr">
        <is>
          <t>低 / 中 / 中高 / 高：综合财务、装置、物流、资质、同源、规模六项的研究判断；1–5 分仅用于排序。</t>
        </is>
      </c>
    </row>
    <row r="42" ht="26" customHeight="1">
      <c r="A42" s="15" t="inlineStr">
        <is>
          <t>试样状态</t>
        </is>
      </c>
      <c r="B42" s="16" t="inlineStr">
        <is>
          <t>COA / 试样 / 审核；在 04 表与 09 表可跟踪。</t>
        </is>
      </c>
    </row>
    <row r="43" ht="58" customHeight="1">
      <c r="A43" s="15" t="inlineStr">
        <is>
          <t>免责</t>
        </is>
      </c>
      <c r="B43" s="16" t="inlineStr">
        <is>
          <t>本页为采购研究辅助材料，不构成供应商选择、替换或授标建议。产能、财务、资质均为公开口径；标注“待核实”的事项必须以证照、COA、现场审核为准。排序 ≠ 建议，决策权在采购。</t>
        </is>
      </c>
    </row>
  </sheetData>
  <mergeCells count="38">
    <mergeCell ref="B7:F7"/>
    <mergeCell ref="B16:F16"/>
    <mergeCell ref="B25:F25"/>
    <mergeCell ref="B31:F31"/>
    <mergeCell ref="B22:F22"/>
    <mergeCell ref="A3:F3"/>
    <mergeCell ref="B18:F18"/>
    <mergeCell ref="B21:F21"/>
    <mergeCell ref="A2:F2"/>
    <mergeCell ref="B43:F43"/>
    <mergeCell ref="A5:F5"/>
    <mergeCell ref="B11:F11"/>
    <mergeCell ref="B42:F42"/>
    <mergeCell ref="B23:F23"/>
    <mergeCell ref="B14:F14"/>
    <mergeCell ref="B8:F8"/>
    <mergeCell ref="A20:F20"/>
    <mergeCell ref="B17:F17"/>
    <mergeCell ref="B29:F29"/>
    <mergeCell ref="A28:F28"/>
    <mergeCell ref="A13:F13"/>
    <mergeCell ref="B34:F34"/>
    <mergeCell ref="B10:F10"/>
    <mergeCell ref="B37:F37"/>
    <mergeCell ref="A39:F39"/>
    <mergeCell ref="B40:F40"/>
    <mergeCell ref="B9:F9"/>
    <mergeCell ref="B30:F30"/>
    <mergeCell ref="B6:F6"/>
    <mergeCell ref="B24:F24"/>
    <mergeCell ref="B15:F15"/>
    <mergeCell ref="B33:F33"/>
    <mergeCell ref="A1:F1"/>
    <mergeCell ref="B36:F36"/>
    <mergeCell ref="B32:F32"/>
    <mergeCell ref="B26:F26"/>
    <mergeCell ref="B41:F41"/>
    <mergeCell ref="B35:F35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1F5EFF"/>
    <outlinePr summaryBelow="1" summaryRight="1"/>
    <pageSetUpPr fitToPage="1"/>
  </sheetPr>
  <dimension ref="A1:AG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8" customWidth="1" min="3" max="3"/>
    <col width="8" customWidth="1" min="4" max="4"/>
    <col width="28" customWidth="1" min="5" max="5"/>
    <col width="10" customWidth="1" min="6" max="6"/>
    <col width="16" customWidth="1" min="7" max="7"/>
    <col width="8" customWidth="1" min="8" max="8"/>
    <col width="8" customWidth="1" min="9" max="9"/>
    <col width="8" customWidth="1" min="10" max="10"/>
    <col width="11" customWidth="1" min="11" max="11"/>
    <col width="40" customWidth="1" min="12" max="12"/>
    <col width="20" customWidth="1" min="13" max="13"/>
    <col width="9" customWidth="1" min="14" max="14"/>
    <col width="12" customWidth="1" min="15" max="15"/>
    <col width="26" customWidth="1" min="16" max="16"/>
    <col width="22" customWidth="1" min="17" max="17"/>
    <col width="10" customWidth="1" min="18" max="18"/>
    <col width="14" customWidth="1" min="19" max="19"/>
    <col width="12" customWidth="1" min="20" max="20"/>
    <col width="12" customWidth="1" min="21" max="21"/>
    <col width="12" customWidth="1" min="22" max="22"/>
    <col width="30" customWidth="1" min="23" max="23"/>
    <col width="10" customWidth="1" min="24" max="24"/>
    <col width="8" customWidth="1" min="25" max="25"/>
    <col width="22" customWidth="1" min="26" max="26"/>
    <col width="8" customWidth="1" min="27" max="27"/>
    <col width="7" customWidth="1" min="28" max="28"/>
    <col width="44" customWidth="1" min="29" max="29"/>
    <col width="46" customWidth="1" min="30" max="30"/>
    <col width="34" customWidth="1" min="31" max="31"/>
    <col width="40" customWidth="1" min="32" max="32"/>
    <col width="7" customWidth="1" min="33" max="33"/>
  </cols>
  <sheetData>
    <row r="1" ht="44" customHeight="1">
      <c r="A1" s="17" t="inlineStr">
        <is>
          <t>01 · 备选供应商池（12 家）</t>
        </is>
      </c>
    </row>
    <row r="2" ht="24" customHeight="1">
      <c r="A2" s="18" t="inlineStr">
        <is>
          <t>按“身份—区位—产能—资质—风险—差异”组织；运费为估算区间，不是承运商报价。</t>
        </is>
      </c>
    </row>
    <row r="3" ht="20" customHeight="1">
      <c r="A3" s="3" t="inlineStr">
        <is>
          <t>内部采购评估 · 公开信息研究</t>
        </is>
      </c>
    </row>
    <row r="4" ht="40" customHeight="1">
      <c r="A4" s="19" t="inlineStr">
        <is>
          <t>编号</t>
        </is>
      </c>
      <c r="B4" s="19" t="inlineStr">
        <is>
          <t>企业名称</t>
        </is>
      </c>
      <c r="C4" s="19" t="inlineStr">
        <is>
          <t>类型</t>
        </is>
      </c>
      <c r="D4" s="19" t="inlineStr">
        <is>
          <t>省</t>
        </is>
      </c>
      <c r="E4" s="19" t="inlineStr">
        <is>
          <t>市/园区</t>
        </is>
      </c>
      <c r="F4" s="19" t="inlineStr">
        <is>
          <t>距苏州 km</t>
        </is>
      </c>
      <c r="G4" s="19" t="inlineStr">
        <is>
          <t>运输方式</t>
        </is>
      </c>
      <c r="H4" s="19" t="inlineStr">
        <is>
          <t>运费低
元/吨</t>
        </is>
      </c>
      <c r="I4" s="19" t="inlineStr">
        <is>
          <t>运费高
元/吨</t>
        </is>
      </c>
      <c r="J4" s="19" t="inlineStr">
        <is>
          <t>工艺</t>
        </is>
      </c>
      <c r="K4" s="19" t="inlineStr">
        <is>
          <t>重质纯碱产能
万吨/年</t>
        </is>
      </c>
      <c r="L4" s="19" t="inlineStr">
        <is>
          <t>产能备注</t>
        </is>
      </c>
      <c r="M4" s="19" t="inlineStr">
        <is>
          <t>重质 / 品牌</t>
        </is>
      </c>
      <c r="N4" s="19" t="inlineStr">
        <is>
          <t>免检</t>
        </is>
      </c>
      <c r="O4" s="19" t="inlineStr">
        <is>
          <t>上市/代码</t>
        </is>
      </c>
      <c r="P4" s="19" t="inlineStr">
        <is>
          <t>集团</t>
        </is>
      </c>
      <c r="Q4" s="19" t="inlineStr">
        <is>
          <t>实控人</t>
        </is>
      </c>
      <c r="R4" s="19" t="inlineStr">
        <is>
          <t>股权性质</t>
        </is>
      </c>
      <c r="S4" s="19" t="inlineStr">
        <is>
          <t>员工（公开）</t>
        </is>
      </c>
      <c r="T4" s="19" t="inlineStr">
        <is>
          <t>2025 营收
亿元</t>
        </is>
      </c>
      <c r="U4" s="19" t="inlineStr">
        <is>
          <t>2025 净利
亿元</t>
        </is>
      </c>
      <c r="V4" s="19" t="inlineStr">
        <is>
          <t>2024 产量</t>
        </is>
      </c>
      <c r="W4" s="19" t="inlineStr">
        <is>
          <t>主营产品</t>
        </is>
      </c>
      <c r="X4" s="19" t="inlineStr">
        <is>
          <t>规格
兼容</t>
        </is>
      </c>
      <c r="Y4" s="19" t="inlineStr">
        <is>
          <t>试样</t>
        </is>
      </c>
      <c r="Z4" s="19" t="inlineStr">
        <is>
          <t>同源关系</t>
        </is>
      </c>
      <c r="AA4" s="19" t="inlineStr">
        <is>
          <t>风险
等级</t>
        </is>
      </c>
      <c r="AB4" s="19" t="inlineStr">
        <is>
          <t>风险分</t>
        </is>
      </c>
      <c r="AC4" s="19" t="inlineStr">
        <is>
          <t>风险摘要</t>
        </is>
      </c>
      <c r="AD4" s="19" t="inlineStr">
        <is>
          <t>与山东海化差异</t>
        </is>
      </c>
      <c r="AE4" s="19" t="inlineStr">
        <is>
          <t>需人工核实</t>
        </is>
      </c>
      <c r="AF4" s="19" t="inlineStr">
        <is>
          <t>首条证据链接</t>
        </is>
      </c>
      <c r="AG4" s="19" t="inlineStr">
        <is>
          <t>证据
等级</t>
        </is>
      </c>
    </row>
    <row r="5" ht="58" customHeight="1">
      <c r="A5" s="20" t="inlineStr">
        <is>
          <t>S00</t>
        </is>
      </c>
      <c r="B5" s="21" t="inlineStr">
        <is>
          <t>山东海化股份有限公司</t>
        </is>
      </c>
      <c r="C5" s="22" t="inlineStr">
        <is>
          <t>现有</t>
        </is>
      </c>
      <c r="D5" s="22" t="inlineStr">
        <is>
          <t>山东</t>
        </is>
      </c>
      <c r="E5" s="21" t="inlineStr">
        <is>
          <t>潍坊 · 潍坊滨海经济技术开发区（纯碱厂）</t>
        </is>
      </c>
      <c r="F5" s="22" t="n">
        <v>760</v>
      </c>
      <c r="G5" s="22" t="inlineStr">
        <is>
          <t>汽运 / 铁路</t>
        </is>
      </c>
      <c r="H5" s="22" t="n">
        <v>200</v>
      </c>
      <c r="I5" s="22" t="n">
        <v>360</v>
      </c>
      <c r="J5" s="22" t="inlineStr">
        <is>
          <t>氨碱</t>
        </is>
      </c>
      <c r="K5" s="22" t="n">
        <v>280</v>
      </c>
      <c r="L5" s="21" t="inlineStr">
        <is>
          <t>老线120 + 新线160，单套装置规模国内前列</t>
        </is>
      </c>
      <c r="M5" s="21" t="inlineStr">
        <is>
          <t>重质为主 / 鸢都牌</t>
        </is>
      </c>
      <c r="N5" s="22" t="inlineStr">
        <is>
          <t>是</t>
        </is>
      </c>
      <c r="O5" s="22" t="inlineStr">
        <is>
          <t>深交所 000822</t>
        </is>
      </c>
      <c r="P5" s="21" t="inlineStr">
        <is>
          <t>山东海化集团</t>
        </is>
      </c>
      <c r="Q5" s="21" t="inlineStr">
        <is>
          <t>潍坊市国资委</t>
        </is>
      </c>
      <c r="R5" s="22" t="inlineStr">
        <is>
          <t>地方国企</t>
        </is>
      </c>
      <c r="S5" s="22" t="inlineStr">
        <is>
          <t>纯碱厂 1,886 人</t>
        </is>
      </c>
      <c r="T5" s="22" t="inlineStr">
        <is>
          <t>47.45</t>
        </is>
      </c>
      <c r="U5" s="22" t="inlineStr">
        <is>
          <t>-13.88</t>
        </is>
      </c>
      <c r="V5" s="22" t="inlineStr">
        <is>
          <t>—</t>
        </is>
      </c>
      <c r="W5" s="21" t="inlineStr">
        <is>
          <t>纯碱、原盐、烧碱、溴素、氯化钙、小苏打</t>
        </is>
      </c>
      <c r="X5" s="22" t="inlineStr">
        <is>
          <t>基准</t>
        </is>
      </c>
      <c r="Y5" s="22" t="inlineStr">
        <is>
          <t>—</t>
        </is>
      </c>
      <c r="Z5" s="22" t="inlineStr">
        <is>
          <t>无</t>
        </is>
      </c>
      <c r="AA5" s="22" t="inlineStr">
        <is>
          <t>中高</t>
        </is>
      </c>
      <c r="AB5" s="22" t="n">
        <v>4</v>
      </c>
      <c r="AC5" s="21" t="inlineStr">
        <is>
          <t>2025 年营收 47.45 亿元、归母净利 -13.88 亿元；纯碱营收同比 -26.31%；氨碱工艺成本高于天然碱/联碱；单一基地。</t>
        </is>
      </c>
      <c r="AD5" s="21" t="inlineStr">
        <is>
          <t>基准：氨碱 280 万吨、免检“鸢都牌”、距苏州约 760 km；2025 年归母净利 -13.88 亿元。</t>
        </is>
      </c>
      <c r="AE5" s="21" t="inlineStr">
        <is>
          <t>2026 年长协/月度报价政策；纯碱装置检修计划；食品级 SC 证与光伏客户审核报告</t>
        </is>
      </c>
      <c r="AF5" s="23" t="inlineStr">
        <is>
          <t>https://disc.static.szse.cn/disc/disk03/finalpage/2026-03-21/6a3e3b5a-afd9-42d8-8220-f838c724ab84.PDF</t>
        </is>
      </c>
      <c r="AG5" s="22" t="inlineStr">
        <is>
          <t>A</t>
        </is>
      </c>
    </row>
    <row r="6" ht="58" customHeight="1">
      <c r="A6" s="24" t="inlineStr">
        <is>
          <t>S01</t>
        </is>
      </c>
      <c r="B6" s="25" t="inlineStr">
        <is>
          <t>连云港碱业有限公司</t>
        </is>
      </c>
      <c r="C6" s="26" t="inlineStr">
        <is>
          <t>备选</t>
        </is>
      </c>
      <c r="D6" s="26" t="inlineStr">
        <is>
          <t>江苏</t>
        </is>
      </c>
      <c r="E6" s="25" t="inlineStr">
        <is>
          <t>连云港 · 灌云县临港产业区（搬迁升级项目）</t>
        </is>
      </c>
      <c r="F6" s="26" t="n">
        <v>400</v>
      </c>
      <c r="G6" s="26" t="inlineStr">
        <is>
          <t>汽运 / 内河</t>
        </is>
      </c>
      <c r="H6" s="26" t="n">
        <v>80</v>
      </c>
      <c r="I6" s="26" t="n">
        <v>190</v>
      </c>
      <c r="J6" s="26" t="inlineStr">
        <is>
          <t>联碱</t>
        </is>
      </c>
      <c r="K6" s="26" t="n">
        <v>110</v>
      </c>
      <c r="L6" s="25" t="inlineStr">
        <is>
          <t>110 万吨/年联碱（重质约 80 万吨）；2025-05-18 全流程贯通</t>
        </is>
      </c>
      <c r="M6" s="25" t="inlineStr">
        <is>
          <t>重质约 80 万吨 / 长江三角牌</t>
        </is>
      </c>
      <c r="N6" s="26" t="inlineStr">
        <is>
          <t>是</t>
        </is>
      </c>
      <c r="O6" s="26" t="inlineStr">
        <is>
          <t>未上市 —</t>
        </is>
      </c>
      <c r="P6" s="25" t="inlineStr">
        <is>
          <t>连云港碱业有限公司</t>
        </is>
      </c>
      <c r="Q6" s="25" t="inlineStr">
        <is>
          <t>连云港市国资委（国有独资）</t>
        </is>
      </c>
      <c r="R6" s="26" t="inlineStr">
        <is>
          <t>地方国企</t>
        </is>
      </c>
      <c r="S6" s="26" t="inlineStr">
        <is>
          <t>约 2,000（待核）</t>
        </is>
      </c>
      <c r="T6" s="26" t="inlineStr">
        <is>
          <t>未披露</t>
        </is>
      </c>
      <c r="U6" s="26" t="inlineStr">
        <is>
          <t>未披露</t>
        </is>
      </c>
      <c r="V6" s="26" t="inlineStr">
        <is>
          <t>—</t>
        </is>
      </c>
      <c r="W6" s="25" t="inlineStr">
        <is>
          <t>重质纯碱、轻质纯碱、氯化铵、合成氨</t>
        </is>
      </c>
      <c r="X6" s="26" t="inlineStr">
        <is>
          <t>中高</t>
        </is>
      </c>
      <c r="Y6" s="26" t="inlineStr">
        <is>
          <t>必须</t>
        </is>
      </c>
      <c r="Z6" s="26" t="inlineStr">
        <is>
          <t>无</t>
        </is>
      </c>
      <c r="AA6" s="26" t="inlineStr">
        <is>
          <t>中</t>
        </is>
      </c>
      <c r="AB6" s="26" t="n">
        <v>3</v>
      </c>
      <c r="AC6" s="25" t="inlineStr">
        <is>
          <t>新装置 2025 年 5 月贯通、负荷爬坡；单一基地；财务未公开；搬迁后老厂人员/债务安排待核。</t>
        </is>
      </c>
      <c r="AD6" s="25" t="inlineStr">
        <is>
          <t>工艺由氨碱转为联碱；运距缩短约 360 km；产能为海化的 39%；保留免检品牌“长江三角”；2025 年新装置，重质比例与粒度必须首样验证。</t>
        </is>
      </c>
      <c r="AE6" s="25" t="inlineStr">
        <is>
          <t>新线重质比例、粒度分布、白度；食品生产许可（SC）；2026 年长协政策与最小起订量；铁路专用线/内河码头条件</t>
        </is>
      </c>
      <c r="AF6" s="27" t="inlineStr">
        <is>
          <t>https://www.lyg.gov.cn/zglygzfmhwz/gcyw/content/3ad7d8d1-8a2a-4683-82b5-4766ac84985e.html</t>
        </is>
      </c>
      <c r="AG6" s="26" t="inlineStr">
        <is>
          <t>A</t>
        </is>
      </c>
    </row>
    <row r="7" ht="58" customHeight="1">
      <c r="A7" s="20" t="inlineStr">
        <is>
          <t>S02</t>
        </is>
      </c>
      <c r="B7" s="21" t="inlineStr">
        <is>
          <t>江苏德邦化学工业集团有限公司</t>
        </is>
      </c>
      <c r="C7" s="22" t="inlineStr">
        <is>
          <t>备选</t>
        </is>
      </c>
      <c r="D7" s="22" t="inlineStr">
        <is>
          <t>江苏</t>
        </is>
      </c>
      <c r="E7" s="21" t="inlineStr">
        <is>
          <t>连云港 · 灌云县临港产业区（搬迁项目）</t>
        </is>
      </c>
      <c r="F7" s="22" t="n">
        <v>400</v>
      </c>
      <c r="G7" s="22" t="inlineStr">
        <is>
          <t>汽运 / 内河</t>
        </is>
      </c>
      <c r="H7" s="22" t="n">
        <v>80</v>
      </c>
      <c r="I7" s="22" t="n">
        <v>190</v>
      </c>
      <c r="J7" s="22" t="inlineStr">
        <is>
          <t>联碱</t>
        </is>
      </c>
      <c r="K7" s="22" t="n">
        <v>60</v>
      </c>
      <c r="L7" s="21" t="inlineStr">
        <is>
          <t>60 万吨/年联碱；2025 年 2 月纯碱出货</t>
        </is>
      </c>
      <c r="M7" s="21" t="inlineStr">
        <is>
          <t>重质比例待核 / 德邦（待核）</t>
        </is>
      </c>
      <c r="N7" s="22" t="inlineStr">
        <is>
          <t>否</t>
        </is>
      </c>
      <c r="O7" s="22" t="inlineStr">
        <is>
          <t>未上市 —</t>
        </is>
      </c>
      <c r="P7" s="21" t="inlineStr">
        <is>
          <t>江苏德邦化学工业集团</t>
        </is>
      </c>
      <c r="Q7" s="21" t="inlineStr">
        <is>
          <t>外商投资企业（实控人待核）</t>
        </is>
      </c>
      <c r="R7" s="22" t="inlineStr">
        <is>
          <t>外资/民营</t>
        </is>
      </c>
      <c r="S7" s="22" t="inlineStr">
        <is>
          <t>约 2,000（待核）</t>
        </is>
      </c>
      <c r="T7" s="22" t="inlineStr">
        <is>
          <t>未披露</t>
        </is>
      </c>
      <c r="U7" s="22" t="inlineStr">
        <is>
          <t>未披露</t>
        </is>
      </c>
      <c r="V7" s="22" t="inlineStr">
        <is>
          <t>—</t>
        </is>
      </c>
      <c r="W7" s="21" t="inlineStr">
        <is>
          <t>纯碱、氯化铵、合成氨、精细化工</t>
        </is>
      </c>
      <c r="X7" s="22" t="inlineStr">
        <is>
          <t>中</t>
        </is>
      </c>
      <c r="Y7" s="22" t="inlineStr">
        <is>
          <t>必须</t>
        </is>
      </c>
      <c r="Z7" s="22" t="inlineStr">
        <is>
          <t>待核（与安徽德邦可能同集团）</t>
        </is>
      </c>
      <c r="AA7" s="22" t="inlineStr">
        <is>
          <t>中高</t>
        </is>
      </c>
      <c r="AB7" s="22" t="n">
        <v>4</v>
      </c>
      <c r="AC7" s="21" t="inlineStr">
        <is>
          <t>新装置达产时间短；非免检品牌；外资股权结构与实控人待穿透；与安徽德邦同源关系待核。</t>
        </is>
      </c>
      <c r="AD7" s="21" t="inlineStr">
        <is>
          <t>运距缩短约 360 km；产能 60 万吨（海化的 21%）；联碱新装置 2025 年 2 月出货；非免检品牌，需全项检验。</t>
        </is>
      </c>
      <c r="AE7" s="21" t="inlineStr">
        <is>
          <t>股权穿透/实际控制人；新线达产与重质比例；免检品牌申请进度；食品生产许可</t>
        </is>
      </c>
      <c r="AF7" s="23" t="inlineStr">
        <is>
          <t>http://www.jsdebang.com/</t>
        </is>
      </c>
      <c r="AG7" s="22" t="inlineStr">
        <is>
          <t>C</t>
        </is>
      </c>
    </row>
    <row r="8" ht="58" customHeight="1">
      <c r="A8" s="24" t="inlineStr">
        <is>
          <t>S03</t>
        </is>
      </c>
      <c r="B8" s="25" t="inlineStr">
        <is>
          <t>中盐昆山有限公司</t>
        </is>
      </c>
      <c r="C8" s="26" t="inlineStr">
        <is>
          <t>备选</t>
        </is>
      </c>
      <c r="D8" s="26" t="inlineStr">
        <is>
          <t>江苏</t>
        </is>
      </c>
      <c r="E8" s="25" t="inlineStr">
        <is>
          <t>苏州（昆山） · 昆山市张浦镇振新东路 8 号</t>
        </is>
      </c>
      <c r="F8" s="26" t="n">
        <v>45</v>
      </c>
      <c r="G8" s="26" t="inlineStr">
        <is>
          <t>汽运</t>
        </is>
      </c>
      <c r="H8" s="26" t="n">
        <v>18</v>
      </c>
      <c r="I8" s="26" t="n">
        <v>30</v>
      </c>
      <c r="J8" s="26" t="inlineStr">
        <is>
          <t>联碱</t>
        </is>
      </c>
      <c r="K8" s="26" t="n">
        <v>55</v>
      </c>
      <c r="L8" s="25" t="inlineStr">
        <is>
          <t>55 万吨/年纯碱 + 60 万吨/年氯化铵</t>
        </is>
      </c>
      <c r="M8" s="25" t="inlineStr">
        <is>
          <t>轻质/重质/定制 / 佳穗牌</t>
        </is>
      </c>
      <c r="N8" s="26" t="inlineStr">
        <is>
          <t>否</t>
        </is>
      </c>
      <c r="O8" s="26" t="inlineStr">
        <is>
          <t>未上市 —</t>
        </is>
      </c>
      <c r="P8" s="25" t="inlineStr">
        <is>
          <t>中国盐业集团</t>
        </is>
      </c>
      <c r="Q8" s="25" t="inlineStr">
        <is>
          <t>中国盐业集团有限公司（全资）</t>
        </is>
      </c>
      <c r="R8" s="26" t="inlineStr">
        <is>
          <t>央企</t>
        </is>
      </c>
      <c r="S8" s="26" t="inlineStr">
        <is>
          <t>730</t>
        </is>
      </c>
      <c r="T8" s="26" t="inlineStr">
        <is>
          <t>约 10（历史口径）</t>
        </is>
      </c>
      <c r="U8" s="26" t="inlineStr">
        <is>
          <t>未披露</t>
        </is>
      </c>
      <c r="V8" s="26" t="inlineStr">
        <is>
          <t>—</t>
        </is>
      </c>
      <c r="W8" s="25" t="inlineStr">
        <is>
          <t>纯碱、氯化铵、蒸汽</t>
        </is>
      </c>
      <c r="X8" s="26" t="inlineStr">
        <is>
          <t>中高</t>
        </is>
      </c>
      <c r="Y8" s="26" t="inlineStr">
        <is>
          <t>建议</t>
        </is>
      </c>
      <c r="Z8" s="26" t="inlineStr">
        <is>
          <t>中盐集团（与昆仑碱业同集团）</t>
        </is>
      </c>
      <c r="AA8" s="26" t="inlineStr">
        <is>
          <t>中</t>
        </is>
      </c>
      <c r="AB8" s="26" t="n">
        <v>3</v>
      </c>
      <c r="AC8" s="25" t="inlineStr">
        <is>
          <t>规模 55 万吨；非免检品牌；昆山城区周边环保/搬迁约束；中盐集团统一销售与价格授权待核。</t>
        </is>
      </c>
      <c r="AD8" s="25" t="inlineStr">
        <is>
          <t>运距缩短约 715 km，同城配送；产能 55 万吨（海化的 20%）；中盐全资；非免检，粒度/铁含量需验证。</t>
        </is>
      </c>
      <c r="AE8" s="25" t="inlineStr">
        <is>
          <t>食品生产许可与光伏客户审核；55 万吨实际年产量/重质比例；中盐统一销售政策；环保搬迁/限产计划</t>
        </is>
      </c>
      <c r="AF8" s="27" t="inlineStr">
        <is>
          <t>https://www.csks.cn/helps/gyzyks.html</t>
        </is>
      </c>
      <c r="AG8" s="26" t="inlineStr">
        <is>
          <t>C</t>
        </is>
      </c>
    </row>
    <row r="9" ht="58" customHeight="1">
      <c r="A9" s="20" t="inlineStr">
        <is>
          <t>S04</t>
        </is>
      </c>
      <c r="B9" s="21" t="inlineStr">
        <is>
          <t>江苏华昌化工股份有限公司</t>
        </is>
      </c>
      <c r="C9" s="22" t="inlineStr">
        <is>
          <t>备选</t>
        </is>
      </c>
      <c r="D9" s="22" t="inlineStr">
        <is>
          <t>江苏</t>
        </is>
      </c>
      <c r="E9" s="21" t="inlineStr">
        <is>
          <t>苏州（张家港） · 张家港市扬子江国际化学工业园南海路 1 号</t>
        </is>
      </c>
      <c r="F9" s="22" t="n">
        <v>90</v>
      </c>
      <c r="G9" s="22" t="inlineStr">
        <is>
          <t>汽运 / 水运</t>
        </is>
      </c>
      <c r="H9" s="22" t="n">
        <v>20</v>
      </c>
      <c r="I9" s="22" t="n">
        <v>45</v>
      </c>
      <c r="J9" s="22" t="inlineStr">
        <is>
          <t>联碱</t>
        </is>
      </c>
      <c r="K9" s="22" t="n">
        <v>70</v>
      </c>
      <c r="L9" s="21" t="inlineStr">
        <is>
          <t>70 万吨/年纯碱（联碱，配套氯化铵）</t>
        </is>
      </c>
      <c r="M9" s="21" t="inlineStr">
        <is>
          <t>重质比例待核 / 华昌（待核）</t>
        </is>
      </c>
      <c r="N9" s="22" t="inlineStr">
        <is>
          <t>否</t>
        </is>
      </c>
      <c r="O9" s="22" t="inlineStr">
        <is>
          <t>深交所 002274</t>
        </is>
      </c>
      <c r="P9" s="21" t="inlineStr">
        <is>
          <t>江苏华昌（集团）有限公司</t>
        </is>
      </c>
      <c r="Q9" s="21" t="inlineStr">
        <is>
          <t>江苏华昌集团（实控人待核）</t>
        </is>
      </c>
      <c r="R9" s="22" t="inlineStr">
        <is>
          <t>民营/集体</t>
        </is>
      </c>
      <c r="S9" s="22" t="inlineStr">
        <is>
          <t>约 3,000（待核）</t>
        </is>
      </c>
      <c r="T9" s="22" t="inlineStr">
        <is>
          <t>待核</t>
        </is>
      </c>
      <c r="U9" s="22" t="inlineStr">
        <is>
          <t>待核</t>
        </is>
      </c>
      <c r="V9" s="22" t="inlineStr">
        <is>
          <t>—</t>
        </is>
      </c>
      <c r="W9" s="21" t="inlineStr">
        <is>
          <t>纯碱、氯化铵、尿素、复合肥、多元醇</t>
        </is>
      </c>
      <c r="X9" s="22" t="inlineStr">
        <is>
          <t>中高</t>
        </is>
      </c>
      <c r="Y9" s="22" t="inlineStr">
        <is>
          <t>建议</t>
        </is>
      </c>
      <c r="Z9" s="22" t="inlineStr">
        <is>
          <t>无</t>
        </is>
      </c>
      <c r="AA9" s="22" t="inlineStr">
        <is>
          <t>低</t>
        </is>
      </c>
      <c r="AB9" s="22" t="n">
        <v>2</v>
      </c>
      <c r="AC9" s="21" t="inlineStr">
        <is>
          <t>纯碱为联碱板块之一；非免检；2025 年财务待核；长江沿线环保管控。</t>
        </is>
      </c>
      <c r="AD9" s="21" t="inlineStr">
        <is>
          <t>运距缩短约 670 km；产能 70 万吨（海化的 25%）；联碱；非免检；张家港水运便利。</t>
        </is>
      </c>
      <c r="AE9" s="21" t="inlineStr">
        <is>
          <t>2025 年纯碱板块毛利；重质比例；ISO/食品生产许可；码头/水运条件</t>
        </is>
      </c>
      <c r="AF9" s="23" t="inlineStr">
        <is>
          <t>https://www.huachangchem.cn/wap_about_zh.html</t>
        </is>
      </c>
      <c r="AG9" s="22" t="inlineStr">
        <is>
          <t>C</t>
        </is>
      </c>
    </row>
    <row r="10" ht="58" customHeight="1">
      <c r="A10" s="24" t="inlineStr">
        <is>
          <t>S05</t>
        </is>
      </c>
      <c r="B10" s="25" t="inlineStr">
        <is>
          <t>江苏苏盐井神股份有限公司</t>
        </is>
      </c>
      <c r="C10" s="26" t="inlineStr">
        <is>
          <t>备选</t>
        </is>
      </c>
      <c r="D10" s="26" t="inlineStr">
        <is>
          <t>江苏</t>
        </is>
      </c>
      <c r="E10" s="25" t="inlineStr">
        <is>
          <t>淮安 · 淮安市（井神盐矿基地）</t>
        </is>
      </c>
      <c r="F10" s="26" t="n">
        <v>330</v>
      </c>
      <c r="G10" s="26" t="inlineStr">
        <is>
          <t>汽运 / 运河</t>
        </is>
      </c>
      <c r="H10" s="26" t="n">
        <v>70</v>
      </c>
      <c r="I10" s="26" t="n">
        <v>160</v>
      </c>
      <c r="J10" s="26" t="inlineStr">
        <is>
          <t>联碱</t>
        </is>
      </c>
      <c r="K10" s="26" t="n">
        <v>60</v>
      </c>
      <c r="L10" s="25" t="inlineStr">
        <is>
          <t>60 万吨/年纯碱（2022 年产量 73 万吨，超产）</t>
        </is>
      </c>
      <c r="M10" s="25" t="inlineStr">
        <is>
          <t>重质比例待核 / 井神牌</t>
        </is>
      </c>
      <c r="N10" s="26" t="inlineStr">
        <is>
          <t>是</t>
        </is>
      </c>
      <c r="O10" s="26" t="inlineStr">
        <is>
          <t>上交所 603299</t>
        </is>
      </c>
      <c r="P10" s="25" t="inlineStr">
        <is>
          <t>江苏省盐业集团</t>
        </is>
      </c>
      <c r="Q10" s="25" t="inlineStr">
        <is>
          <t>江苏省盐业集团（省属国企）</t>
        </is>
      </c>
      <c r="R10" s="26" t="inlineStr">
        <is>
          <t>省属国企</t>
        </is>
      </c>
      <c r="S10" s="26" t="inlineStr">
        <is>
          <t>约 5,000（待核）</t>
        </is>
      </c>
      <c r="T10" s="26" t="inlineStr">
        <is>
          <t>待核</t>
        </is>
      </c>
      <c r="U10" s="26" t="inlineStr">
        <is>
          <t>待核</t>
        </is>
      </c>
      <c r="V10" s="26" t="inlineStr">
        <is>
          <t>73（2022 年纯碱产量）</t>
        </is>
      </c>
      <c r="W10" s="25" t="inlineStr">
        <is>
          <t>食盐、工业盐、纯碱、元明粉、氯化钙</t>
        </is>
      </c>
      <c r="X10" s="26" t="inlineStr">
        <is>
          <t>中高</t>
        </is>
      </c>
      <c r="Y10" s="26" t="inlineStr">
        <is>
          <t>建议</t>
        </is>
      </c>
      <c r="Z10" s="26" t="inlineStr">
        <is>
          <t>无</t>
        </is>
      </c>
      <c r="AA10" s="26" t="inlineStr">
        <is>
          <t>低</t>
        </is>
      </c>
      <c r="AB10" s="26" t="n">
        <v>2</v>
      </c>
      <c r="AC10" s="25" t="inlineStr">
        <is>
          <t>纯碱为盐化工副线、产能 60 万吨；2025 年纯碱价格下行；运河运输受水位/季节影响。</t>
        </is>
      </c>
      <c r="AD10" s="25" t="inlineStr">
        <is>
          <t>运距缩短约 430 km；产能 60 万吨（海化的 21%）；免检“井神牌”；纯碱为盐化工副线。</t>
        </is>
      </c>
      <c r="AE10" s="25" t="inlineStr">
        <is>
          <t>2025 年纯碱产量/重质比例；运河运输与到货周期；食品生产许可</t>
        </is>
      </c>
      <c r="AF10" s="27" t="inlineStr">
        <is>
          <t>http://www.jssyjsgf.com/about/about.html</t>
        </is>
      </c>
      <c r="AG10" s="26" t="inlineStr">
        <is>
          <t>C</t>
        </is>
      </c>
    </row>
    <row r="11" ht="58" customHeight="1">
      <c r="A11" s="20" t="inlineStr">
        <is>
          <t>S06</t>
        </is>
      </c>
      <c r="B11" s="21" t="inlineStr">
        <is>
          <t>唐山三友化工股份有限公司</t>
        </is>
      </c>
      <c r="C11" s="22" t="inlineStr">
        <is>
          <t>备选</t>
        </is>
      </c>
      <c r="D11" s="22" t="inlineStr">
        <is>
          <t>河北</t>
        </is>
      </c>
      <c r="E11" s="21" t="inlineStr">
        <is>
          <t>唐山 · 唐山市南堡开发区</t>
        </is>
      </c>
      <c r="F11" s="22" t="n">
        <v>1150</v>
      </c>
      <c r="G11" s="22" t="inlineStr">
        <is>
          <t>汽运 / 铁路 / 水运</t>
        </is>
      </c>
      <c r="H11" s="22" t="n">
        <v>200</v>
      </c>
      <c r="I11" s="22" t="n">
        <v>540</v>
      </c>
      <c r="J11" s="22" t="inlineStr">
        <is>
          <t>氨碱</t>
        </is>
      </c>
      <c r="K11" s="22" t="n">
        <v>340</v>
      </c>
      <c r="L11" s="21" t="inlineStr">
        <is>
          <t>340 万吨/年纯碱（氨碱），粘胶短纤 78 万吨</t>
        </is>
      </c>
      <c r="M11" s="21" t="inlineStr">
        <is>
          <t>重质为主 / 三友牌</t>
        </is>
      </c>
      <c r="N11" s="22" t="inlineStr">
        <is>
          <t>是</t>
        </is>
      </c>
      <c r="O11" s="22" t="inlineStr">
        <is>
          <t>上交所 600409</t>
        </is>
      </c>
      <c r="P11" s="21" t="inlineStr">
        <is>
          <t>唐山三友碱业（集团）</t>
        </is>
      </c>
      <c r="Q11" s="21" t="inlineStr">
        <is>
          <t>唐山市国资委</t>
        </is>
      </c>
      <c r="R11" s="22" t="inlineStr">
        <is>
          <t>地方国企</t>
        </is>
      </c>
      <c r="S11" s="22" t="inlineStr">
        <is>
          <t>约 1.2 万（集团，待核）</t>
        </is>
      </c>
      <c r="T11" s="22" t="inlineStr">
        <is>
          <t>待核</t>
        </is>
      </c>
      <c r="U11" s="22" t="inlineStr">
        <is>
          <t>约 0.90（按分红比例推算）</t>
        </is>
      </c>
      <c r="V11" s="22" t="inlineStr">
        <is>
          <t>—</t>
        </is>
      </c>
      <c r="W11" s="21" t="inlineStr">
        <is>
          <t>纯碱、粘胶短纤、烧碱、PVC、有机硅</t>
        </is>
      </c>
      <c r="X11" s="22" t="inlineStr">
        <is>
          <t>高</t>
        </is>
      </c>
      <c r="Y11" s="22" t="inlineStr">
        <is>
          <t>建议</t>
        </is>
      </c>
      <c r="Z11" s="22" t="inlineStr">
        <is>
          <t>无</t>
        </is>
      </c>
      <c r="AA11" s="22" t="inlineStr">
        <is>
          <t>中</t>
        </is>
      </c>
      <c r="AB11" s="22" t="n">
        <v>3</v>
      </c>
      <c r="AC11" s="21" t="inlineStr">
        <is>
          <t>2025 年净利约 0.90 亿元（按分红比例推算），微利；唐山环保限产；氨碱成本高；运距 1,150 km。</t>
        </is>
      </c>
      <c r="AD11" s="21" t="inlineStr">
        <is>
          <t>同为氨碱工艺，规格最接近；产能 340 万吨（海化的 121%）；运距增加约 390 km；免检“三友牌”；2025 年微利。</t>
        </is>
      </c>
      <c r="AE11" s="21" t="inlineStr">
        <is>
          <t>2025 年纯碱产量/库存；唐山限产影响；食品生产许可；铁路发运计划</t>
        </is>
      </c>
      <c r="AF11" s="23" t="inlineStr">
        <is>
          <t>https://money.finance.sina.com.cn/corp/view/vCB_AllBulletinDetail.php?stockid=600409&amp;id=12180724</t>
        </is>
      </c>
      <c r="AG11" s="22" t="inlineStr">
        <is>
          <t>A</t>
        </is>
      </c>
    </row>
    <row r="12" ht="58" customHeight="1">
      <c r="A12" s="24" t="inlineStr">
        <is>
          <t>S07</t>
        </is>
      </c>
      <c r="B12" s="25" t="inlineStr">
        <is>
          <t>河南金山化工集团（金大地化工）</t>
        </is>
      </c>
      <c r="C12" s="26" t="inlineStr">
        <is>
          <t>备选</t>
        </is>
      </c>
      <c r="D12" s="26" t="inlineStr">
        <is>
          <t>河南</t>
        </is>
      </c>
      <c r="E12" s="25" t="inlineStr">
        <is>
          <t>漯河 · 舞阳县盐化工园区</t>
        </is>
      </c>
      <c r="F12" s="26" t="n">
        <v>780</v>
      </c>
      <c r="G12" s="26" t="inlineStr">
        <is>
          <t>汽运 / 铁路</t>
        </is>
      </c>
      <c r="H12" s="26" t="n">
        <v>230</v>
      </c>
      <c r="I12" s="26" t="n">
        <v>360</v>
      </c>
      <c r="J12" s="26" t="inlineStr">
        <is>
          <t>联碱</t>
        </is>
      </c>
      <c r="K12" s="26" t="n">
        <v>330</v>
      </c>
      <c r="L12" s="25" t="inlineStr">
        <is>
          <t>330 万吨/年纯碱 + 360 万吨/年氯化铵 + 95 万吨合成氨</t>
        </is>
      </c>
      <c r="M12" s="25" t="inlineStr">
        <is>
          <t>重质比例待核 / 金山牌</t>
        </is>
      </c>
      <c r="N12" s="26" t="inlineStr">
        <is>
          <t>是</t>
        </is>
      </c>
      <c r="O12" s="26" t="inlineStr">
        <is>
          <t>未上市 —</t>
        </is>
      </c>
      <c r="P12" s="25" t="inlineStr">
        <is>
          <t>河南金山化工集团</t>
        </is>
      </c>
      <c r="Q12" s="25" t="inlineStr">
        <is>
          <t>民营（实控人待核）</t>
        </is>
      </c>
      <c r="R12" s="26" t="inlineStr">
        <is>
          <t>民营</t>
        </is>
      </c>
      <c r="S12" s="26" t="inlineStr">
        <is>
          <t>约 5,000（待核）</t>
        </is>
      </c>
      <c r="T12" s="26" t="inlineStr">
        <is>
          <t>未披露（固定资产 101 亿元）</t>
        </is>
      </c>
      <c r="U12" s="26" t="inlineStr">
        <is>
          <t>未披露</t>
        </is>
      </c>
      <c r="V12" s="26" t="inlineStr">
        <is>
          <t>—</t>
        </is>
      </c>
      <c r="W12" s="25" t="inlineStr">
        <is>
          <t>纯碱、氯化铵、工业盐、合成氨、三聚氰胺、小苏打</t>
        </is>
      </c>
      <c r="X12" s="26" t="inlineStr">
        <is>
          <t>中高</t>
        </is>
      </c>
      <c r="Y12" s="26" t="inlineStr">
        <is>
          <t>建议</t>
        </is>
      </c>
      <c r="Z12" s="26" t="inlineStr">
        <is>
          <t>金山集团内多厂区</t>
        </is>
      </c>
      <c r="AA12" s="26" t="inlineStr">
        <is>
          <t>中</t>
        </is>
      </c>
      <c r="AB12" s="26" t="n">
        <v>3</v>
      </c>
      <c r="AC12" s="25" t="inlineStr">
        <is>
          <t>2024 年退出获嘉 40/孟州 30 万吨；河南环保/能耗管控；需锁定舞阳厂区与供货主体。</t>
        </is>
      </c>
      <c r="AD12" s="25" t="inlineStr">
        <is>
          <t>联碱龙头，产能 330 万吨（海化的 118%）；运距相当；免检“金山牌”；需锁定舞阳厂区货源。</t>
        </is>
      </c>
      <c r="AE12" s="25" t="inlineStr">
        <is>
          <t>舞阳厂区实际在产产能；重质比例；食品生产许可；环保绩效等级</t>
        </is>
      </c>
      <c r="AF12" s="27" t="inlineStr">
        <is>
          <t>http://www.jshgjt.com/a/zoujinjinshan/</t>
        </is>
      </c>
      <c r="AG12" s="26" t="inlineStr">
        <is>
          <t>C</t>
        </is>
      </c>
    </row>
    <row r="13" ht="58" customHeight="1">
      <c r="A13" s="20" t="inlineStr">
        <is>
          <t>S08</t>
        </is>
      </c>
      <c r="B13" s="21" t="inlineStr">
        <is>
          <t>内蒙古远兴能源股份有限公司（博源化工）</t>
        </is>
      </c>
      <c r="C13" s="22" t="inlineStr">
        <is>
          <t>备选</t>
        </is>
      </c>
      <c r="D13" s="22" t="inlineStr">
        <is>
          <t>内蒙古</t>
        </is>
      </c>
      <c r="E13" s="21" t="inlineStr">
        <is>
          <t>阿拉善 · 阿拉善右旗塔木素（银根矿业）</t>
        </is>
      </c>
      <c r="F13" s="22" t="n">
        <v>1900</v>
      </c>
      <c r="G13" s="22" t="inlineStr">
        <is>
          <t>铁路 / 汽运</t>
        </is>
      </c>
      <c r="H13" s="22" t="n">
        <v>400</v>
      </c>
      <c r="I13" s="22" t="n">
        <v>880</v>
      </c>
      <c r="J13" s="22" t="inlineStr">
        <is>
          <t>天然碱</t>
        </is>
      </c>
      <c r="K13" s="22" t="n">
        <v>680</v>
      </c>
      <c r="L13" s="21" t="inlineStr">
        <is>
          <t>在产 680 万吨/年（阿拉善 500 + 中源 180）；二期 280 万吨 2026 年投产，达产 960 万吨</t>
        </is>
      </c>
      <c r="M13" s="21" t="inlineStr">
        <is>
          <t>重质可产 / 远兴牌</t>
        </is>
      </c>
      <c r="N13" s="22" t="inlineStr">
        <is>
          <t>否</t>
        </is>
      </c>
      <c r="O13" s="22" t="inlineStr">
        <is>
          <t>深交所 000683</t>
        </is>
      </c>
      <c r="P13" s="21" t="inlineStr">
        <is>
          <t>内蒙古博源控股集团</t>
        </is>
      </c>
      <c r="Q13" s="21" t="inlineStr">
        <is>
          <t>戴连荣（博源集团）</t>
        </is>
      </c>
      <c r="R13" s="22" t="inlineStr">
        <is>
          <t>民营</t>
        </is>
      </c>
      <c r="S13" s="22" t="inlineStr">
        <is>
          <t>约 6,000（待核）</t>
        </is>
      </c>
      <c r="T13" s="22" t="inlineStr">
        <is>
          <t>86.56（2025 前三季）</t>
        </is>
      </c>
      <c r="U13" s="22" t="inlineStr">
        <is>
          <t>10.62（归母，前三季）</t>
        </is>
      </c>
      <c r="V13" s="22" t="inlineStr">
        <is>
          <t>577.79（2024 年纯碱）</t>
        </is>
      </c>
      <c r="W13" s="21" t="inlineStr">
        <is>
          <t>纯碱、小苏打、尿素</t>
        </is>
      </c>
      <c r="X13" s="22" t="inlineStr">
        <is>
          <t>中</t>
        </is>
      </c>
      <c r="Y13" s="22" t="inlineStr">
        <is>
          <t>必须</t>
        </is>
      </c>
      <c r="Z13" s="22" t="inlineStr">
        <is>
          <t>与中源化学同源（母子公司）</t>
        </is>
      </c>
      <c r="AA13" s="22" t="inlineStr">
        <is>
          <t>中高</t>
        </is>
      </c>
      <c r="AB13" s="22" t="n">
        <v>4</v>
      </c>
      <c r="AC13" s="21" t="inlineStr">
        <is>
          <t>非免检品牌；阿拉善装置曾因设备故障降负荷；运距 1,900 km；与中源化学同源，不能构成独立第二源。</t>
        </is>
      </c>
      <c r="AD13" s="21" t="inlineStr">
        <is>
          <t>天然碱，成本最低；产能 680 万吨（海化的 243%）；运距增加约 1,140 km；“远兴牌”非免检；与中源同源。</t>
        </is>
      </c>
      <c r="AE13" s="21" t="inlineStr">
        <is>
          <t>到货粒度/白度/水不溶物；非免检交割/检验流程；二期达产进度；铁路计划与到货周期</t>
        </is>
      </c>
      <c r="AF13" s="23" t="inlineStr">
        <is>
          <t>https://paper.cnstock.com/html/2025-04/25/content_2056260.htm</t>
        </is>
      </c>
      <c r="AG13" s="22" t="inlineStr">
        <is>
          <t>A</t>
        </is>
      </c>
    </row>
    <row r="14" ht="58" customHeight="1">
      <c r="A14" s="24" t="inlineStr">
        <is>
          <t>S09</t>
        </is>
      </c>
      <c r="B14" s="25" t="inlineStr">
        <is>
          <t>河南中源化学股份有限公司</t>
        </is>
      </c>
      <c r="C14" s="26" t="inlineStr">
        <is>
          <t>备选</t>
        </is>
      </c>
      <c r="D14" s="26" t="inlineStr">
        <is>
          <t>河南</t>
        </is>
      </c>
      <c r="E14" s="25" t="inlineStr">
        <is>
          <t>南阳 · 桐柏县（安棚/吴城天然碱矿）</t>
        </is>
      </c>
      <c r="F14" s="26" t="n">
        <v>800</v>
      </c>
      <c r="G14" s="26" t="inlineStr">
        <is>
          <t>铁路 / 汽运</t>
        </is>
      </c>
      <c r="H14" s="26" t="n">
        <v>240</v>
      </c>
      <c r="I14" s="26" t="n">
        <v>380</v>
      </c>
      <c r="J14" s="26" t="inlineStr">
        <is>
          <t>天然碱</t>
        </is>
      </c>
      <c r="K14" s="26" t="n">
        <v>180</v>
      </c>
      <c r="L14" s="25" t="inlineStr">
        <is>
          <t>180 万吨/年纯碱 + 120 万吨/年小苏打</t>
        </is>
      </c>
      <c r="M14" s="25" t="inlineStr">
        <is>
          <t>重质可产 / 中天牌</t>
        </is>
      </c>
      <c r="N14" s="26" t="inlineStr">
        <is>
          <t>是</t>
        </is>
      </c>
      <c r="O14" s="26" t="inlineStr">
        <is>
          <t>未上市（远兴并表） —</t>
        </is>
      </c>
      <c r="P14" s="25" t="inlineStr">
        <is>
          <t>远兴能源（000683）</t>
        </is>
      </c>
      <c r="Q14" s="25" t="inlineStr">
        <is>
          <t>戴连荣（博源集团）</t>
        </is>
      </c>
      <c r="R14" s="26" t="inlineStr">
        <is>
          <t>民营（上市公司子公司）</t>
        </is>
      </c>
      <c r="S14" s="26" t="inlineStr">
        <is>
          <t>约 3,000（待核）</t>
        </is>
      </c>
      <c r="T14" s="26" t="inlineStr">
        <is>
          <t>未单独披露</t>
        </is>
      </c>
      <c r="U14" s="26" t="inlineStr">
        <is>
          <t>未单独披露</t>
        </is>
      </c>
      <c r="V14" s="26" t="inlineStr">
        <is>
          <t>—</t>
        </is>
      </c>
      <c r="W14" s="25" t="inlineStr">
        <is>
          <t>纯碱、小苏打</t>
        </is>
      </c>
      <c r="X14" s="26" t="inlineStr">
        <is>
          <t>中</t>
        </is>
      </c>
      <c r="Y14" s="26" t="inlineStr">
        <is>
          <t>必须</t>
        </is>
      </c>
      <c r="Z14" s="26" t="inlineStr">
        <is>
          <t>与远兴能源同源（母子公司）</t>
        </is>
      </c>
      <c r="AA14" s="26" t="inlineStr">
        <is>
          <t>中高</t>
        </is>
      </c>
      <c r="AB14" s="26" t="n">
        <v>4</v>
      </c>
      <c r="AC14" s="25" t="inlineStr">
        <is>
          <t>与远兴同源（远兴持股 81.71%），不构成独立第二源；天然碱粒度/白度需验证。</t>
        </is>
      </c>
      <c r="AD14" s="25" t="inlineStr">
        <is>
          <t>天然碱；产能 180 万吨（海化的 64%）；免检“中天牌”；与远兴同源，不能作为独立第二源。</t>
        </is>
      </c>
      <c r="AE14" s="25" t="inlineStr">
        <is>
          <t>与远兴的销售主体/价格政策；粒度分布/白度；食品生产许可</t>
        </is>
      </c>
      <c r="AF14" s="27" t="inlineStr">
        <is>
          <t>https://app.dahecube.com/nweb/news/20230510/162062nd161ddea3b3.htm</t>
        </is>
      </c>
      <c r="AG14" s="26" t="inlineStr">
        <is>
          <t>B</t>
        </is>
      </c>
    </row>
    <row r="15" ht="58" customHeight="1">
      <c r="A15" s="20" t="inlineStr">
        <is>
          <t>S10</t>
        </is>
      </c>
      <c r="B15" s="21" t="inlineStr">
        <is>
          <t>中盐青海昆仑碱业有限公司</t>
        </is>
      </c>
      <c r="C15" s="22" t="inlineStr">
        <is>
          <t>备选</t>
        </is>
      </c>
      <c r="D15" s="22" t="inlineStr">
        <is>
          <t>青海</t>
        </is>
      </c>
      <c r="E15" s="21" t="inlineStr">
        <is>
          <t>海西（德令哈） · 德令哈市（柴达木循环经济试验区）</t>
        </is>
      </c>
      <c r="F15" s="22" t="n">
        <v>2400</v>
      </c>
      <c r="G15" s="22" t="inlineStr">
        <is>
          <t>铁路 / 汽运</t>
        </is>
      </c>
      <c r="H15" s="22" t="n">
        <v>500</v>
      </c>
      <c r="I15" s="22" t="n">
        <v>1100</v>
      </c>
      <c r="J15" s="22" t="inlineStr">
        <is>
          <t>氨碱</t>
        </is>
      </c>
      <c r="K15" s="22" t="n">
        <v>150</v>
      </c>
      <c r="L15" s="21" t="inlineStr">
        <is>
          <t>150 万吨/年氨碱（2011 年 100 万吨投产，2017 年技改至 150 万吨）</t>
        </is>
      </c>
      <c r="M15" s="21" t="inlineStr">
        <is>
          <t>重质为主 / 昆仑雪牌</t>
        </is>
      </c>
      <c r="N15" s="22" t="inlineStr">
        <is>
          <t>是</t>
        </is>
      </c>
      <c r="O15" s="22" t="inlineStr">
        <is>
          <t>未上市（中盐化工并表） —</t>
        </is>
      </c>
      <c r="P15" s="21" t="inlineStr">
        <is>
          <t>中国盐业集团 / 中盐化工（600328）</t>
        </is>
      </c>
      <c r="Q15" s="21" t="inlineStr">
        <is>
          <t>中盐内蒙古化工 51% + 青海海西蒙西联 49%</t>
        </is>
      </c>
      <c r="R15" s="22" t="inlineStr">
        <is>
          <t>央企控股</t>
        </is>
      </c>
      <c r="S15" s="22" t="inlineStr">
        <is>
          <t>1,400</t>
        </is>
      </c>
      <c r="T15" s="22" t="inlineStr">
        <is>
          <t>未单独披露</t>
        </is>
      </c>
      <c r="U15" s="22" t="inlineStr">
        <is>
          <t>未单独披露</t>
        </is>
      </c>
      <c r="V15" s="22" t="inlineStr">
        <is>
          <t>—</t>
        </is>
      </c>
      <c r="W15" s="21" t="inlineStr">
        <is>
          <t>纯碱、氯化钙</t>
        </is>
      </c>
      <c r="X15" s="22" t="inlineStr">
        <is>
          <t>中高</t>
        </is>
      </c>
      <c r="Y15" s="22" t="inlineStr">
        <is>
          <t>必须</t>
        </is>
      </c>
      <c r="Z15" s="22" t="inlineStr">
        <is>
          <t>中盐集团（与中盐昆山同集团）</t>
        </is>
      </c>
      <c r="AA15" s="22" t="inlineStr">
        <is>
          <t>中高</t>
        </is>
      </c>
      <c r="AB15" s="22" t="n">
        <v>4</v>
      </c>
      <c r="AC15" s="21" t="inlineStr">
        <is>
          <t>运距 2,400 km，铁路车皮与季节性运输风险；中盐化工 2025 年净利低位；高海拔装置。</t>
        </is>
      </c>
      <c r="AD15" s="21" t="inlineStr">
        <is>
          <t>氨碱；产能 150 万吨（海化的 54%）；免检“昆仑雪牌”；运距增加约 1,640 km；铁路为主。</t>
        </is>
      </c>
      <c r="AE15" s="21" t="inlineStr">
        <is>
          <t>铁路发运周期；到货结块/粒度；食品生产许可；中盐销售政策</t>
        </is>
      </c>
      <c r="AF15" s="23" t="inlineStr">
        <is>
          <t>http://cdmxhjj.haixi.gov.cn/system/2021/06/30/010387079.shtml</t>
        </is>
      </c>
      <c r="AG15" s="22" t="inlineStr">
        <is>
          <t>A</t>
        </is>
      </c>
    </row>
    <row r="16" ht="58" customHeight="1">
      <c r="A16" s="24" t="inlineStr">
        <is>
          <t>S11</t>
        </is>
      </c>
      <c r="B16" s="25" t="inlineStr">
        <is>
          <t>湖北双环科技股份有限公司</t>
        </is>
      </c>
      <c r="C16" s="26" t="inlineStr">
        <is>
          <t>备选</t>
        </is>
      </c>
      <c r="D16" s="26" t="inlineStr">
        <is>
          <t>湖北</t>
        </is>
      </c>
      <c r="E16" s="25" t="inlineStr">
        <is>
          <t>孝感（应城） · 应城市东马坊团结大道 26 号</t>
        </is>
      </c>
      <c r="F16" s="26" t="n">
        <v>720</v>
      </c>
      <c r="G16" s="26" t="inlineStr">
        <is>
          <t>汽运 / 铁路</t>
        </is>
      </c>
      <c r="H16" s="26" t="n">
        <v>220</v>
      </c>
      <c r="I16" s="26" t="n">
        <v>340</v>
      </c>
      <c r="J16" s="26" t="inlineStr">
        <is>
          <t>联碱</t>
        </is>
      </c>
      <c r="K16" s="26" t="n">
        <v>110</v>
      </c>
      <c r="L16" s="25" t="inlineStr">
        <is>
          <t>约 110 万吨/年联碱（2025 年报道口径 100 万吨；2026 年拟再增 40 万吨，需核实）</t>
        </is>
      </c>
      <c r="M16" s="25" t="inlineStr">
        <is>
          <t>重质比例待核 / 双环（待核）</t>
        </is>
      </c>
      <c r="N16" s="26" t="inlineStr">
        <is>
          <t>否</t>
        </is>
      </c>
      <c r="O16" s="26" t="inlineStr">
        <is>
          <t>深交所 000707</t>
        </is>
      </c>
      <c r="P16" s="25" t="inlineStr">
        <is>
          <t>湖北双环化工集团</t>
        </is>
      </c>
      <c r="Q16" s="25" t="inlineStr">
        <is>
          <t>应城市国资（待核）</t>
        </is>
      </c>
      <c r="R16" s="26" t="inlineStr">
        <is>
          <t>地方国企</t>
        </is>
      </c>
      <c r="S16" s="26" t="inlineStr">
        <is>
          <t>约 3,000（待核）</t>
        </is>
      </c>
      <c r="T16" s="26" t="inlineStr">
        <is>
          <t>待核</t>
        </is>
      </c>
      <c r="U16" s="26" t="inlineStr">
        <is>
          <t>-0.015（2025 年归母净利 -153 万元）</t>
        </is>
      </c>
      <c r="V16" s="26" t="inlineStr">
        <is>
          <t>—</t>
        </is>
      </c>
      <c r="W16" s="25" t="inlineStr">
        <is>
          <t>纯碱、氯化铵、复合肥</t>
        </is>
      </c>
      <c r="X16" s="26" t="inlineStr">
        <is>
          <t>中</t>
        </is>
      </c>
      <c r="Y16" s="26" t="inlineStr">
        <is>
          <t>必须</t>
        </is>
      </c>
      <c r="Z16" s="26" t="inlineStr">
        <is>
          <t>无</t>
        </is>
      </c>
      <c r="AA16" s="26" t="inlineStr">
        <is>
          <t>高</t>
        </is>
      </c>
      <c r="AB16" s="26" t="n">
        <v>5</v>
      </c>
      <c r="AC16" s="25" t="inlineStr">
        <is>
          <t>2025 年归母净利 -153 万元，2026H1 预亏 0.55–0.85 亿元；装置老化；非免检。</t>
        </is>
      </c>
      <c r="AD16" s="25" t="inlineStr">
        <is>
          <t>联碱；产能约 110 万吨（海化的 39%）；运距缩短约 40 km；连续亏损，供应稳定性需重点核实。</t>
        </is>
      </c>
      <c r="AE16" s="25" t="inlineStr">
        <is>
          <t>2026 年现金流/检修计划；重质比例；食品生产许可；40 万吨扩建进度</t>
        </is>
      </c>
      <c r="AF16" s="27" t="inlineStr">
        <is>
          <t>http://file.finance.sina.com.cn/211.154.219.97:9494/MRGG/CNSESZ_STOCK/2026/2026-4/2026-04-29/12261120.PDF</t>
        </is>
      </c>
      <c r="AG16" s="26" t="inlineStr">
        <is>
          <t>A</t>
        </is>
      </c>
    </row>
    <row r="17" ht="58" customHeight="1">
      <c r="A17" s="20" t="inlineStr">
        <is>
          <t>S12</t>
        </is>
      </c>
      <c r="B17" s="21" t="inlineStr">
        <is>
          <t>山东海天生物化工有限公司（金晶集团）</t>
        </is>
      </c>
      <c r="C17" s="22" t="inlineStr">
        <is>
          <t>备选</t>
        </is>
      </c>
      <c r="D17" s="22" t="inlineStr">
        <is>
          <t>山东</t>
        </is>
      </c>
      <c r="E17" s="21" t="inlineStr">
        <is>
          <t>潍坊 · 昌邑市滨海（下营）经济开发区金晶大道 1 号</t>
        </is>
      </c>
      <c r="F17" s="22" t="n">
        <v>800</v>
      </c>
      <c r="G17" s="22" t="inlineStr">
        <is>
          <t>汽运 / 铁路</t>
        </is>
      </c>
      <c r="H17" s="22" t="n">
        <v>210</v>
      </c>
      <c r="I17" s="22" t="n">
        <v>380</v>
      </c>
      <c r="J17" s="22" t="inlineStr">
        <is>
          <t>氨碱</t>
        </is>
      </c>
      <c r="K17" s="22" t="n">
        <v>120</v>
      </c>
      <c r="L17" s="21" t="inlineStr">
        <is>
          <t>一期 120 万吨/年纯碱，年产量约 110 万吨</t>
        </is>
      </c>
      <c r="M17" s="21" t="inlineStr">
        <is>
          <t>重质为主 / 金晶牌</t>
        </is>
      </c>
      <c r="N17" s="22" t="inlineStr">
        <is>
          <t>是</t>
        </is>
      </c>
      <c r="O17" s="22" t="inlineStr">
        <is>
          <t>未上市（金晶科技全资） —</t>
        </is>
      </c>
      <c r="P17" s="21" t="inlineStr">
        <is>
          <t>金晶集团 / 金晶科技（600586）</t>
        </is>
      </c>
      <c r="Q17" s="21" t="inlineStr">
        <is>
          <t>金晶集团（王刚）</t>
        </is>
      </c>
      <c r="R17" s="22" t="inlineStr">
        <is>
          <t>民营</t>
        </is>
      </c>
      <c r="S17" s="22" t="inlineStr">
        <is>
          <t>约 1,000（待核）</t>
        </is>
      </c>
      <c r="T17" s="22" t="inlineStr">
        <is>
          <t>未披露</t>
        </is>
      </c>
      <c r="U17" s="22" t="inlineStr">
        <is>
          <t>未披露</t>
        </is>
      </c>
      <c r="V17" s="22" t="inlineStr">
        <is>
          <t>约 110</t>
        </is>
      </c>
      <c r="W17" s="21" t="inlineStr">
        <is>
          <t>纯碱、小苏打、小苏打日化用品</t>
        </is>
      </c>
      <c r="X17" s="22" t="inlineStr">
        <is>
          <t>高</t>
        </is>
      </c>
      <c r="Y17" s="22" t="inlineStr">
        <is>
          <t>建议</t>
        </is>
      </c>
      <c r="Z17" s="22" t="inlineStr">
        <is>
          <t>金晶集团（与金晶科技同源）</t>
        </is>
      </c>
      <c r="AA17" s="22" t="inlineStr">
        <is>
          <t>中</t>
        </is>
      </c>
      <c r="AB17" s="22" t="n">
        <v>3</v>
      </c>
      <c r="AC17" s="21" t="inlineStr">
        <is>
          <t>与金晶科技（玻璃）同集团，向下游玻璃客户供货存在竞争/优先内部供应；运距 800 km。</t>
        </is>
      </c>
      <c r="AD17" s="21" t="inlineStr">
        <is>
          <t>氨碱；产能 120 万吨（海化的 43%）；运距增加约 40 km；免检“金晶牌”；与金晶科技（玻璃）同集团，存在纵向竞争。</t>
        </is>
      </c>
      <c r="AE17" s="21" t="inlineStr">
        <is>
          <t>对玻璃客户供货政策；重质比例；食品生产许可；金晶内部采购占比</t>
        </is>
      </c>
      <c r="AF17" s="23" t="inlineStr">
        <is>
          <t>https://baike.baidu.com/item/山东海天生物化工有限公司/10619153</t>
        </is>
      </c>
      <c r="AG17" s="22" t="inlineStr">
        <is>
          <t>C</t>
        </is>
      </c>
    </row>
  </sheetData>
  <autoFilter ref="A4:AG17"/>
  <mergeCells count="3">
    <mergeCell ref="A2:AG2"/>
    <mergeCell ref="A1:AG1"/>
    <mergeCell ref="A3:AG3"/>
  </mergeCells>
  <conditionalFormatting sqref="F5:F17">
    <cfRule type="dataBar" priority="1">
      <dataBar showValue="1">
        <cfvo type="num" val="0"/>
        <cfvo type="num" val="2500"/>
        <color rgb="001F5EFF"/>
      </dataBar>
    </cfRule>
  </conditionalFormatting>
  <conditionalFormatting sqref="K5:K17">
    <cfRule type="dataBar" priority="2">
      <dataBar showValue="1">
        <cfvo type="num" val="0"/>
        <cfvo type="num" val="680"/>
        <color rgb="000E7490"/>
      </dataBar>
    </cfRule>
  </conditionalFormatting>
  <conditionalFormatting sqref="AB5:AB17">
    <cfRule type="colorScale" priority="3">
      <colorScale>
        <cfvo type="num" val="1"/>
        <cfvo type="num" val="3"/>
        <cfvo type="num" val="5"/>
        <color rgb="00C6EFCE"/>
        <color rgb="00FFEB9C"/>
        <color rgb="00FFC7CE"/>
      </colorScale>
    </cfRule>
  </conditionalFormatting>
  <conditionalFormatting sqref="AA5:AA17">
    <cfRule type="expression" priority="4" dxfId="0">
      <formula>$AA5="高"</formula>
    </cfRule>
    <cfRule type="expression" priority="5" dxfId="1">
      <formula>$AA5="中高"</formula>
    </cfRule>
    <cfRule type="expression" priority="6" dxfId="2">
      <formula>$AA5="中"</formula>
    </cfRule>
    <cfRule type="expression" priority="7" dxfId="3">
      <formula>$AA5="低"</formula>
    </cfRule>
  </conditionalFormatting>
  <conditionalFormatting sqref="N5:N17">
    <cfRule type="expression" priority="8" dxfId="3">
      <formula>$N5="是"</formula>
    </cfRule>
  </conditionalFormatting>
  <conditionalFormatting sqref="Z5:Z17">
    <cfRule type="expression" priority="9" dxfId="4">
      <formula>$Z5="无"</formula>
    </cfRule>
    <cfRule type="expression" priority="10" dxfId="5">
      <formula>$Z5&lt;&gt;"无"</formula>
    </cfRule>
  </conditionalFormatting>
  <hyperlinks>
    <hyperlink xmlns:r="http://schemas.openxmlformats.org/officeDocument/2006/relationships" ref="AF5" r:id="rId1"/>
    <hyperlink xmlns:r="http://schemas.openxmlformats.org/officeDocument/2006/relationships" ref="AF6" r:id="rId2"/>
    <hyperlink xmlns:r="http://schemas.openxmlformats.org/officeDocument/2006/relationships" ref="AF7" r:id="rId3"/>
    <hyperlink xmlns:r="http://schemas.openxmlformats.org/officeDocument/2006/relationships" ref="AF8" r:id="rId4"/>
    <hyperlink xmlns:r="http://schemas.openxmlformats.org/officeDocument/2006/relationships" ref="AF9" r:id="rId5"/>
    <hyperlink xmlns:r="http://schemas.openxmlformats.org/officeDocument/2006/relationships" ref="AF10" r:id="rId6"/>
    <hyperlink xmlns:r="http://schemas.openxmlformats.org/officeDocument/2006/relationships" ref="AF11" r:id="rId7"/>
    <hyperlink xmlns:r="http://schemas.openxmlformats.org/officeDocument/2006/relationships" ref="AF12" r:id="rId8"/>
    <hyperlink xmlns:r="http://schemas.openxmlformats.org/officeDocument/2006/relationships" ref="AF13" r:id="rId9"/>
    <hyperlink xmlns:r="http://schemas.openxmlformats.org/officeDocument/2006/relationships" ref="AF14" r:id="rId10"/>
    <hyperlink xmlns:r="http://schemas.openxmlformats.org/officeDocument/2006/relationships" ref="AF15" r:id="rId11"/>
    <hyperlink xmlns:r="http://schemas.openxmlformats.org/officeDocument/2006/relationships" ref="AF16" r:id="rId12"/>
    <hyperlink xmlns:r="http://schemas.openxmlformats.org/officeDocument/2006/relationships" ref="AF17" r:id="rId13"/>
  </hyperlinks>
  <pageMargins left="0.75" right="0.75" top="1" bottom="1" header="0.5" footer="0.5"/>
  <pageSetup orientation="landscape" paperSize="8" fitToHeight="0" fitToWidth="1"/>
  <headerFooter>
    <oddHeader/>
    <oddFooter>&amp;C&amp;8 &amp;K808080第二供应源备选池 · 第 &amp;P /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F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2" customWidth="1" min="4" max="4"/>
    <col width="12" customWidth="1" min="5" max="5"/>
    <col width="38" customWidth="1" min="6" max="6"/>
  </cols>
  <sheetData>
    <row r="1" ht="44" customHeight="1">
      <c r="A1" s="17" t="inlineStr">
        <is>
          <t>02 · 组合视角：规模 × 区位 × 运费</t>
        </is>
      </c>
    </row>
    <row r="2" ht="24" customHeight="1">
      <c r="A2" s="18" t="inlineStr">
        <is>
          <t>数据来自 01 表；横条图便于比较现有供应商与备选。</t>
        </is>
      </c>
    </row>
    <row r="3" ht="20" customHeight="1">
      <c r="A3" s="3" t="inlineStr">
        <is>
          <t>内部采购评估 · 公开信息研究</t>
        </is>
      </c>
    </row>
    <row r="5" ht="26" customHeight="1">
      <c r="A5" s="9" t="inlineStr">
        <is>
          <t>图表数据（可编辑，图表自动引用）</t>
        </is>
      </c>
    </row>
    <row r="6" ht="38" customHeight="1">
      <c r="A6" s="28" t="inlineStr">
        <is>
          <t>企业</t>
        </is>
      </c>
      <c r="B6" s="28" t="inlineStr">
        <is>
          <t>重质纯碱产能
万吨/年</t>
        </is>
      </c>
      <c r="C6" s="28" t="inlineStr">
        <is>
          <t>运费中值
元/吨</t>
        </is>
      </c>
      <c r="D6" s="28" t="inlineStr">
        <is>
          <t>运距
km</t>
        </is>
      </c>
      <c r="E6" s="28" t="inlineStr">
        <is>
          <t>工艺</t>
        </is>
      </c>
      <c r="F6" s="28" t="inlineStr">
        <is>
          <t>备注</t>
        </is>
      </c>
    </row>
    <row r="7" ht="20" customHeight="1">
      <c r="A7" s="21" t="inlineStr">
        <is>
          <t>山东海化</t>
        </is>
      </c>
      <c r="B7" s="21" t="n">
        <v>280</v>
      </c>
      <c r="C7" s="22" t="n">
        <v>280</v>
      </c>
      <c r="D7" s="22" t="n">
        <v>760</v>
      </c>
      <c r="E7" s="22" t="inlineStr">
        <is>
          <t>氨碱</t>
        </is>
      </c>
      <c r="F7" s="22" t="inlineStr">
        <is>
          <t>现有供应商</t>
        </is>
      </c>
    </row>
    <row r="8" ht="20" customHeight="1">
      <c r="A8" s="25" t="inlineStr">
        <is>
          <t>连云港碱业</t>
        </is>
      </c>
      <c r="B8" s="25" t="n">
        <v>110</v>
      </c>
      <c r="C8" s="26" t="n">
        <v>135</v>
      </c>
      <c r="D8" s="26" t="n">
        <v>400</v>
      </c>
      <c r="E8" s="26" t="inlineStr">
        <is>
          <t>联碱</t>
        </is>
      </c>
      <c r="F8" s="26" t="inlineStr">
        <is>
          <t>无</t>
        </is>
      </c>
    </row>
    <row r="9" ht="20" customHeight="1">
      <c r="A9" s="21" t="inlineStr">
        <is>
          <t>江苏德邦</t>
        </is>
      </c>
      <c r="B9" s="21" t="n">
        <v>60</v>
      </c>
      <c r="C9" s="22" t="n">
        <v>135</v>
      </c>
      <c r="D9" s="22" t="n">
        <v>400</v>
      </c>
      <c r="E9" s="22" t="inlineStr">
        <is>
          <t>联碱</t>
        </is>
      </c>
      <c r="F9" s="22" t="inlineStr">
        <is>
          <t>待核（与安徽德邦可能同集团）</t>
        </is>
      </c>
    </row>
    <row r="10" ht="20" customHeight="1">
      <c r="A10" s="25" t="inlineStr">
        <is>
          <t>中盐昆山</t>
        </is>
      </c>
      <c r="B10" s="25" t="n">
        <v>55</v>
      </c>
      <c r="C10" s="26" t="n">
        <v>24</v>
      </c>
      <c r="D10" s="26" t="n">
        <v>45</v>
      </c>
      <c r="E10" s="26" t="inlineStr">
        <is>
          <t>联碱</t>
        </is>
      </c>
      <c r="F10" s="26" t="inlineStr">
        <is>
          <t>中盐集团（与昆仑碱业同集团）</t>
        </is>
      </c>
    </row>
    <row r="11" ht="20" customHeight="1">
      <c r="A11" s="21" t="inlineStr">
        <is>
          <t>华昌化工</t>
        </is>
      </c>
      <c r="B11" s="21" t="n">
        <v>70</v>
      </c>
      <c r="C11" s="22" t="n">
        <v>32</v>
      </c>
      <c r="D11" s="22" t="n">
        <v>90</v>
      </c>
      <c r="E11" s="22" t="inlineStr">
        <is>
          <t>联碱</t>
        </is>
      </c>
      <c r="F11" s="22" t="inlineStr">
        <is>
          <t>无</t>
        </is>
      </c>
    </row>
    <row r="12" ht="20" customHeight="1">
      <c r="A12" s="25" t="inlineStr">
        <is>
          <t>苏盐井神</t>
        </is>
      </c>
      <c r="B12" s="25" t="n">
        <v>60</v>
      </c>
      <c r="C12" s="26" t="n">
        <v>115</v>
      </c>
      <c r="D12" s="26" t="n">
        <v>330</v>
      </c>
      <c r="E12" s="26" t="inlineStr">
        <is>
          <t>联碱</t>
        </is>
      </c>
      <c r="F12" s="26" t="inlineStr">
        <is>
          <t>无</t>
        </is>
      </c>
    </row>
    <row r="13" ht="20" customHeight="1">
      <c r="A13" s="21" t="inlineStr">
        <is>
          <t>三友化工</t>
        </is>
      </c>
      <c r="B13" s="21" t="n">
        <v>340</v>
      </c>
      <c r="C13" s="22" t="n">
        <v>370</v>
      </c>
      <c r="D13" s="22" t="n">
        <v>1150</v>
      </c>
      <c r="E13" s="22" t="inlineStr">
        <is>
          <t>氨碱</t>
        </is>
      </c>
      <c r="F13" s="22" t="inlineStr">
        <is>
          <t>无</t>
        </is>
      </c>
    </row>
    <row r="14" ht="20" customHeight="1">
      <c r="A14" s="25" t="inlineStr">
        <is>
          <t>河南金山</t>
        </is>
      </c>
      <c r="B14" s="25" t="n">
        <v>330</v>
      </c>
      <c r="C14" s="26" t="n">
        <v>295</v>
      </c>
      <c r="D14" s="26" t="n">
        <v>780</v>
      </c>
      <c r="E14" s="26" t="inlineStr">
        <is>
          <t>联碱</t>
        </is>
      </c>
      <c r="F14" s="26" t="inlineStr">
        <is>
          <t>金山集团内多厂区</t>
        </is>
      </c>
    </row>
    <row r="15" ht="20" customHeight="1">
      <c r="A15" s="21" t="inlineStr">
        <is>
          <t>远兴能源</t>
        </is>
      </c>
      <c r="B15" s="21" t="n">
        <v>680</v>
      </c>
      <c r="C15" s="22" t="n">
        <v>640</v>
      </c>
      <c r="D15" s="22" t="n">
        <v>1900</v>
      </c>
      <c r="E15" s="22" t="inlineStr">
        <is>
          <t>天然碱</t>
        </is>
      </c>
      <c r="F15" s="22" t="inlineStr">
        <is>
          <t>与中源化学同源（母子公司）</t>
        </is>
      </c>
    </row>
    <row r="16" ht="20" customHeight="1">
      <c r="A16" s="25" t="inlineStr">
        <is>
          <t>中源化学</t>
        </is>
      </c>
      <c r="B16" s="25" t="n">
        <v>180</v>
      </c>
      <c r="C16" s="26" t="n">
        <v>310</v>
      </c>
      <c r="D16" s="26" t="n">
        <v>800</v>
      </c>
      <c r="E16" s="26" t="inlineStr">
        <is>
          <t>天然碱</t>
        </is>
      </c>
      <c r="F16" s="26" t="inlineStr">
        <is>
          <t>与远兴能源同源（母子公司）</t>
        </is>
      </c>
    </row>
    <row r="17" ht="20" customHeight="1">
      <c r="A17" s="21" t="inlineStr">
        <is>
          <t>昆仑碱业</t>
        </is>
      </c>
      <c r="B17" s="21" t="n">
        <v>150</v>
      </c>
      <c r="C17" s="22" t="n">
        <v>800</v>
      </c>
      <c r="D17" s="22" t="n">
        <v>2400</v>
      </c>
      <c r="E17" s="22" t="inlineStr">
        <is>
          <t>氨碱</t>
        </is>
      </c>
      <c r="F17" s="22" t="inlineStr">
        <is>
          <t>中盐集团（与中盐昆山同集团）</t>
        </is>
      </c>
    </row>
    <row r="18" ht="20" customHeight="1">
      <c r="A18" s="25" t="inlineStr">
        <is>
          <t>双环科技</t>
        </is>
      </c>
      <c r="B18" s="25" t="n">
        <v>110</v>
      </c>
      <c r="C18" s="26" t="n">
        <v>280</v>
      </c>
      <c r="D18" s="26" t="n">
        <v>720</v>
      </c>
      <c r="E18" s="26" t="inlineStr">
        <is>
          <t>联碱</t>
        </is>
      </c>
      <c r="F18" s="26" t="inlineStr">
        <is>
          <t>无</t>
        </is>
      </c>
    </row>
    <row r="19" ht="20" customHeight="1">
      <c r="A19" s="21" t="inlineStr">
        <is>
          <t>海天生物</t>
        </is>
      </c>
      <c r="B19" s="21" t="n">
        <v>120</v>
      </c>
      <c r="C19" s="22" t="n">
        <v>295</v>
      </c>
      <c r="D19" s="22" t="n">
        <v>800</v>
      </c>
      <c r="E19" s="22" t="inlineStr">
        <is>
          <t>氨碱</t>
        </is>
      </c>
      <c r="F19" s="22" t="inlineStr">
        <is>
          <t>金晶集团（与金晶科技同源）</t>
        </is>
      </c>
    </row>
    <row r="21" ht="26" customHeight="1">
      <c r="A21" s="29" t="inlineStr">
        <is>
          <t>工艺阵营（家数）</t>
        </is>
      </c>
    </row>
    <row r="22">
      <c r="A22" s="30" t="inlineStr">
        <is>
          <t>工艺</t>
        </is>
      </c>
      <c r="B22" s="30" t="inlineStr">
        <is>
          <t>家数</t>
        </is>
      </c>
    </row>
    <row r="23">
      <c r="A23" s="31" t="inlineStr">
        <is>
          <t>氨碱</t>
        </is>
      </c>
      <c r="B23" s="32" t="n">
        <v>4</v>
      </c>
    </row>
    <row r="24">
      <c r="A24" s="31" t="inlineStr">
        <is>
          <t>联碱</t>
        </is>
      </c>
      <c r="B24" s="32" t="n">
        <v>7</v>
      </c>
    </row>
    <row r="25">
      <c r="A25" s="31" t="inlineStr">
        <is>
          <t>天然碱</t>
        </is>
      </c>
      <c r="B25" s="32" t="n">
        <v>2</v>
      </c>
    </row>
  </sheetData>
  <mergeCells count="5">
    <mergeCell ref="A2:F2"/>
    <mergeCell ref="A1:F1"/>
    <mergeCell ref="A5:F5"/>
    <mergeCell ref="A3:F3"/>
    <mergeCell ref="A21:F21"/>
  </mergeCells>
  <pageMargins left="0.75" right="0.75" top="1" bottom="1" header="0.5" footer="0.5"/>
  <pageSetup orientation="landscape" paperSize="8" fitToHeight="0" fitToWidth="1"/>
  <headerFooter>
    <oddHeader/>
    <oddFooter>&amp;C&amp;8 &amp;K808080第二供应源备选池 · 第 &amp;P / &amp;N 页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1:O30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1" customWidth="1" min="2" max="2"/>
    <col width="34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</cols>
  <sheetData>
    <row r="1" ht="44" customHeight="1">
      <c r="A1" s="17" t="inlineStr">
        <is>
          <t>03 · 横向对比：现有供应商 vs 12 家备选</t>
        </is>
      </c>
    </row>
    <row r="2" ht="24" customHeight="1">
      <c r="A2" s="18" t="inlineStr">
        <is>
          <t>绿色=相对更优、红色=相对更弱（仅运距/运费/产能/风险分四项）；其余为事实描述。</t>
        </is>
      </c>
    </row>
    <row r="3" ht="20" customHeight="1">
      <c r="A3" s="3" t="inlineStr">
        <is>
          <t>内部采购评估 · 公开信息研究</t>
        </is>
      </c>
    </row>
    <row r="5" ht="44" customHeight="1">
      <c r="A5" s="19" t="inlineStr">
        <is>
          <t>类别</t>
        </is>
      </c>
      <c r="B5" s="19" t="inlineStr">
        <is>
          <t>对比维度</t>
        </is>
      </c>
      <c r="C5" s="19" t="inlineStr">
        <is>
          <t>山东海化（现有）</t>
        </is>
      </c>
      <c r="D5" s="19" t="inlineStr">
        <is>
          <t>连云港碱业</t>
        </is>
      </c>
      <c r="E5" s="19" t="inlineStr">
        <is>
          <t>江苏德邦</t>
        </is>
      </c>
      <c r="F5" s="19" t="inlineStr">
        <is>
          <t>中盐昆山</t>
        </is>
      </c>
      <c r="G5" s="19" t="inlineStr">
        <is>
          <t>华昌化工</t>
        </is>
      </c>
      <c r="H5" s="19" t="inlineStr">
        <is>
          <t>苏盐井神</t>
        </is>
      </c>
      <c r="I5" s="19" t="inlineStr">
        <is>
          <t>三友化工</t>
        </is>
      </c>
      <c r="J5" s="19" t="inlineStr">
        <is>
          <t>河南金山</t>
        </is>
      </c>
      <c r="K5" s="19" t="inlineStr">
        <is>
          <t>远兴能源</t>
        </is>
      </c>
      <c r="L5" s="19" t="inlineStr">
        <is>
          <t>中源化学</t>
        </is>
      </c>
      <c r="M5" s="19" t="inlineStr">
        <is>
          <t>昆仑碱业</t>
        </is>
      </c>
      <c r="N5" s="19" t="inlineStr">
        <is>
          <t>双环科技</t>
        </is>
      </c>
      <c r="O5" s="19" t="inlineStr">
        <is>
          <t>海天生物</t>
        </is>
      </c>
    </row>
    <row r="6" ht="20" customHeight="1">
      <c r="A6" s="33" t="inlineStr">
        <is>
          <t>—</t>
        </is>
      </c>
      <c r="B6" s="33" t="inlineStr">
        <is>
          <t>（工艺 · 产能 · 运距）</t>
        </is>
      </c>
      <c r="C6" s="33" t="inlineStr">
        <is>
          <t>氨碱 · 280 万吨/年 · 760 km</t>
        </is>
      </c>
      <c r="D6" s="33" t="inlineStr">
        <is>
          <t>联碱 · 110 万吨/年 · 400 km</t>
        </is>
      </c>
      <c r="E6" s="33" t="inlineStr">
        <is>
          <t>联碱 · 60 万吨/年 · 400 km</t>
        </is>
      </c>
      <c r="F6" s="33" t="inlineStr">
        <is>
          <t>联碱 · 55 万吨/年 · 45 km</t>
        </is>
      </c>
      <c r="G6" s="33" t="inlineStr">
        <is>
          <t>联碱 · 70 万吨/年 · 90 km</t>
        </is>
      </c>
      <c r="H6" s="33" t="inlineStr">
        <is>
          <t>联碱 · 60 万吨/年 · 330 km</t>
        </is>
      </c>
      <c r="I6" s="33" t="inlineStr">
        <is>
          <t>氨碱 · 340 万吨/年 · 1150 km</t>
        </is>
      </c>
      <c r="J6" s="33" t="inlineStr">
        <is>
          <t>联碱 · 330 万吨/年 · 780 km</t>
        </is>
      </c>
      <c r="K6" s="33" t="inlineStr">
        <is>
          <t>天然碱 · 680 万吨/年 · 1900 km</t>
        </is>
      </c>
      <c r="L6" s="33" t="inlineStr">
        <is>
          <t>天然碱 · 180 万吨/年 · 800 km</t>
        </is>
      </c>
      <c r="M6" s="33" t="inlineStr">
        <is>
          <t>氨碱 · 150 万吨/年 · 2400 km</t>
        </is>
      </c>
      <c r="N6" s="33" t="inlineStr">
        <is>
          <t>联碱 · 110 万吨/年 · 720 km</t>
        </is>
      </c>
      <c r="O6" s="33" t="inlineStr">
        <is>
          <t>氨碱 · 120 万吨/年 · 800 km</t>
        </is>
      </c>
    </row>
    <row r="7" ht="31.4" customHeight="1">
      <c r="A7" s="34" t="inlineStr">
        <is>
          <t>身份与区位</t>
        </is>
      </c>
      <c r="B7" s="35" t="inlineStr">
        <is>
          <t>企业全称</t>
        </is>
      </c>
      <c r="C7" s="21" t="inlineStr">
        <is>
          <t>山东海化股份有限公司</t>
        </is>
      </c>
      <c r="D7" s="21" t="inlineStr">
        <is>
          <t>连云港碱业有限公司</t>
        </is>
      </c>
      <c r="E7" s="21" t="inlineStr">
        <is>
          <t>江苏德邦化学工业集团有限公司</t>
        </is>
      </c>
      <c r="F7" s="21" t="inlineStr">
        <is>
          <t>中盐昆山有限公司</t>
        </is>
      </c>
      <c r="G7" s="21" t="inlineStr">
        <is>
          <t>江苏华昌化工股份有限公司</t>
        </is>
      </c>
      <c r="H7" s="21" t="inlineStr">
        <is>
          <t>江苏苏盐井神股份有限公司</t>
        </is>
      </c>
      <c r="I7" s="21" t="inlineStr">
        <is>
          <t>唐山三友化工股份有限公司</t>
        </is>
      </c>
      <c r="J7" s="21" t="inlineStr">
        <is>
          <t>河南金山化工集团（金大地化工）</t>
        </is>
      </c>
      <c r="K7" s="21" t="inlineStr">
        <is>
          <t>内蒙古远兴能源股份有限公司（博源化工）</t>
        </is>
      </c>
      <c r="L7" s="21" t="inlineStr">
        <is>
          <t>河南中源化学股份有限公司</t>
        </is>
      </c>
      <c r="M7" s="21" t="inlineStr">
        <is>
          <t>中盐青海昆仑碱业有限公司</t>
        </is>
      </c>
      <c r="N7" s="21" t="inlineStr">
        <is>
          <t>湖北双环科技股份有限公司</t>
        </is>
      </c>
      <c r="O7" s="21" t="inlineStr">
        <is>
          <t>山东海天生物化工有限公司（金晶集团）</t>
        </is>
      </c>
    </row>
    <row r="8" ht="44.59999999999999" customHeight="1">
      <c r="A8" s="36" t="n"/>
      <c r="B8" s="35" t="inlineStr">
        <is>
          <t>集团 / 实控人</t>
        </is>
      </c>
      <c r="C8" s="21" t="inlineStr">
        <is>
          <t>山东海化集团
潍坊市国资委</t>
        </is>
      </c>
      <c r="D8" s="21" t="inlineStr">
        <is>
          <t>连云港碱业有限公司
连云港市国资委（国有独资）</t>
        </is>
      </c>
      <c r="E8" s="21" t="inlineStr">
        <is>
          <t>江苏德邦化学工业集团
外商投资企业（实控人待核）</t>
        </is>
      </c>
      <c r="F8" s="21" t="inlineStr">
        <is>
          <t>中国盐业集团
中国盐业集团有限公司（全资）</t>
        </is>
      </c>
      <c r="G8" s="21" t="inlineStr">
        <is>
          <t>江苏华昌（集团）有限公司
江苏华昌集团（实控人待核）</t>
        </is>
      </c>
      <c r="H8" s="21" t="inlineStr">
        <is>
          <t>江苏省盐业集团
江苏省盐业集团（省属国企）</t>
        </is>
      </c>
      <c r="I8" s="21" t="inlineStr">
        <is>
          <t>唐山三友碱业（集团）
唐山市国资委</t>
        </is>
      </c>
      <c r="J8" s="21" t="inlineStr">
        <is>
          <t>河南金山化工集团
民营（实控人待核）</t>
        </is>
      </c>
      <c r="K8" s="21" t="inlineStr">
        <is>
          <t>内蒙古博源控股集团
戴连荣（博源集团）</t>
        </is>
      </c>
      <c r="L8" s="21" t="inlineStr">
        <is>
          <t>远兴能源（000683）
戴连荣（博源集团）</t>
        </is>
      </c>
      <c r="M8" s="21" t="inlineStr">
        <is>
          <t>中国盐业集团 / 中盐化工（600328）
中盐内蒙古化工 51% + 青海海西蒙西联 49%</t>
        </is>
      </c>
      <c r="N8" s="21" t="inlineStr">
        <is>
          <t>湖北双环化工集团
应城市国资（待核）</t>
        </is>
      </c>
      <c r="O8" s="21" t="inlineStr">
        <is>
          <t>金晶集团 / 金晶科技（600586）
金晶集团（王刚）</t>
        </is>
      </c>
    </row>
    <row r="9" ht="22" customHeight="1">
      <c r="A9" s="36" t="n"/>
      <c r="B9" s="35" t="inlineStr">
        <is>
          <t>股权性质</t>
        </is>
      </c>
      <c r="C9" s="21" t="inlineStr">
        <is>
          <t>地方国企</t>
        </is>
      </c>
      <c r="D9" s="21" t="inlineStr">
        <is>
          <t>地方国企</t>
        </is>
      </c>
      <c r="E9" s="21" t="inlineStr">
        <is>
          <t>外资/民营</t>
        </is>
      </c>
      <c r="F9" s="21" t="inlineStr">
        <is>
          <t>央企</t>
        </is>
      </c>
      <c r="G9" s="21" t="inlineStr">
        <is>
          <t>民营/集体</t>
        </is>
      </c>
      <c r="H9" s="21" t="inlineStr">
        <is>
          <t>省属国企</t>
        </is>
      </c>
      <c r="I9" s="21" t="inlineStr">
        <is>
          <t>地方国企</t>
        </is>
      </c>
      <c r="J9" s="21" t="inlineStr">
        <is>
          <t>民营</t>
        </is>
      </c>
      <c r="K9" s="21" t="inlineStr">
        <is>
          <t>民营</t>
        </is>
      </c>
      <c r="L9" s="21" t="inlineStr">
        <is>
          <t>民营（上市公司子公司）</t>
        </is>
      </c>
      <c r="M9" s="21" t="inlineStr">
        <is>
          <t>央企控股</t>
        </is>
      </c>
      <c r="N9" s="21" t="inlineStr">
        <is>
          <t>地方国企</t>
        </is>
      </c>
      <c r="O9" s="21" t="inlineStr">
        <is>
          <t>民营</t>
        </is>
      </c>
    </row>
    <row r="10" ht="44.59999999999999" customHeight="1">
      <c r="A10" s="36" t="n"/>
      <c r="B10" s="35" t="inlineStr">
        <is>
          <t>生产地</t>
        </is>
      </c>
      <c r="C10" s="21" t="inlineStr">
        <is>
          <t>山东 · 潍坊
潍坊滨海经济技术开发区（纯碱厂）</t>
        </is>
      </c>
      <c r="D10" s="21" t="inlineStr">
        <is>
          <t>江苏 · 连云港
灌云县临港产业区（搬迁升级项目）</t>
        </is>
      </c>
      <c r="E10" s="21" t="inlineStr">
        <is>
          <t>江苏 · 连云港
灌云县临港产业区（搬迁项目）</t>
        </is>
      </c>
      <c r="F10" s="21" t="inlineStr">
        <is>
          <t>江苏 · 苏州（昆山）
昆山市张浦镇振新东路 8 号</t>
        </is>
      </c>
      <c r="G10" s="21" t="inlineStr">
        <is>
          <t>江苏 · 苏州（张家港）
张家港市扬子江国际化学工业园南海路 1 号</t>
        </is>
      </c>
      <c r="H10" s="21" t="inlineStr">
        <is>
          <t>江苏 · 淮安
淮安市（井神盐矿基地）</t>
        </is>
      </c>
      <c r="I10" s="21" t="inlineStr">
        <is>
          <t>河北 · 唐山
唐山市南堡开发区</t>
        </is>
      </c>
      <c r="J10" s="21" t="inlineStr">
        <is>
          <t>河南 · 漯河
舞阳县盐化工园区</t>
        </is>
      </c>
      <c r="K10" s="21" t="inlineStr">
        <is>
          <t>内蒙古 · 阿拉善
阿拉善右旗塔木素（银根矿业）</t>
        </is>
      </c>
      <c r="L10" s="21" t="inlineStr">
        <is>
          <t>河南 · 南阳
桐柏县（安棚/吴城天然碱矿）</t>
        </is>
      </c>
      <c r="M10" s="21" t="inlineStr">
        <is>
          <t>青海 · 海西（德令哈）
德令哈市（柴达木循环经济试验区）</t>
        </is>
      </c>
      <c r="N10" s="21" t="inlineStr">
        <is>
          <t>湖北 · 孝感（应城）
应城市东马坊团结大道 26 号</t>
        </is>
      </c>
      <c r="O10" s="21" t="inlineStr">
        <is>
          <t>山东 · 潍坊
昌邑市滨海（下营）经济开发区金晶大道 1 号</t>
        </is>
      </c>
    </row>
    <row r="11" ht="22" customHeight="1">
      <c r="A11" s="36" t="n"/>
      <c r="B11" s="35" t="inlineStr">
        <is>
          <t>距苏州（km）</t>
        </is>
      </c>
      <c r="C11" s="22" t="n">
        <v>760</v>
      </c>
      <c r="D11" s="22" t="n">
        <v>400</v>
      </c>
      <c r="E11" s="22" t="n">
        <v>400</v>
      </c>
      <c r="F11" s="22" t="n">
        <v>45</v>
      </c>
      <c r="G11" s="22" t="n">
        <v>90</v>
      </c>
      <c r="H11" s="22" t="n">
        <v>330</v>
      </c>
      <c r="I11" s="22" t="n">
        <v>1150</v>
      </c>
      <c r="J11" s="22" t="n">
        <v>780</v>
      </c>
      <c r="K11" s="22" t="n">
        <v>1900</v>
      </c>
      <c r="L11" s="22" t="n">
        <v>800</v>
      </c>
      <c r="M11" s="22" t="n">
        <v>2400</v>
      </c>
      <c r="N11" s="22" t="n">
        <v>720</v>
      </c>
      <c r="O11" s="22" t="n">
        <v>800</v>
      </c>
    </row>
    <row r="12" ht="22" customHeight="1">
      <c r="A12" s="36" t="n"/>
      <c r="B12" s="35" t="inlineStr">
        <is>
          <t>运输方式</t>
        </is>
      </c>
      <c r="C12" s="21" t="inlineStr">
        <is>
          <t>汽运 / 铁路</t>
        </is>
      </c>
      <c r="D12" s="21" t="inlineStr">
        <is>
          <t>汽运 / 内河</t>
        </is>
      </c>
      <c r="E12" s="21" t="inlineStr">
        <is>
          <t>汽运 / 内河</t>
        </is>
      </c>
      <c r="F12" s="21" t="inlineStr">
        <is>
          <t>汽运</t>
        </is>
      </c>
      <c r="G12" s="21" t="inlineStr">
        <is>
          <t>汽运 / 水运</t>
        </is>
      </c>
      <c r="H12" s="21" t="inlineStr">
        <is>
          <t>汽运 / 运河</t>
        </is>
      </c>
      <c r="I12" s="21" t="inlineStr">
        <is>
          <t>汽运 / 铁路 / 水运</t>
        </is>
      </c>
      <c r="J12" s="21" t="inlineStr">
        <is>
          <t>汽运 / 铁路</t>
        </is>
      </c>
      <c r="K12" s="21" t="inlineStr">
        <is>
          <t>铁路 / 汽运</t>
        </is>
      </c>
      <c r="L12" s="21" t="inlineStr">
        <is>
          <t>铁路 / 汽运</t>
        </is>
      </c>
      <c r="M12" s="21" t="inlineStr">
        <is>
          <t>铁路 / 汽运</t>
        </is>
      </c>
      <c r="N12" s="21" t="inlineStr">
        <is>
          <t>汽运 / 铁路</t>
        </is>
      </c>
      <c r="O12" s="21" t="inlineStr">
        <is>
          <t>汽运 / 铁路</t>
        </is>
      </c>
    </row>
    <row r="13" ht="22" customHeight="1">
      <c r="A13" s="37" t="n"/>
      <c r="B13" s="35" t="inlineStr">
        <is>
          <t>估算运费中值（元/吨）</t>
        </is>
      </c>
      <c r="C13" s="22" t="n">
        <v>280</v>
      </c>
      <c r="D13" s="22" t="n">
        <v>135</v>
      </c>
      <c r="E13" s="22" t="n">
        <v>135</v>
      </c>
      <c r="F13" s="22" t="n">
        <v>24</v>
      </c>
      <c r="G13" s="22" t="n">
        <v>32</v>
      </c>
      <c r="H13" s="22" t="n">
        <v>115</v>
      </c>
      <c r="I13" s="22" t="n">
        <v>370</v>
      </c>
      <c r="J13" s="22" t="n">
        <v>295</v>
      </c>
      <c r="K13" s="22" t="n">
        <v>640</v>
      </c>
      <c r="L13" s="22" t="n">
        <v>310</v>
      </c>
      <c r="M13" s="22" t="n">
        <v>800</v>
      </c>
      <c r="N13" s="22" t="n">
        <v>280</v>
      </c>
      <c r="O13" s="22" t="n">
        <v>295</v>
      </c>
    </row>
    <row r="14" ht="22" customHeight="1">
      <c r="A14" s="34" t="inlineStr">
        <is>
          <t>产能与产品</t>
        </is>
      </c>
      <c r="B14" s="35" t="inlineStr">
        <is>
          <t>工艺</t>
        </is>
      </c>
      <c r="C14" s="22" t="inlineStr">
        <is>
          <t>氨碱</t>
        </is>
      </c>
      <c r="D14" s="22" t="inlineStr">
        <is>
          <t>联碱</t>
        </is>
      </c>
      <c r="E14" s="22" t="inlineStr">
        <is>
          <t>联碱</t>
        </is>
      </c>
      <c r="F14" s="22" t="inlineStr">
        <is>
          <t>联碱</t>
        </is>
      </c>
      <c r="G14" s="22" t="inlineStr">
        <is>
          <t>联碱</t>
        </is>
      </c>
      <c r="H14" s="22" t="inlineStr">
        <is>
          <t>联碱</t>
        </is>
      </c>
      <c r="I14" s="22" t="inlineStr">
        <is>
          <t>氨碱</t>
        </is>
      </c>
      <c r="J14" s="22" t="inlineStr">
        <is>
          <t>联碱</t>
        </is>
      </c>
      <c r="K14" s="22" t="inlineStr">
        <is>
          <t>天然碱</t>
        </is>
      </c>
      <c r="L14" s="22" t="inlineStr">
        <is>
          <t>天然碱</t>
        </is>
      </c>
      <c r="M14" s="22" t="inlineStr">
        <is>
          <t>氨碱</t>
        </is>
      </c>
      <c r="N14" s="22" t="inlineStr">
        <is>
          <t>联碱</t>
        </is>
      </c>
      <c r="O14" s="22" t="inlineStr">
        <is>
          <t>氨碱</t>
        </is>
      </c>
    </row>
    <row r="15" ht="31.4" customHeight="1">
      <c r="A15" s="36" t="n"/>
      <c r="B15" s="35" t="inlineStr">
        <is>
          <t>重质纯碱产能（万吨/年）</t>
        </is>
      </c>
      <c r="C15" s="22" t="n">
        <v>280</v>
      </c>
      <c r="D15" s="22" t="n">
        <v>110</v>
      </c>
      <c r="E15" s="22" t="n">
        <v>60</v>
      </c>
      <c r="F15" s="22" t="n">
        <v>55</v>
      </c>
      <c r="G15" s="22" t="n">
        <v>70</v>
      </c>
      <c r="H15" s="22" t="n">
        <v>60</v>
      </c>
      <c r="I15" s="22" t="n">
        <v>340</v>
      </c>
      <c r="J15" s="22" t="n">
        <v>330</v>
      </c>
      <c r="K15" s="22" t="n">
        <v>680</v>
      </c>
      <c r="L15" s="22" t="n">
        <v>180</v>
      </c>
      <c r="M15" s="22" t="n">
        <v>150</v>
      </c>
      <c r="N15" s="22" t="n">
        <v>110</v>
      </c>
      <c r="O15" s="22" t="n">
        <v>120</v>
      </c>
    </row>
    <row r="16" ht="31.4" customHeight="1">
      <c r="A16" s="36" t="n"/>
      <c r="B16" s="35" t="inlineStr">
        <is>
          <t>重质 / 品牌</t>
        </is>
      </c>
      <c r="C16" s="21" t="inlineStr">
        <is>
          <t>重质为主 / 鸢都牌</t>
        </is>
      </c>
      <c r="D16" s="21" t="inlineStr">
        <is>
          <t>重质约 80 万吨 / 长江三角牌</t>
        </is>
      </c>
      <c r="E16" s="21" t="inlineStr">
        <is>
          <t>重质比例待核 / 德邦（待核）</t>
        </is>
      </c>
      <c r="F16" s="21" t="inlineStr">
        <is>
          <t>轻质/重质/定制 / 佳穗牌</t>
        </is>
      </c>
      <c r="G16" s="21" t="inlineStr">
        <is>
          <t>重质比例待核 / 华昌（待核）</t>
        </is>
      </c>
      <c r="H16" s="21" t="inlineStr">
        <is>
          <t>重质比例待核 / 井神牌</t>
        </is>
      </c>
      <c r="I16" s="21" t="inlineStr">
        <is>
          <t>重质为主 / 三友牌</t>
        </is>
      </c>
      <c r="J16" s="21" t="inlineStr">
        <is>
          <t>重质比例待核 / 金山牌</t>
        </is>
      </c>
      <c r="K16" s="21" t="inlineStr">
        <is>
          <t>重质可产 / 远兴牌</t>
        </is>
      </c>
      <c r="L16" s="21" t="inlineStr">
        <is>
          <t>重质可产 / 中天牌</t>
        </is>
      </c>
      <c r="M16" s="21" t="inlineStr">
        <is>
          <t>重质为主 / 昆仑雪牌</t>
        </is>
      </c>
      <c r="N16" s="21" t="inlineStr">
        <is>
          <t>重质比例待核 / 双环（待核）</t>
        </is>
      </c>
      <c r="O16" s="21" t="inlineStr">
        <is>
          <t>重质为主 / 金晶牌</t>
        </is>
      </c>
    </row>
    <row r="17" ht="31.4" customHeight="1">
      <c r="A17" s="37" t="n"/>
      <c r="B17" s="35" t="inlineStr">
        <is>
          <t>主营产品</t>
        </is>
      </c>
      <c r="C17" s="21" t="inlineStr">
        <is>
          <t>纯碱、原盐、烧碱、溴素、氯化钙、小苏打</t>
        </is>
      </c>
      <c r="D17" s="21" t="inlineStr">
        <is>
          <t>重质纯碱、轻质纯碱、氯化铵、合成氨</t>
        </is>
      </c>
      <c r="E17" s="21" t="inlineStr">
        <is>
          <t>纯碱、氯化铵、合成氨、精细化工</t>
        </is>
      </c>
      <c r="F17" s="21" t="inlineStr">
        <is>
          <t>纯碱、氯化铵、蒸汽</t>
        </is>
      </c>
      <c r="G17" s="21" t="inlineStr">
        <is>
          <t>纯碱、氯化铵、尿素、复合肥、多元醇</t>
        </is>
      </c>
      <c r="H17" s="21" t="inlineStr">
        <is>
          <t>食盐、工业盐、纯碱、元明粉、氯化钙</t>
        </is>
      </c>
      <c r="I17" s="21" t="inlineStr">
        <is>
          <t>纯碱、粘胶短纤、烧碱、PVC、有机硅</t>
        </is>
      </c>
      <c r="J17" s="21" t="inlineStr">
        <is>
          <t>纯碱、氯化铵、工业盐、合成氨、三聚氰胺、小苏打</t>
        </is>
      </c>
      <c r="K17" s="21" t="inlineStr">
        <is>
          <t>纯碱、小苏打、尿素</t>
        </is>
      </c>
      <c r="L17" s="21" t="inlineStr">
        <is>
          <t>纯碱、小苏打</t>
        </is>
      </c>
      <c r="M17" s="21" t="inlineStr">
        <is>
          <t>纯碱、氯化钙</t>
        </is>
      </c>
      <c r="N17" s="21" t="inlineStr">
        <is>
          <t>纯碱、氯化铵、复合肥</t>
        </is>
      </c>
      <c r="O17" s="21" t="inlineStr">
        <is>
          <t>纯碱、小苏打、小苏打日化用品</t>
        </is>
      </c>
    </row>
    <row r="18" ht="31.4" customHeight="1">
      <c r="A18" s="34" t="inlineStr">
        <is>
          <t>规模与财务</t>
        </is>
      </c>
      <c r="B18" s="35" t="inlineStr">
        <is>
          <t>2025 营收（亿元）</t>
        </is>
      </c>
      <c r="C18" s="22" t="inlineStr">
        <is>
          <t>47.45</t>
        </is>
      </c>
      <c r="D18" s="22" t="inlineStr">
        <is>
          <t>未披露</t>
        </is>
      </c>
      <c r="E18" s="22" t="inlineStr">
        <is>
          <t>未披露</t>
        </is>
      </c>
      <c r="F18" s="22" t="inlineStr">
        <is>
          <t>约 10（历史口径）</t>
        </is>
      </c>
      <c r="G18" s="22" t="inlineStr">
        <is>
          <t>待核</t>
        </is>
      </c>
      <c r="H18" s="22" t="inlineStr">
        <is>
          <t>待核</t>
        </is>
      </c>
      <c r="I18" s="22" t="inlineStr">
        <is>
          <t>待核</t>
        </is>
      </c>
      <c r="J18" s="22" t="inlineStr">
        <is>
          <t>未披露（固定资产 101 亿元）</t>
        </is>
      </c>
      <c r="K18" s="22" t="inlineStr">
        <is>
          <t>86.56（2025 前三季）</t>
        </is>
      </c>
      <c r="L18" s="22" t="inlineStr">
        <is>
          <t>未单独披露</t>
        </is>
      </c>
      <c r="M18" s="22" t="inlineStr">
        <is>
          <t>未单独披露</t>
        </is>
      </c>
      <c r="N18" s="22" t="inlineStr">
        <is>
          <t>待核</t>
        </is>
      </c>
      <c r="O18" s="22" t="inlineStr">
        <is>
          <t>未披露</t>
        </is>
      </c>
    </row>
    <row r="19" ht="31.4" customHeight="1">
      <c r="A19" s="36" t="n"/>
      <c r="B19" s="35" t="inlineStr">
        <is>
          <t>2025 净利（亿元）</t>
        </is>
      </c>
      <c r="C19" s="22" t="inlineStr">
        <is>
          <t>-13.88</t>
        </is>
      </c>
      <c r="D19" s="22" t="inlineStr">
        <is>
          <t>未披露</t>
        </is>
      </c>
      <c r="E19" s="22" t="inlineStr">
        <is>
          <t>未披露</t>
        </is>
      </c>
      <c r="F19" s="22" t="inlineStr">
        <is>
          <t>未披露</t>
        </is>
      </c>
      <c r="G19" s="22" t="inlineStr">
        <is>
          <t>待核</t>
        </is>
      </c>
      <c r="H19" s="22" t="inlineStr">
        <is>
          <t>待核</t>
        </is>
      </c>
      <c r="I19" s="22" t="inlineStr">
        <is>
          <t>约 0.90（按分红比例推算）</t>
        </is>
      </c>
      <c r="J19" s="22" t="inlineStr">
        <is>
          <t>未披露</t>
        </is>
      </c>
      <c r="K19" s="22" t="inlineStr">
        <is>
          <t>10.62（归母，前三季）</t>
        </is>
      </c>
      <c r="L19" s="22" t="inlineStr">
        <is>
          <t>未单独披露</t>
        </is>
      </c>
      <c r="M19" s="22" t="inlineStr">
        <is>
          <t>未单独披露</t>
        </is>
      </c>
      <c r="N19" s="22" t="inlineStr">
        <is>
          <t>-0.015（2025 年归母净利 -153 万元）</t>
        </is>
      </c>
      <c r="O19" s="22" t="inlineStr">
        <is>
          <t>未披露</t>
        </is>
      </c>
    </row>
    <row r="20" ht="22" customHeight="1">
      <c r="A20" s="37" t="n"/>
      <c r="B20" s="35" t="inlineStr">
        <is>
          <t>员工（公开）</t>
        </is>
      </c>
      <c r="C20" s="21" t="inlineStr">
        <is>
          <t>纯碱厂 1,886 人</t>
        </is>
      </c>
      <c r="D20" s="21" t="inlineStr">
        <is>
          <t>约 2,000（待核）</t>
        </is>
      </c>
      <c r="E20" s="21" t="inlineStr">
        <is>
          <t>约 2,000（待核）</t>
        </is>
      </c>
      <c r="F20" s="21" t="inlineStr">
        <is>
          <t>730</t>
        </is>
      </c>
      <c r="G20" s="21" t="inlineStr">
        <is>
          <t>约 3,000（待核）</t>
        </is>
      </c>
      <c r="H20" s="21" t="inlineStr">
        <is>
          <t>约 5,000（待核）</t>
        </is>
      </c>
      <c r="I20" s="21" t="inlineStr">
        <is>
          <t>约 1.2 万（集团，待核）</t>
        </is>
      </c>
      <c r="J20" s="21" t="inlineStr">
        <is>
          <t>约 5,000（待核）</t>
        </is>
      </c>
      <c r="K20" s="21" t="inlineStr">
        <is>
          <t>约 6,000（待核）</t>
        </is>
      </c>
      <c r="L20" s="21" t="inlineStr">
        <is>
          <t>约 3,000（待核）</t>
        </is>
      </c>
      <c r="M20" s="21" t="inlineStr">
        <is>
          <t>1,400</t>
        </is>
      </c>
      <c r="N20" s="21" t="inlineStr">
        <is>
          <t>约 3,000（待核）</t>
        </is>
      </c>
      <c r="O20" s="21" t="inlineStr">
        <is>
          <t>约 1,000（待核）</t>
        </is>
      </c>
    </row>
    <row r="21" ht="31.4" customHeight="1">
      <c r="A21" s="34" t="inlineStr">
        <is>
          <t>资质与规格</t>
        </is>
      </c>
      <c r="B21" s="35" t="inlineStr">
        <is>
          <t>郑商所纯碱免检交割品牌</t>
        </is>
      </c>
      <c r="C21" s="22" t="inlineStr">
        <is>
          <t>是</t>
        </is>
      </c>
      <c r="D21" s="22" t="inlineStr">
        <is>
          <t>是</t>
        </is>
      </c>
      <c r="E21" s="22" t="inlineStr">
        <is>
          <t>否</t>
        </is>
      </c>
      <c r="F21" s="22" t="inlineStr">
        <is>
          <t>否</t>
        </is>
      </c>
      <c r="G21" s="22" t="inlineStr">
        <is>
          <t>否</t>
        </is>
      </c>
      <c r="H21" s="22" t="inlineStr">
        <is>
          <t>是</t>
        </is>
      </c>
      <c r="I21" s="22" t="inlineStr">
        <is>
          <t>是</t>
        </is>
      </c>
      <c r="J21" s="22" t="inlineStr">
        <is>
          <t>是</t>
        </is>
      </c>
      <c r="K21" s="22" t="inlineStr">
        <is>
          <t>否</t>
        </is>
      </c>
      <c r="L21" s="22" t="inlineStr">
        <is>
          <t>是</t>
        </is>
      </c>
      <c r="M21" s="22" t="inlineStr">
        <is>
          <t>是</t>
        </is>
      </c>
      <c r="N21" s="22" t="inlineStr">
        <is>
          <t>否</t>
        </is>
      </c>
      <c r="O21" s="22" t="inlineStr">
        <is>
          <t>是</t>
        </is>
      </c>
    </row>
    <row r="22" ht="22" customHeight="1">
      <c r="A22" s="36" t="n"/>
      <c r="B22" s="35" t="inlineStr">
        <is>
          <t>规格兼容性</t>
        </is>
      </c>
      <c r="C22" s="22" t="inlineStr">
        <is>
          <t>基准</t>
        </is>
      </c>
      <c r="D22" s="22" t="inlineStr">
        <is>
          <t>中高</t>
        </is>
      </c>
      <c r="E22" s="22" t="inlineStr">
        <is>
          <t>中</t>
        </is>
      </c>
      <c r="F22" s="22" t="inlineStr">
        <is>
          <t>中高</t>
        </is>
      </c>
      <c r="G22" s="22" t="inlineStr">
        <is>
          <t>中高</t>
        </is>
      </c>
      <c r="H22" s="22" t="inlineStr">
        <is>
          <t>中高</t>
        </is>
      </c>
      <c r="I22" s="22" t="inlineStr">
        <is>
          <t>高</t>
        </is>
      </c>
      <c r="J22" s="22" t="inlineStr">
        <is>
          <t>中高</t>
        </is>
      </c>
      <c r="K22" s="22" t="inlineStr">
        <is>
          <t>中</t>
        </is>
      </c>
      <c r="L22" s="22" t="inlineStr">
        <is>
          <t>中</t>
        </is>
      </c>
      <c r="M22" s="22" t="inlineStr">
        <is>
          <t>中高</t>
        </is>
      </c>
      <c r="N22" s="22" t="inlineStr">
        <is>
          <t>中</t>
        </is>
      </c>
      <c r="O22" s="22" t="inlineStr">
        <is>
          <t>高</t>
        </is>
      </c>
    </row>
    <row r="23" ht="22" customHeight="1">
      <c r="A23" s="36" t="n"/>
      <c r="B23" s="35" t="inlineStr">
        <is>
          <t>试样要求</t>
        </is>
      </c>
      <c r="C23" s="22" t="inlineStr">
        <is>
          <t>—</t>
        </is>
      </c>
      <c r="D23" s="22" t="inlineStr">
        <is>
          <t>必须</t>
        </is>
      </c>
      <c r="E23" s="22" t="inlineStr">
        <is>
          <t>必须</t>
        </is>
      </c>
      <c r="F23" s="22" t="inlineStr">
        <is>
          <t>建议</t>
        </is>
      </c>
      <c r="G23" s="22" t="inlineStr">
        <is>
          <t>建议</t>
        </is>
      </c>
      <c r="H23" s="22" t="inlineStr">
        <is>
          <t>建议</t>
        </is>
      </c>
      <c r="I23" s="22" t="inlineStr">
        <is>
          <t>建议</t>
        </is>
      </c>
      <c r="J23" s="22" t="inlineStr">
        <is>
          <t>建议</t>
        </is>
      </c>
      <c r="K23" s="22" t="inlineStr">
        <is>
          <t>必须</t>
        </is>
      </c>
      <c r="L23" s="22" t="inlineStr">
        <is>
          <t>必须</t>
        </is>
      </c>
      <c r="M23" s="22" t="inlineStr">
        <is>
          <t>必须</t>
        </is>
      </c>
      <c r="N23" s="22" t="inlineStr">
        <is>
          <t>必须</t>
        </is>
      </c>
      <c r="O23" s="22" t="inlineStr">
        <is>
          <t>建议</t>
        </is>
      </c>
    </row>
    <row r="24" ht="57.8" customHeight="1">
      <c r="A24" s="37" t="n"/>
      <c r="B24" s="35" t="inlineStr">
        <is>
          <t>风险摘要 / 公开动态</t>
        </is>
      </c>
      <c r="C24" s="21" t="inlineStr">
        <is>
          <t>2025 年营收 47.45 亿元、归母净利 -13.88 亿元；纯碱营收同比 -26.31%；氨碱工艺成本高于天然碱/联碱；单一基地。</t>
        </is>
      </c>
      <c r="D24" s="21" t="inlineStr">
        <is>
          <t>新装置 2025 年 5 月贯通、负荷爬坡；单一基地；财务未公开；搬迁后老厂人员/债务安排待核。</t>
        </is>
      </c>
      <c r="E24" s="21" t="inlineStr">
        <is>
          <t>新装置达产时间短；非免检品牌；外资股权结构与实控人待穿透；与安徽德邦同源关系待核。</t>
        </is>
      </c>
      <c r="F24" s="21" t="inlineStr">
        <is>
          <t>规模 55 万吨；非免检品牌；昆山城区周边环保/搬迁约束；中盐集团统一销售与价格授权待核。</t>
        </is>
      </c>
      <c r="G24" s="21" t="inlineStr">
        <is>
          <t>纯碱为联碱板块之一；非免检；2025 年财务待核；长江沿线环保管控。</t>
        </is>
      </c>
      <c r="H24" s="21" t="inlineStr">
        <is>
          <t>纯碱为盐化工副线、产能 60 万吨；2025 年纯碱价格下行；运河运输受水位/季节影响。</t>
        </is>
      </c>
      <c r="I24" s="21" t="inlineStr">
        <is>
          <t>2025 年净利约 0.90 亿元（按分红比例推算），微利；唐山环保限产；氨碱成本高；运距 1,150 km。</t>
        </is>
      </c>
      <c r="J24" s="21" t="inlineStr">
        <is>
          <t>2024 年退出获嘉 40/孟州 30 万吨；河南环保/能耗管控；需锁定舞阳厂区与供货主体。</t>
        </is>
      </c>
      <c r="K24" s="21" t="inlineStr">
        <is>
          <t>非免检品牌；阿拉善装置曾因设备故障降负荷；运距 1,900 km；与中源化学同源，不能构成独立第二源。</t>
        </is>
      </c>
      <c r="L24" s="21" t="inlineStr">
        <is>
          <t>与远兴同源（远兴持股 81.71%），不构成独立第二源；天然碱粒度/白度需验证。</t>
        </is>
      </c>
      <c r="M24" s="21" t="inlineStr">
        <is>
          <t>运距 2,400 km，铁路车皮与季节性运输风险；中盐化工 2025 年净利低位；高海拔装置。</t>
        </is>
      </c>
      <c r="N24" s="21" t="inlineStr">
        <is>
          <t>2025 年归母净利 -153 万元，2026H1 预亏 0.55–0.85 亿元；装置老化；非免检。</t>
        </is>
      </c>
      <c r="O24" s="21" t="inlineStr">
        <is>
          <t>与金晶科技（玻璃）同集团，向下游玻璃客户供货存在竞争/优先内部供应；运距 800 km。</t>
        </is>
      </c>
    </row>
    <row r="25" ht="22" customHeight="1">
      <c r="A25" s="34" t="inlineStr">
        <is>
          <t>风险与同源</t>
        </is>
      </c>
      <c r="B25" s="35" t="inlineStr">
        <is>
          <t>风险等级</t>
        </is>
      </c>
      <c r="C25" s="22" t="inlineStr">
        <is>
          <t>中高</t>
        </is>
      </c>
      <c r="D25" s="22" t="inlineStr">
        <is>
          <t>中</t>
        </is>
      </c>
      <c r="E25" s="22" t="inlineStr">
        <is>
          <t>中高</t>
        </is>
      </c>
      <c r="F25" s="22" t="inlineStr">
        <is>
          <t>中</t>
        </is>
      </c>
      <c r="G25" s="22" t="inlineStr">
        <is>
          <t>低</t>
        </is>
      </c>
      <c r="H25" s="22" t="inlineStr">
        <is>
          <t>低</t>
        </is>
      </c>
      <c r="I25" s="22" t="inlineStr">
        <is>
          <t>中</t>
        </is>
      </c>
      <c r="J25" s="22" t="inlineStr">
        <is>
          <t>中</t>
        </is>
      </c>
      <c r="K25" s="22" t="inlineStr">
        <is>
          <t>中高</t>
        </is>
      </c>
      <c r="L25" s="22" t="inlineStr">
        <is>
          <t>中高</t>
        </is>
      </c>
      <c r="M25" s="22" t="inlineStr">
        <is>
          <t>中高</t>
        </is>
      </c>
      <c r="N25" s="22" t="inlineStr">
        <is>
          <t>高</t>
        </is>
      </c>
      <c r="O25" s="22" t="inlineStr">
        <is>
          <t>中</t>
        </is>
      </c>
    </row>
    <row r="26" ht="22" customHeight="1">
      <c r="A26" s="36" t="n"/>
      <c r="B26" s="35" t="inlineStr">
        <is>
          <t>风险分（1–5，低=好）</t>
        </is>
      </c>
      <c r="C26" s="22" t="n">
        <v>4</v>
      </c>
      <c r="D26" s="22" t="n">
        <v>3</v>
      </c>
      <c r="E26" s="22" t="n">
        <v>4</v>
      </c>
      <c r="F26" s="22" t="n">
        <v>3</v>
      </c>
      <c r="G26" s="22" t="n">
        <v>2</v>
      </c>
      <c r="H26" s="22" t="n">
        <v>2</v>
      </c>
      <c r="I26" s="22" t="n">
        <v>3</v>
      </c>
      <c r="J26" s="22" t="n">
        <v>3</v>
      </c>
      <c r="K26" s="22" t="n">
        <v>4</v>
      </c>
      <c r="L26" s="22" t="n">
        <v>4</v>
      </c>
      <c r="M26" s="22" t="n">
        <v>4</v>
      </c>
      <c r="N26" s="22" t="n">
        <v>5</v>
      </c>
      <c r="O26" s="22" t="n">
        <v>3</v>
      </c>
    </row>
    <row r="27" ht="31.4" customHeight="1">
      <c r="A27" s="36" t="n"/>
      <c r="B27" s="35" t="inlineStr">
        <is>
          <t>同源关系</t>
        </is>
      </c>
      <c r="C27" s="21" t="inlineStr">
        <is>
          <t>无</t>
        </is>
      </c>
      <c r="D27" s="21" t="inlineStr">
        <is>
          <t>无</t>
        </is>
      </c>
      <c r="E27" s="21" t="inlineStr">
        <is>
          <t>待核（与安徽德邦可能同集团）</t>
        </is>
      </c>
      <c r="F27" s="21" t="inlineStr">
        <is>
          <t>中盐集团（与昆仑碱业同集团）</t>
        </is>
      </c>
      <c r="G27" s="21" t="inlineStr">
        <is>
          <t>无</t>
        </is>
      </c>
      <c r="H27" s="21" t="inlineStr">
        <is>
          <t>无</t>
        </is>
      </c>
      <c r="I27" s="21" t="inlineStr">
        <is>
          <t>无</t>
        </is>
      </c>
      <c r="J27" s="21" t="inlineStr">
        <is>
          <t>金山集团内多厂区</t>
        </is>
      </c>
      <c r="K27" s="21" t="inlineStr">
        <is>
          <t>与中源化学同源（母子公司）</t>
        </is>
      </c>
      <c r="L27" s="21" t="inlineStr">
        <is>
          <t>与远兴能源同源（母子公司）</t>
        </is>
      </c>
      <c r="M27" s="21" t="inlineStr">
        <is>
          <t>中盐集团（与中盐昆山同集团）</t>
        </is>
      </c>
      <c r="N27" s="21" t="inlineStr">
        <is>
          <t>无</t>
        </is>
      </c>
      <c r="O27" s="21" t="inlineStr">
        <is>
          <t>金晶集团（与金晶科技同源）</t>
        </is>
      </c>
    </row>
    <row r="28" ht="57.8" customHeight="1">
      <c r="A28" s="36" t="n"/>
      <c r="B28" s="35" t="inlineStr">
        <is>
          <t>同源说明</t>
        </is>
      </c>
      <c r="C28" s="21" t="inlineStr">
        <is>
          <t>海化集团体系内无第二纯碱上市平台；与山东海天生物（金晶集团）不是同一集团，名称易混淆。</t>
        </is>
      </c>
      <c r="D28" s="21" t="inlineStr">
        <is>
          <t>连云港市国资独资；与江苏德邦同处灌云临港，但股权不同源。</t>
        </is>
      </c>
      <c r="E28" s="21" t="inlineStr">
        <is>
          <t>江苏德邦与安徽德邦化工是否同属一个集团、是否共用销售主体，需以股权穿透核实。</t>
        </is>
      </c>
      <c r="F28" s="21" t="inlineStr">
        <is>
          <t>中盐昆山为中盐集团全资；昆仑碱业由中盐化工（600328）持股 51%。同集团、不同法人/基地，独立性有限。</t>
        </is>
      </c>
      <c r="G28" s="21" t="inlineStr">
        <is>
          <t>华昌集团体系内仅华昌化工一个纯碱平台。</t>
        </is>
      </c>
      <c r="H28" s="21" t="inlineStr">
        <is>
          <t>江苏省盐业集团体系内无第二纯碱平台。</t>
        </is>
      </c>
      <c r="I28" s="21" t="inlineStr">
        <is>
          <t>三友集团体系内仅三友化工一个纯碱上市平台。</t>
        </is>
      </c>
      <c r="J28" s="21" t="inlineStr">
        <is>
          <t>金山集团曾有孟州、获嘉、舞阳厂区；2024 年退出获嘉 40 万吨、孟州 30 万吨。池内仅舞阳，报价须锁定厂区。</t>
        </is>
      </c>
      <c r="K28" s="21" t="inlineStr">
        <is>
          <t>远兴能源 2014 年收购中源化学 81.71%，中源为并表子公司；两者只能算一个供应源。</t>
        </is>
      </c>
      <c r="L28" s="21" t="inlineStr">
        <is>
          <t>远兴能源持股 81.71%（2014 年收购），中源化学为并表子公司；与远兴同时入选不构成两个独立供应源。</t>
        </is>
      </c>
      <c r="M28" s="21" t="inlineStr">
        <is>
          <t>昆仑碱业由中盐化工（600328）持股 51%；中盐昆山为中盐集团全资。同集团、不同法人/基地，独立性有限。</t>
        </is>
      </c>
      <c r="N28" s="21" t="inlineStr">
        <is>
          <t>双环集团体系内无第二纯碱平台。</t>
        </is>
      </c>
      <c r="O28" s="21" t="inlineStr">
        <is>
          <t>海天生物为金晶科技（600586）全资子公司；金晶科技本身是浮法/超白玻璃生产商，与玻璃客户存在纵向竞争。</t>
        </is>
      </c>
    </row>
    <row r="29" ht="57.8" customHeight="1">
      <c r="A29" s="37" t="n"/>
      <c r="B29" s="35" t="inlineStr">
        <is>
          <t>需人工核实</t>
        </is>
      </c>
      <c r="C29" s="21" t="inlineStr">
        <is>
          <t>2026 年长协/月度报价政策；纯碱装置检修计划；食品级 SC 证与光伏客户审核报告</t>
        </is>
      </c>
      <c r="D29" s="21" t="inlineStr">
        <is>
          <t>新线重质比例、粒度分布、白度；食品生产许可（SC）；2026 年长协政策与最小起订量；铁路专用线/内河码头条件</t>
        </is>
      </c>
      <c r="E29" s="21" t="inlineStr">
        <is>
          <t>股权穿透/实际控制人；新线达产与重质比例；免检品牌申请进度；食品生产许可</t>
        </is>
      </c>
      <c r="F29" s="21" t="inlineStr">
        <is>
          <t>食品生产许可与光伏客户审核；55 万吨实际年产量/重质比例；中盐统一销售政策；环保搬迁/限产计划</t>
        </is>
      </c>
      <c r="G29" s="21" t="inlineStr">
        <is>
          <t>2025 年纯碱板块毛利；重质比例；ISO/食品生产许可；码头/水运条件</t>
        </is>
      </c>
      <c r="H29" s="21" t="inlineStr">
        <is>
          <t>2025 年纯碱产量/重质比例；运河运输与到货周期；食品生产许可</t>
        </is>
      </c>
      <c r="I29" s="21" t="inlineStr">
        <is>
          <t>2025 年纯碱产量/库存；唐山限产影响；食品生产许可；铁路发运计划</t>
        </is>
      </c>
      <c r="J29" s="21" t="inlineStr">
        <is>
          <t>舞阳厂区实际在产产能；重质比例；食品生产许可；环保绩效等级</t>
        </is>
      </c>
      <c r="K29" s="21" t="inlineStr">
        <is>
          <t>到货粒度/白度/水不溶物；非免检交割/检验流程；二期达产进度；铁路计划与到货周期</t>
        </is>
      </c>
      <c r="L29" s="21" t="inlineStr">
        <is>
          <t>与远兴的销售主体/价格政策；粒度分布/白度；食品生产许可</t>
        </is>
      </c>
      <c r="M29" s="21" t="inlineStr">
        <is>
          <t>铁路发运周期；到货结块/粒度；食品生产许可；中盐销售政策</t>
        </is>
      </c>
      <c r="N29" s="21" t="inlineStr">
        <is>
          <t>2026 年现金流/检修计划；重质比例；食品生产许可；40 万吨扩建进度</t>
        </is>
      </c>
      <c r="O29" s="21" t="inlineStr">
        <is>
          <t>对玻璃客户供货政策；重质比例；食品生产许可；金晶内部采购占比</t>
        </is>
      </c>
    </row>
    <row r="30" ht="71" customHeight="1">
      <c r="A30" s="38" t="inlineStr">
        <is>
          <t>差异判断</t>
        </is>
      </c>
      <c r="B30" s="35" t="inlineStr">
        <is>
          <t>与山东海化差异</t>
        </is>
      </c>
      <c r="C30" s="21" t="inlineStr">
        <is>
          <t>基准：氨碱 280 万吨、免检“鸢都牌”、距苏州约 760 km；2025 年归母净利 -13.88 亿元。</t>
        </is>
      </c>
      <c r="D30" s="21" t="inlineStr">
        <is>
          <t>工艺由氨碱转为联碱；运距缩短约 360 km；产能为海化的 39%；保留免检品牌“长江三角”；2025 年新装置，重质比例与粒度必须首样验证。</t>
        </is>
      </c>
      <c r="E30" s="21" t="inlineStr">
        <is>
          <t>运距缩短约 360 km；产能 60 万吨（海化的 21%）；联碱新装置 2025 年 2 月出货；非免检品牌，需全项检验。</t>
        </is>
      </c>
      <c r="F30" s="21" t="inlineStr">
        <is>
          <t>运距缩短约 715 km，同城配送；产能 55 万吨（海化的 20%）；中盐全资；非免检，粒度/铁含量需验证。</t>
        </is>
      </c>
      <c r="G30" s="21" t="inlineStr">
        <is>
          <t>运距缩短约 670 km；产能 70 万吨（海化的 25%）；联碱；非免检；张家港水运便利。</t>
        </is>
      </c>
      <c r="H30" s="21" t="inlineStr">
        <is>
          <t>运距缩短约 430 km；产能 60 万吨（海化的 21%）；免检“井神牌”；纯碱为盐化工副线。</t>
        </is>
      </c>
      <c r="I30" s="21" t="inlineStr">
        <is>
          <t>同为氨碱工艺，规格最接近；产能 340 万吨（海化的 121%）；运距增加约 390 km；免检“三友牌”；2025 年微利。</t>
        </is>
      </c>
      <c r="J30" s="21" t="inlineStr">
        <is>
          <t>联碱龙头，产能 330 万吨（海化的 118%）；运距相当；免检“金山牌”；需锁定舞阳厂区货源。</t>
        </is>
      </c>
      <c r="K30" s="21" t="inlineStr">
        <is>
          <t>天然碱，成本最低；产能 680 万吨（海化的 243%）；运距增加约 1,140 km；“远兴牌”非免检；与中源同源。</t>
        </is>
      </c>
      <c r="L30" s="21" t="inlineStr">
        <is>
          <t>天然碱；产能 180 万吨（海化的 64%）；免检“中天牌”；与远兴同源，不能作为独立第二源。</t>
        </is>
      </c>
      <c r="M30" s="21" t="inlineStr">
        <is>
          <t>氨碱；产能 150 万吨（海化的 54%）；免检“昆仑雪牌”；运距增加约 1,640 km；铁路为主。</t>
        </is>
      </c>
      <c r="N30" s="21" t="inlineStr">
        <is>
          <t>联碱；产能约 110 万吨（海化的 39%）；运距缩短约 40 km；连续亏损，供应稳定性需重点核实。</t>
        </is>
      </c>
      <c r="O30" s="21" t="inlineStr">
        <is>
          <t>氨碱；产能 120 万吨（海化的 43%）；运距增加约 40 km；免检“金晶牌”；与金晶科技（玻璃）同集团，存在纵向竞争。</t>
        </is>
      </c>
    </row>
  </sheetData>
  <mergeCells count="8">
    <mergeCell ref="A2:O2"/>
    <mergeCell ref="A25:A29"/>
    <mergeCell ref="A7:A13"/>
    <mergeCell ref="A1:O1"/>
    <mergeCell ref="A21:A24"/>
    <mergeCell ref="A14:A17"/>
    <mergeCell ref="A18:A20"/>
    <mergeCell ref="A3:O3"/>
  </mergeCells>
  <conditionalFormatting sqref="C11:O11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C13:O13">
    <cfRule type="colorScale" priority="2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C15:O15">
    <cfRule type="colorScale" priority="3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C26:O26">
    <cfRule type="colorScale" priority="4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C21:O21">
    <cfRule type="expression" priority="5" dxfId="4">
      <formula>C21="是"</formula>
    </cfRule>
  </conditionalFormatting>
  <pageMargins left="0.75" right="0.75" top="1" bottom="1" header="0.5" footer="0.5"/>
  <pageSetup orientation="landscape" paperSize="8" fitToHeight="0" fitToWidth="1"/>
  <headerFooter>
    <oddHeader/>
    <oddFooter>&amp;C&amp;8 &amp;K808080第二供应源备选池 · 第 &amp;P /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6D28D9"/>
    <outlinePr summaryBelow="1" summaryRight="1"/>
    <pageSetUpPr fitToPage="1"/>
  </sheetPr>
  <dimension ref="A1:R1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16" customWidth="1" min="4" max="4"/>
    <col width="12" customWidth="1" min="5" max="5"/>
    <col width="2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10" customWidth="1" min="17" max="17"/>
    <col width="28" customWidth="1" min="18" max="18"/>
  </cols>
  <sheetData>
    <row r="1" ht="44" customHeight="1">
      <c r="A1" s="17" t="inlineStr">
        <is>
          <t>04 · 规格兼容性与试样计划</t>
        </is>
      </c>
    </row>
    <row r="2" ht="24" customHeight="1">
      <c r="A2" s="18" t="inlineStr">
        <is>
          <t>首样 20–50 kg × 3 批；判定依据客户内控 + 国标/行标；状态列可下拉更新。</t>
        </is>
      </c>
    </row>
    <row r="3" ht="20" customHeight="1">
      <c r="A3" s="3" t="inlineStr">
        <is>
          <t>内部采购评估 · 公开信息研究</t>
        </is>
      </c>
    </row>
    <row r="5" ht="46" customHeight="1">
      <c r="A5" s="19" t="inlineStr">
        <is>
          <t>企业</t>
        </is>
      </c>
      <c r="B5" s="19" t="inlineStr">
        <is>
          <t>工艺</t>
        </is>
      </c>
      <c r="C5" s="19" t="inlineStr">
        <is>
          <t>免检</t>
        </is>
      </c>
      <c r="D5" s="19" t="inlineStr">
        <is>
          <t>首样量</t>
        </is>
      </c>
      <c r="E5" s="19" t="inlineStr">
        <is>
          <t>检测周期</t>
        </is>
      </c>
      <c r="F5" s="19" t="inlineStr">
        <is>
          <t>判定标准</t>
        </is>
      </c>
      <c r="G5" s="19" t="inlineStr">
        <is>
          <t>Na₂CO₃ 含量</t>
        </is>
      </c>
      <c r="H5" s="19" t="inlineStr">
        <is>
          <t>NaCl（氯化物）</t>
        </is>
      </c>
      <c r="I5" s="19" t="inlineStr">
        <is>
          <t>Fe₂O₃（铁）</t>
        </is>
      </c>
      <c r="J5" s="19" t="inlineStr">
        <is>
          <t>水不溶物</t>
        </is>
      </c>
      <c r="K5" s="19" t="inlineStr">
        <is>
          <t>堆密度</t>
        </is>
      </c>
      <c r="L5" s="19" t="inlineStr">
        <is>
          <t>粒度分布</t>
        </is>
      </c>
      <c r="M5" s="19" t="inlineStr">
        <is>
          <t>白度</t>
        </is>
      </c>
      <c r="N5" s="19" t="inlineStr">
        <is>
          <t>结块/运输稳定性</t>
        </is>
      </c>
      <c r="O5" s="19" t="inlineStr">
        <is>
          <t>包装</t>
        </is>
      </c>
      <c r="P5" s="19" t="inlineStr">
        <is>
          <t>责任</t>
        </is>
      </c>
      <c r="Q5" s="19" t="inlineStr">
        <is>
          <t>状态</t>
        </is>
      </c>
      <c r="R5" s="19" t="inlineStr">
        <is>
          <t>备注</t>
        </is>
      </c>
    </row>
    <row r="6" ht="34" customHeight="1">
      <c r="A6" s="21" t="inlineStr">
        <is>
          <t>连云港碱业</t>
        </is>
      </c>
      <c r="B6" s="21" t="inlineStr">
        <is>
          <t>联碱</t>
        </is>
      </c>
      <c r="C6" s="22" t="inlineStr">
        <is>
          <t>是</t>
        </is>
      </c>
      <c r="D6" s="22" t="inlineStr">
        <is>
          <t>20–50 kg × 3 批</t>
        </is>
      </c>
      <c r="E6" s="22" t="inlineStr">
        <is>
          <t>7–10 个工作日</t>
        </is>
      </c>
      <c r="F6" s="21" t="inlineStr">
        <is>
          <t>客户内控 + 国标/行标</t>
        </is>
      </c>
      <c r="G6" s="22" t="inlineStr">
        <is>
          <t>凭COA</t>
        </is>
      </c>
      <c r="H6" s="22" t="inlineStr">
        <is>
          <t>凭COA</t>
        </is>
      </c>
      <c r="I6" s="22" t="inlineStr">
        <is>
          <t>需试样</t>
        </is>
      </c>
      <c r="J6" s="22" t="inlineStr">
        <is>
          <t>凭COA</t>
        </is>
      </c>
      <c r="K6" s="22" t="inlineStr">
        <is>
          <t>需试样</t>
        </is>
      </c>
      <c r="L6" s="22" t="inlineStr">
        <is>
          <t>需试样</t>
        </is>
      </c>
      <c r="M6" s="22" t="inlineStr">
        <is>
          <t>需试样</t>
        </is>
      </c>
      <c r="N6" s="22" t="inlineStr">
        <is>
          <t>需试样</t>
        </is>
      </c>
      <c r="O6" s="22" t="inlineStr">
        <is>
          <t>现场审核</t>
        </is>
      </c>
      <c r="P6" s="22" t="inlineStr">
        <is>
          <t>质量部</t>
        </is>
      </c>
      <c r="Q6" s="22" t="inlineStr">
        <is>
          <t>待取样</t>
        </is>
      </c>
      <c r="R6" s="21" t="inlineStr">
        <is>
          <t>新装置</t>
        </is>
      </c>
    </row>
    <row r="7" ht="44.59999999999999" customHeight="1">
      <c r="A7" s="25" t="inlineStr">
        <is>
          <t>江苏德邦</t>
        </is>
      </c>
      <c r="B7" s="25" t="inlineStr">
        <is>
          <t>联碱</t>
        </is>
      </c>
      <c r="C7" s="26" t="inlineStr">
        <is>
          <t>否</t>
        </is>
      </c>
      <c r="D7" s="26" t="inlineStr">
        <is>
          <t>20–50 kg × 3 批</t>
        </is>
      </c>
      <c r="E7" s="26" t="inlineStr">
        <is>
          <t>7–10 个工作日</t>
        </is>
      </c>
      <c r="F7" s="25" t="inlineStr">
        <is>
          <t>客户内控 + 国标/行标</t>
        </is>
      </c>
      <c r="G7" s="26" t="inlineStr">
        <is>
          <t>凭COA</t>
        </is>
      </c>
      <c r="H7" s="26" t="inlineStr">
        <is>
          <t>凭COA</t>
        </is>
      </c>
      <c r="I7" s="26" t="inlineStr">
        <is>
          <t>需试样</t>
        </is>
      </c>
      <c r="J7" s="26" t="inlineStr">
        <is>
          <t>凭COA</t>
        </is>
      </c>
      <c r="K7" s="26" t="inlineStr">
        <is>
          <t>需试样</t>
        </is>
      </c>
      <c r="L7" s="26" t="inlineStr">
        <is>
          <t>需试样</t>
        </is>
      </c>
      <c r="M7" s="26" t="inlineStr">
        <is>
          <t>需试样</t>
        </is>
      </c>
      <c r="N7" s="26" t="inlineStr">
        <is>
          <t>需试样</t>
        </is>
      </c>
      <c r="O7" s="26" t="inlineStr">
        <is>
          <t>现场审核</t>
        </is>
      </c>
      <c r="P7" s="26" t="inlineStr">
        <is>
          <t>质量部</t>
        </is>
      </c>
      <c r="Q7" s="26" t="inlineStr">
        <is>
          <t>待取样</t>
        </is>
      </c>
      <c r="R7" s="25" t="inlineStr">
        <is>
          <t>新装置；非准入：全项检验；同源：待核（与安徽德邦可能同集团）</t>
        </is>
      </c>
    </row>
    <row r="8" ht="34" customHeight="1">
      <c r="A8" s="21" t="inlineStr">
        <is>
          <t>中盐昆山</t>
        </is>
      </c>
      <c r="B8" s="21" t="inlineStr">
        <is>
          <t>联碱</t>
        </is>
      </c>
      <c r="C8" s="22" t="inlineStr">
        <is>
          <t>否</t>
        </is>
      </c>
      <c r="D8" s="22" t="inlineStr">
        <is>
          <t>20–50 kg × 3 批</t>
        </is>
      </c>
      <c r="E8" s="22" t="inlineStr">
        <is>
          <t>7–10 个工作日</t>
        </is>
      </c>
      <c r="F8" s="21" t="inlineStr">
        <is>
          <t>客户内控 + 国标/行标</t>
        </is>
      </c>
      <c r="G8" s="22" t="inlineStr">
        <is>
          <t>凭COA</t>
        </is>
      </c>
      <c r="H8" s="22" t="inlineStr">
        <is>
          <t>凭COA</t>
        </is>
      </c>
      <c r="I8" s="22" t="inlineStr">
        <is>
          <t>需试样</t>
        </is>
      </c>
      <c r="J8" s="22" t="inlineStr">
        <is>
          <t>凭COA</t>
        </is>
      </c>
      <c r="K8" s="22" t="inlineStr">
        <is>
          <t>需试样</t>
        </is>
      </c>
      <c r="L8" s="22" t="inlineStr">
        <is>
          <t>需试样</t>
        </is>
      </c>
      <c r="M8" s="22" t="inlineStr">
        <is>
          <t>凭COA</t>
        </is>
      </c>
      <c r="N8" s="22" t="inlineStr">
        <is>
          <t>需试样</t>
        </is>
      </c>
      <c r="O8" s="22" t="inlineStr">
        <is>
          <t>现场审核</t>
        </is>
      </c>
      <c r="P8" s="22" t="inlineStr">
        <is>
          <t>质量部</t>
        </is>
      </c>
      <c r="Q8" s="22" t="inlineStr">
        <is>
          <t>待取样</t>
        </is>
      </c>
      <c r="R8" s="21" t="inlineStr">
        <is>
          <t>非准入：全项检验；同源：中盐集团（与昆仑碱业同集团）</t>
        </is>
      </c>
    </row>
    <row r="9" ht="34" customHeight="1">
      <c r="A9" s="25" t="inlineStr">
        <is>
          <t>华昌化工</t>
        </is>
      </c>
      <c r="B9" s="25" t="inlineStr">
        <is>
          <t>联碱</t>
        </is>
      </c>
      <c r="C9" s="26" t="inlineStr">
        <is>
          <t>否</t>
        </is>
      </c>
      <c r="D9" s="26" t="inlineStr">
        <is>
          <t>20–50 kg × 3 批</t>
        </is>
      </c>
      <c r="E9" s="26" t="inlineStr">
        <is>
          <t>7–10 个工作日</t>
        </is>
      </c>
      <c r="F9" s="25" t="inlineStr">
        <is>
          <t>客户内控 + 国标/行标</t>
        </is>
      </c>
      <c r="G9" s="26" t="inlineStr">
        <is>
          <t>凭COA</t>
        </is>
      </c>
      <c r="H9" s="26" t="inlineStr">
        <is>
          <t>凭COA</t>
        </is>
      </c>
      <c r="I9" s="26" t="inlineStr">
        <is>
          <t>需试样</t>
        </is>
      </c>
      <c r="J9" s="26" t="inlineStr">
        <is>
          <t>凭COA</t>
        </is>
      </c>
      <c r="K9" s="26" t="inlineStr">
        <is>
          <t>需试样</t>
        </is>
      </c>
      <c r="L9" s="26" t="inlineStr">
        <is>
          <t>需试样</t>
        </is>
      </c>
      <c r="M9" s="26" t="inlineStr">
        <is>
          <t>需试样</t>
        </is>
      </c>
      <c r="N9" s="26" t="inlineStr">
        <is>
          <t>需试样</t>
        </is>
      </c>
      <c r="O9" s="26" t="inlineStr">
        <is>
          <t>现场审核</t>
        </is>
      </c>
      <c r="P9" s="26" t="inlineStr">
        <is>
          <t>质量部</t>
        </is>
      </c>
      <c r="Q9" s="26" t="inlineStr">
        <is>
          <t>待取样</t>
        </is>
      </c>
      <c r="R9" s="25" t="inlineStr">
        <is>
          <t>非准入：全项检验</t>
        </is>
      </c>
    </row>
    <row r="10" ht="34" customHeight="1">
      <c r="A10" s="21" t="inlineStr">
        <is>
          <t>苏盐井神</t>
        </is>
      </c>
      <c r="B10" s="21" t="inlineStr">
        <is>
          <t>联碱</t>
        </is>
      </c>
      <c r="C10" s="22" t="inlineStr">
        <is>
          <t>是</t>
        </is>
      </c>
      <c r="D10" s="22" t="inlineStr">
        <is>
          <t>20–50 kg × 3 批</t>
        </is>
      </c>
      <c r="E10" s="22" t="inlineStr">
        <is>
          <t>7–10 个工作日</t>
        </is>
      </c>
      <c r="F10" s="21" t="inlineStr">
        <is>
          <t>客户内控 + 国标/行标</t>
        </is>
      </c>
      <c r="G10" s="22" t="inlineStr">
        <is>
          <t>凭COA</t>
        </is>
      </c>
      <c r="H10" s="22" t="inlineStr">
        <is>
          <t>凭COA</t>
        </is>
      </c>
      <c r="I10" s="22" t="inlineStr">
        <is>
          <t>需试样</t>
        </is>
      </c>
      <c r="J10" s="22" t="inlineStr">
        <is>
          <t>凭COA</t>
        </is>
      </c>
      <c r="K10" s="22" t="inlineStr">
        <is>
          <t>需试样</t>
        </is>
      </c>
      <c r="L10" s="22" t="inlineStr">
        <is>
          <t>需试样</t>
        </is>
      </c>
      <c r="M10" s="22" t="inlineStr">
        <is>
          <t>凭COA</t>
        </is>
      </c>
      <c r="N10" s="22" t="inlineStr">
        <is>
          <t>需试样</t>
        </is>
      </c>
      <c r="O10" s="22" t="inlineStr">
        <is>
          <t>现场审核</t>
        </is>
      </c>
      <c r="P10" s="22" t="inlineStr">
        <is>
          <t>质量部</t>
        </is>
      </c>
      <c r="Q10" s="22" t="inlineStr">
        <is>
          <t>待取样</t>
        </is>
      </c>
      <c r="R10" s="21" t="inlineStr"/>
    </row>
    <row r="11" ht="34" customHeight="1">
      <c r="A11" s="25" t="inlineStr">
        <is>
          <t>三友化工</t>
        </is>
      </c>
      <c r="B11" s="25" t="inlineStr">
        <is>
          <t>氨碱</t>
        </is>
      </c>
      <c r="C11" s="26" t="inlineStr">
        <is>
          <t>是</t>
        </is>
      </c>
      <c r="D11" s="26" t="inlineStr">
        <is>
          <t>20–50 kg × 3 批</t>
        </is>
      </c>
      <c r="E11" s="26" t="inlineStr">
        <is>
          <t>7–10 个工作日</t>
        </is>
      </c>
      <c r="F11" s="25" t="inlineStr">
        <is>
          <t>客户内控 + 国标/行标</t>
        </is>
      </c>
      <c r="G11" s="26" t="inlineStr">
        <is>
          <t>凭COA</t>
        </is>
      </c>
      <c r="H11" s="26" t="inlineStr">
        <is>
          <t>凭COA</t>
        </is>
      </c>
      <c r="I11" s="26" t="inlineStr">
        <is>
          <t>凭COA</t>
        </is>
      </c>
      <c r="J11" s="26" t="inlineStr">
        <is>
          <t>凭COA</t>
        </is>
      </c>
      <c r="K11" s="26" t="inlineStr">
        <is>
          <t>凭COA</t>
        </is>
      </c>
      <c r="L11" s="26" t="inlineStr">
        <is>
          <t>需试样</t>
        </is>
      </c>
      <c r="M11" s="26" t="inlineStr">
        <is>
          <t>凭COA</t>
        </is>
      </c>
      <c r="N11" s="26" t="inlineStr">
        <is>
          <t>需试样</t>
        </is>
      </c>
      <c r="O11" s="26" t="inlineStr">
        <is>
          <t>现场审核</t>
        </is>
      </c>
      <c r="P11" s="26" t="inlineStr">
        <is>
          <t>质量部</t>
        </is>
      </c>
      <c r="Q11" s="26" t="inlineStr">
        <is>
          <t>待取样</t>
        </is>
      </c>
      <c r="R11" s="25" t="inlineStr"/>
    </row>
    <row r="12" ht="34" customHeight="1">
      <c r="A12" s="21" t="inlineStr">
        <is>
          <t>河南金山</t>
        </is>
      </c>
      <c r="B12" s="21" t="inlineStr">
        <is>
          <t>联碱</t>
        </is>
      </c>
      <c r="C12" s="22" t="inlineStr">
        <is>
          <t>是</t>
        </is>
      </c>
      <c r="D12" s="22" t="inlineStr">
        <is>
          <t>20–50 kg × 3 批</t>
        </is>
      </c>
      <c r="E12" s="22" t="inlineStr">
        <is>
          <t>7–10 个工作日</t>
        </is>
      </c>
      <c r="F12" s="21" t="inlineStr">
        <is>
          <t>客户内控 + 国标/行标</t>
        </is>
      </c>
      <c r="G12" s="22" t="inlineStr">
        <is>
          <t>凭COA</t>
        </is>
      </c>
      <c r="H12" s="22" t="inlineStr">
        <is>
          <t>凭COA</t>
        </is>
      </c>
      <c r="I12" s="22" t="inlineStr">
        <is>
          <t>需试样</t>
        </is>
      </c>
      <c r="J12" s="22" t="inlineStr">
        <is>
          <t>凭COA</t>
        </is>
      </c>
      <c r="K12" s="22" t="inlineStr">
        <is>
          <t>需试样</t>
        </is>
      </c>
      <c r="L12" s="22" t="inlineStr">
        <is>
          <t>需试样</t>
        </is>
      </c>
      <c r="M12" s="22" t="inlineStr">
        <is>
          <t>需试样</t>
        </is>
      </c>
      <c r="N12" s="22" t="inlineStr">
        <is>
          <t>需试样</t>
        </is>
      </c>
      <c r="O12" s="22" t="inlineStr">
        <is>
          <t>现场审核</t>
        </is>
      </c>
      <c r="P12" s="22" t="inlineStr">
        <is>
          <t>质量部</t>
        </is>
      </c>
      <c r="Q12" s="22" t="inlineStr">
        <is>
          <t>待取样</t>
        </is>
      </c>
      <c r="R12" s="21" t="inlineStr">
        <is>
          <t>同源：金山集团内多厂区</t>
        </is>
      </c>
    </row>
    <row r="13" ht="34" customHeight="1">
      <c r="A13" s="25" t="inlineStr">
        <is>
          <t>远兴能源</t>
        </is>
      </c>
      <c r="B13" s="25" t="inlineStr">
        <is>
          <t>天然碱</t>
        </is>
      </c>
      <c r="C13" s="26" t="inlineStr">
        <is>
          <t>否</t>
        </is>
      </c>
      <c r="D13" s="26" t="inlineStr">
        <is>
          <t>20–50 kg × 3 批</t>
        </is>
      </c>
      <c r="E13" s="26" t="inlineStr">
        <is>
          <t>7–10 个工作日</t>
        </is>
      </c>
      <c r="F13" s="25" t="inlineStr">
        <is>
          <t>客户内控 + 国标/行标</t>
        </is>
      </c>
      <c r="G13" s="26" t="inlineStr">
        <is>
          <t>凭COA</t>
        </is>
      </c>
      <c r="H13" s="26" t="inlineStr">
        <is>
          <t>凭COA</t>
        </is>
      </c>
      <c r="I13" s="26" t="inlineStr">
        <is>
          <t>需试样</t>
        </is>
      </c>
      <c r="J13" s="26" t="inlineStr">
        <is>
          <t>需试样</t>
        </is>
      </c>
      <c r="K13" s="26" t="inlineStr">
        <is>
          <t>需试样</t>
        </is>
      </c>
      <c r="L13" s="26" t="inlineStr">
        <is>
          <t>需试样</t>
        </is>
      </c>
      <c r="M13" s="26" t="inlineStr">
        <is>
          <t>需试样</t>
        </is>
      </c>
      <c r="N13" s="26" t="inlineStr">
        <is>
          <t>需试样</t>
        </is>
      </c>
      <c r="O13" s="26" t="inlineStr">
        <is>
          <t>现场审核</t>
        </is>
      </c>
      <c r="P13" s="26" t="inlineStr">
        <is>
          <t>质量部</t>
        </is>
      </c>
      <c r="Q13" s="26" t="inlineStr">
        <is>
          <t>待取样</t>
        </is>
      </c>
      <c r="R13" s="25" t="inlineStr">
        <is>
          <t>非准入：全项检验；同源：与中源化学同源（母子公司）</t>
        </is>
      </c>
    </row>
    <row r="14" ht="34" customHeight="1">
      <c r="A14" s="21" t="inlineStr">
        <is>
          <t>中源化学</t>
        </is>
      </c>
      <c r="B14" s="21" t="inlineStr">
        <is>
          <t>天然碱</t>
        </is>
      </c>
      <c r="C14" s="22" t="inlineStr">
        <is>
          <t>是</t>
        </is>
      </c>
      <c r="D14" s="22" t="inlineStr">
        <is>
          <t>20–50 kg × 3 批</t>
        </is>
      </c>
      <c r="E14" s="22" t="inlineStr">
        <is>
          <t>7–10 个工作日</t>
        </is>
      </c>
      <c r="F14" s="21" t="inlineStr">
        <is>
          <t>客户内控 + 国标/行标</t>
        </is>
      </c>
      <c r="G14" s="22" t="inlineStr">
        <is>
          <t>凭COA</t>
        </is>
      </c>
      <c r="H14" s="22" t="inlineStr">
        <is>
          <t>凭COA</t>
        </is>
      </c>
      <c r="I14" s="22" t="inlineStr">
        <is>
          <t>需试样</t>
        </is>
      </c>
      <c r="J14" s="22" t="inlineStr">
        <is>
          <t>需试样</t>
        </is>
      </c>
      <c r="K14" s="22" t="inlineStr">
        <is>
          <t>需试样</t>
        </is>
      </c>
      <c r="L14" s="22" t="inlineStr">
        <is>
          <t>需试样</t>
        </is>
      </c>
      <c r="M14" s="22" t="inlineStr">
        <is>
          <t>需试样</t>
        </is>
      </c>
      <c r="N14" s="22" t="inlineStr">
        <is>
          <t>需试样</t>
        </is>
      </c>
      <c r="O14" s="22" t="inlineStr">
        <is>
          <t>现场审核</t>
        </is>
      </c>
      <c r="P14" s="22" t="inlineStr">
        <is>
          <t>质量部</t>
        </is>
      </c>
      <c r="Q14" s="22" t="inlineStr">
        <is>
          <t>待取样</t>
        </is>
      </c>
      <c r="R14" s="21" t="inlineStr">
        <is>
          <t>同源：与远兴能源同源（母子公司）</t>
        </is>
      </c>
    </row>
    <row r="15" ht="34" customHeight="1">
      <c r="A15" s="25" t="inlineStr">
        <is>
          <t>昆仑碱业</t>
        </is>
      </c>
      <c r="B15" s="25" t="inlineStr">
        <is>
          <t>氨碱</t>
        </is>
      </c>
      <c r="C15" s="26" t="inlineStr">
        <is>
          <t>是</t>
        </is>
      </c>
      <c r="D15" s="26" t="inlineStr">
        <is>
          <t>20–50 kg × 3 批</t>
        </is>
      </c>
      <c r="E15" s="26" t="inlineStr">
        <is>
          <t>7–10 个工作日</t>
        </is>
      </c>
      <c r="F15" s="25" t="inlineStr">
        <is>
          <t>客户内控 + 国标/行标</t>
        </is>
      </c>
      <c r="G15" s="26" t="inlineStr">
        <is>
          <t>凭COA</t>
        </is>
      </c>
      <c r="H15" s="26" t="inlineStr">
        <is>
          <t>凭COA</t>
        </is>
      </c>
      <c r="I15" s="26" t="inlineStr">
        <is>
          <t>凭COA</t>
        </is>
      </c>
      <c r="J15" s="26" t="inlineStr">
        <is>
          <t>凭COA</t>
        </is>
      </c>
      <c r="K15" s="26" t="inlineStr">
        <is>
          <t>凭COA</t>
        </is>
      </c>
      <c r="L15" s="26" t="inlineStr">
        <is>
          <t>需试样</t>
        </is>
      </c>
      <c r="M15" s="26" t="inlineStr">
        <is>
          <t>凭COA</t>
        </is>
      </c>
      <c r="N15" s="26" t="inlineStr">
        <is>
          <t>需试样</t>
        </is>
      </c>
      <c r="O15" s="26" t="inlineStr">
        <is>
          <t>现场审核</t>
        </is>
      </c>
      <c r="P15" s="26" t="inlineStr">
        <is>
          <t>质量部</t>
        </is>
      </c>
      <c r="Q15" s="26" t="inlineStr">
        <is>
          <t>待取样</t>
        </is>
      </c>
      <c r="R15" s="25" t="inlineStr">
        <is>
          <t>同源：中盐集团（与中盐昆山同集团）</t>
        </is>
      </c>
    </row>
    <row r="16" ht="34" customHeight="1">
      <c r="A16" s="21" t="inlineStr">
        <is>
          <t>双环科技</t>
        </is>
      </c>
      <c r="B16" s="21" t="inlineStr">
        <is>
          <t>联碱</t>
        </is>
      </c>
      <c r="C16" s="22" t="inlineStr">
        <is>
          <t>否</t>
        </is>
      </c>
      <c r="D16" s="22" t="inlineStr">
        <is>
          <t>20–50 kg × 3 批</t>
        </is>
      </c>
      <c r="E16" s="22" t="inlineStr">
        <is>
          <t>7–10 个工作日</t>
        </is>
      </c>
      <c r="F16" s="21" t="inlineStr">
        <is>
          <t>客户内控 + 国标/行标</t>
        </is>
      </c>
      <c r="G16" s="22" t="inlineStr">
        <is>
          <t>凭COA</t>
        </is>
      </c>
      <c r="H16" s="22" t="inlineStr">
        <is>
          <t>凭COA</t>
        </is>
      </c>
      <c r="I16" s="22" t="inlineStr">
        <is>
          <t>需试样</t>
        </is>
      </c>
      <c r="J16" s="22" t="inlineStr">
        <is>
          <t>凭COA</t>
        </is>
      </c>
      <c r="K16" s="22" t="inlineStr">
        <is>
          <t>需试样</t>
        </is>
      </c>
      <c r="L16" s="22" t="inlineStr">
        <is>
          <t>需试样</t>
        </is>
      </c>
      <c r="M16" s="22" t="inlineStr">
        <is>
          <t>需试样</t>
        </is>
      </c>
      <c r="N16" s="22" t="inlineStr">
        <is>
          <t>需试样</t>
        </is>
      </c>
      <c r="O16" s="22" t="inlineStr">
        <is>
          <t>现场审核</t>
        </is>
      </c>
      <c r="P16" s="22" t="inlineStr">
        <is>
          <t>质量部</t>
        </is>
      </c>
      <c r="Q16" s="22" t="inlineStr">
        <is>
          <t>待取样</t>
        </is>
      </c>
      <c r="R16" s="21" t="inlineStr">
        <is>
          <t>新装置；非准入：全项检验</t>
        </is>
      </c>
    </row>
    <row r="17" ht="34" customHeight="1">
      <c r="A17" s="25" t="inlineStr">
        <is>
          <t>海天生物</t>
        </is>
      </c>
      <c r="B17" s="25" t="inlineStr">
        <is>
          <t>氨碱</t>
        </is>
      </c>
      <c r="C17" s="26" t="inlineStr">
        <is>
          <t>是</t>
        </is>
      </c>
      <c r="D17" s="26" t="inlineStr">
        <is>
          <t>20–50 kg × 3 批</t>
        </is>
      </c>
      <c r="E17" s="26" t="inlineStr">
        <is>
          <t>7–10 个工作日</t>
        </is>
      </c>
      <c r="F17" s="25" t="inlineStr">
        <is>
          <t>客户内控 + 国标/行标</t>
        </is>
      </c>
      <c r="G17" s="26" t="inlineStr">
        <is>
          <t>凭COA</t>
        </is>
      </c>
      <c r="H17" s="26" t="inlineStr">
        <is>
          <t>凭COA</t>
        </is>
      </c>
      <c r="I17" s="26" t="inlineStr">
        <is>
          <t>凭COA</t>
        </is>
      </c>
      <c r="J17" s="26" t="inlineStr">
        <is>
          <t>凭COA</t>
        </is>
      </c>
      <c r="K17" s="26" t="inlineStr">
        <is>
          <t>凭COA</t>
        </is>
      </c>
      <c r="L17" s="26" t="inlineStr">
        <is>
          <t>需试样</t>
        </is>
      </c>
      <c r="M17" s="26" t="inlineStr">
        <is>
          <t>凭COA</t>
        </is>
      </c>
      <c r="N17" s="26" t="inlineStr">
        <is>
          <t>需试样</t>
        </is>
      </c>
      <c r="O17" s="26" t="inlineStr">
        <is>
          <t>现场审核</t>
        </is>
      </c>
      <c r="P17" s="26" t="inlineStr">
        <is>
          <t>质量部</t>
        </is>
      </c>
      <c r="Q17" s="26" t="inlineStr">
        <is>
          <t>待取样</t>
        </is>
      </c>
      <c r="R17" s="25" t="inlineStr">
        <is>
          <t>同源：金晶集团（与金晶科技同源）</t>
        </is>
      </c>
    </row>
  </sheetData>
  <autoFilter ref="A5:R17"/>
  <mergeCells count="3">
    <mergeCell ref="A3:R3"/>
    <mergeCell ref="A2:R2"/>
    <mergeCell ref="A1:R1"/>
  </mergeCells>
  <conditionalFormatting sqref="Q6:Q17">
    <cfRule type="expression" priority="1" dxfId="3">
      <formula>$Q6="合格"</formula>
    </cfRule>
    <cfRule type="expression" priority="2" dxfId="0">
      <formula>$Q6="不合格"</formula>
    </cfRule>
    <cfRule type="expression" priority="3" dxfId="6">
      <formula>$Q6="检测中"</formula>
    </cfRule>
  </conditionalFormatting>
  <conditionalFormatting sqref="G6:G17">
    <cfRule type="expression" priority="4" dxfId="5">
      <formula>$G6="需试样"</formula>
    </cfRule>
    <cfRule type="expression" priority="5" dxfId="4">
      <formula>$G6="凭COA"</formula>
    </cfRule>
    <cfRule type="expression" priority="6" dxfId="7">
      <formula>$G6="现场审核"</formula>
    </cfRule>
  </conditionalFormatting>
  <conditionalFormatting sqref="H6:H17">
    <cfRule type="expression" priority="7" dxfId="5">
      <formula>$H6="需试样"</formula>
    </cfRule>
    <cfRule type="expression" priority="8" dxfId="4">
      <formula>$H6="凭COA"</formula>
    </cfRule>
    <cfRule type="expression" priority="9" dxfId="7">
      <formula>$H6="现场审核"</formula>
    </cfRule>
  </conditionalFormatting>
  <conditionalFormatting sqref="I6:I17">
    <cfRule type="expression" priority="10" dxfId="5">
      <formula>$I6="需试样"</formula>
    </cfRule>
    <cfRule type="expression" priority="11" dxfId="4">
      <formula>$I6="凭COA"</formula>
    </cfRule>
    <cfRule type="expression" priority="12" dxfId="7">
      <formula>$I6="现场审核"</formula>
    </cfRule>
  </conditionalFormatting>
  <conditionalFormatting sqref="J6:J17">
    <cfRule type="expression" priority="13" dxfId="5">
      <formula>$J6="需试样"</formula>
    </cfRule>
    <cfRule type="expression" priority="14" dxfId="4">
      <formula>$J6="凭COA"</formula>
    </cfRule>
    <cfRule type="expression" priority="15" dxfId="7">
      <formula>$J6="现场审核"</formula>
    </cfRule>
  </conditionalFormatting>
  <conditionalFormatting sqref="K6:K17">
    <cfRule type="expression" priority="16" dxfId="5">
      <formula>$K6="需试样"</formula>
    </cfRule>
    <cfRule type="expression" priority="17" dxfId="4">
      <formula>$K6="凭COA"</formula>
    </cfRule>
    <cfRule type="expression" priority="18" dxfId="7">
      <formula>$K6="现场审核"</formula>
    </cfRule>
  </conditionalFormatting>
  <conditionalFormatting sqref="L6:L17">
    <cfRule type="expression" priority="19" dxfId="5">
      <formula>$L6="需试样"</formula>
    </cfRule>
    <cfRule type="expression" priority="20" dxfId="4">
      <formula>$L6="凭COA"</formula>
    </cfRule>
    <cfRule type="expression" priority="21" dxfId="7">
      <formula>$L6="现场审核"</formula>
    </cfRule>
  </conditionalFormatting>
  <conditionalFormatting sqref="M6:M17">
    <cfRule type="expression" priority="22" dxfId="5">
      <formula>$M6="需试样"</formula>
    </cfRule>
    <cfRule type="expression" priority="23" dxfId="4">
      <formula>$M6="凭COA"</formula>
    </cfRule>
    <cfRule type="expression" priority="24" dxfId="7">
      <formula>$M6="现场审核"</formula>
    </cfRule>
  </conditionalFormatting>
  <conditionalFormatting sqref="N6:N17">
    <cfRule type="expression" priority="25" dxfId="5">
      <formula>$N6="需试样"</formula>
    </cfRule>
    <cfRule type="expression" priority="26" dxfId="4">
      <formula>$N6="凭COA"</formula>
    </cfRule>
    <cfRule type="expression" priority="27" dxfId="7">
      <formula>$N6="现场审核"</formula>
    </cfRule>
  </conditionalFormatting>
  <conditionalFormatting sqref="O6:O17">
    <cfRule type="expression" priority="28" dxfId="5">
      <formula>$O6="需试样"</formula>
    </cfRule>
    <cfRule type="expression" priority="29" dxfId="4">
      <formula>$O6="凭COA"</formula>
    </cfRule>
    <cfRule type="expression" priority="30" dxfId="7">
      <formula>$O6="现场审核"</formula>
    </cfRule>
  </conditionalFormatting>
  <dataValidations count="1">
    <dataValidation sqref="Q6:Q17" showDropDown="0" showInputMessage="0" showErrorMessage="0" allowBlank="1" type="list">
      <formula1>"待取样,已取样,检测中,合格,不合格"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&amp;C&amp;8 &amp;K808080第二供应源备选池 · 第 &amp;P / &amp;N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B42318"/>
    <outlinePr summaryBelow="1" summaryRight="1"/>
    <pageSetUpPr fitToPage="1"/>
  </sheetPr>
  <dimension ref="A1:G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8" customWidth="1" min="3" max="3"/>
    <col width="22" customWidth="1" min="4" max="4"/>
    <col width="52" customWidth="1" min="5" max="5"/>
    <col width="34" customWidth="1" min="6" max="6"/>
    <col width="12" customWidth="1" min="7" max="7"/>
  </cols>
  <sheetData>
    <row r="1" ht="44" customHeight="1">
      <c r="A1" s="17" t="inlineStr">
        <is>
          <t>05 · 同源与股权关系</t>
        </is>
      </c>
    </row>
    <row r="2" ht="24" customHeight="1">
      <c r="A2" s="18" t="inlineStr">
        <is>
          <t>同源不等于不能采购，但“同时入选”会高估第二供应源的独立性。</t>
        </is>
      </c>
    </row>
    <row r="3" ht="20" customHeight="1">
      <c r="A3" s="3" t="inlineStr">
        <is>
          <t>内部采购评估 · 公开信息研究</t>
        </is>
      </c>
    </row>
    <row r="5" ht="34" customHeight="1">
      <c r="A5" s="19" t="inlineStr">
        <is>
          <t>组</t>
        </is>
      </c>
      <c r="B5" s="19" t="inlineStr">
        <is>
          <t>母公司 / 实控人</t>
        </is>
      </c>
      <c r="C5" s="19" t="inlineStr">
        <is>
          <t>主体</t>
        </is>
      </c>
      <c r="D5" s="19" t="inlineStr">
        <is>
          <t>关系</t>
        </is>
      </c>
      <c r="E5" s="19" t="inlineStr">
        <is>
          <t>影响</t>
        </is>
      </c>
      <c r="F5" s="19" t="inlineStr">
        <is>
          <t>需核实</t>
        </is>
      </c>
      <c r="G5" s="19" t="inlineStr">
        <is>
          <t>标记</t>
        </is>
      </c>
    </row>
    <row r="6" ht="44" customHeight="1">
      <c r="A6" s="21" t="inlineStr">
        <is>
          <t>博源集团 / 远兴能源</t>
        </is>
      </c>
      <c r="B6" s="21" t="inlineStr">
        <is>
          <t>内蒙古博源控股集团（戴连荣）</t>
        </is>
      </c>
      <c r="C6" s="21" t="inlineStr">
        <is>
          <t>远兴能源（000683）；中源化学（远兴持股 81.71%）</t>
        </is>
      </c>
      <c r="D6" s="22" t="inlineStr">
        <is>
          <t>母子公司（2014 年收购并表）</t>
        </is>
      </c>
      <c r="E6" s="21" t="inlineStr">
        <is>
          <t>二者只能算一个供应源；同时入选会高估“第二供应源”的独立性。</t>
        </is>
      </c>
      <c r="F6" s="21" t="inlineStr">
        <is>
          <t>中源化学销售主体、与远兴的关联交易定价</t>
        </is>
      </c>
      <c r="G6" s="22" t="inlineStr">
        <is>
          <t>同源</t>
        </is>
      </c>
    </row>
    <row r="7" ht="44" customHeight="1">
      <c r="A7" s="25" t="inlineStr">
        <is>
          <t>中国盐业集团</t>
        </is>
      </c>
      <c r="B7" s="25" t="inlineStr">
        <is>
          <t>中国盐业集团有限公司</t>
        </is>
      </c>
      <c r="C7" s="25" t="inlineStr">
        <is>
          <t>中盐昆山（全资）；昆仑碱业（中盐化工 600328 持股 51%）</t>
        </is>
      </c>
      <c r="D7" s="26" t="inlineStr">
        <is>
          <t>同集团、不同法人/基地</t>
        </is>
      </c>
      <c r="E7" s="25" t="inlineStr">
        <is>
          <t>生产基地相互独立，但集团统一销售/价格政策可能削弱议价独立性。</t>
        </is>
      </c>
      <c r="F7" s="25" t="inlineStr">
        <is>
          <t>两家的销售授权、客户重叠、集团集采政策</t>
        </is>
      </c>
      <c r="G7" s="26" t="inlineStr">
        <is>
          <t>同集团</t>
        </is>
      </c>
    </row>
    <row r="8" ht="44" customHeight="1">
      <c r="A8" s="21" t="inlineStr">
        <is>
          <t>金晶集团</t>
        </is>
      </c>
      <c r="B8" s="21" t="inlineStr">
        <is>
          <t>金晶集团 / 金晶科技（600586）</t>
        </is>
      </c>
      <c r="C8" s="21" t="inlineStr">
        <is>
          <t>海天生物（金晶科技全资）；金晶科技（浮法/超白玻璃）</t>
        </is>
      </c>
      <c r="D8" s="22" t="inlineStr">
        <is>
          <t>母子公司；下游是玻璃</t>
        </is>
      </c>
      <c r="E8" s="21" t="inlineStr">
        <is>
          <t>纯碱供应商与玻璃客户存在纵向竞争，供货优先级/价格可能受集团策略影响。</t>
        </is>
      </c>
      <c r="F8" s="21" t="inlineStr">
        <is>
          <t>对第三方玻璃客户的供货政策、内部采购占比</t>
        </is>
      </c>
      <c r="G8" s="22" t="inlineStr">
        <is>
          <t>纵向竞争</t>
        </is>
      </c>
    </row>
    <row r="9" ht="44" customHeight="1">
      <c r="A9" s="25" t="inlineStr">
        <is>
          <t>连云港灌云临港</t>
        </is>
      </c>
      <c r="B9" s="25" t="inlineStr">
        <is>
          <t>连云港市国资委 / 江苏德邦（外资）</t>
        </is>
      </c>
      <c r="C9" s="25" t="inlineStr">
        <is>
          <t>连云港碱业（市国资）；江苏德邦（外资）</t>
        </is>
      </c>
      <c r="D9" s="26" t="inlineStr">
        <is>
          <t>同园区、不同股东</t>
        </is>
      </c>
      <c r="E9" s="25" t="inlineStr">
        <is>
          <t>物流可共享，但股权不同源，可视为两个独立供应源。</t>
        </is>
      </c>
      <c r="F9" s="25" t="inlineStr">
        <is>
          <t>德邦股权穿透、与安徽德邦关系</t>
        </is>
      </c>
      <c r="G9" s="26" t="inlineStr">
        <is>
          <t>非同源</t>
        </is>
      </c>
    </row>
    <row r="10" ht="44" customHeight="1">
      <c r="A10" s="21" t="inlineStr">
        <is>
          <t>唐山三友</t>
        </is>
      </c>
      <c r="B10" s="21" t="inlineStr">
        <is>
          <t>唐山三友碱业（集团）</t>
        </is>
      </c>
      <c r="C10" s="21" t="inlineStr">
        <is>
          <t>三友化工（600409）</t>
        </is>
      </c>
      <c r="D10" s="22" t="inlineStr">
        <is>
          <t>单一纯碱上市平台</t>
        </is>
      </c>
      <c r="E10" s="21" t="inlineStr">
        <is>
          <t>集团内无第二纯碱平台，不存在池内同源。</t>
        </is>
      </c>
      <c r="F10" s="21" t="inlineStr">
        <is>
          <t>—</t>
        </is>
      </c>
      <c r="G10" s="22" t="inlineStr">
        <is>
          <t>单一</t>
        </is>
      </c>
    </row>
    <row r="11" ht="44" customHeight="1">
      <c r="A11" s="25" t="inlineStr">
        <is>
          <t>河南金山</t>
        </is>
      </c>
      <c r="B11" s="25" t="inlineStr">
        <is>
          <t>河南金山化工集团</t>
        </is>
      </c>
      <c r="C11" s="25" t="inlineStr">
        <is>
          <t>金大地化工（舞阳）；孟州/获嘉厂区（2024 年退出）</t>
        </is>
      </c>
      <c r="D11" s="26" t="inlineStr">
        <is>
          <t>同集团多厂区</t>
        </is>
      </c>
      <c r="E11" s="25" t="inlineStr">
        <is>
          <t>报价须锁定舞阳厂区与供货主体，避免“集团产能”与“可售货源”混淆。</t>
        </is>
      </c>
      <c r="F11" s="25" t="inlineStr">
        <is>
          <t>舞阳实际在产、销售主体</t>
        </is>
      </c>
      <c r="G11" s="26" t="inlineStr">
        <is>
          <t>多厂区</t>
        </is>
      </c>
    </row>
  </sheetData>
  <mergeCells count="3">
    <mergeCell ref="A3:G3"/>
    <mergeCell ref="A2:G2"/>
    <mergeCell ref="A1:G1"/>
  </mergeCells>
  <conditionalFormatting sqref="G6:G11">
    <cfRule type="expression" priority="1" dxfId="0">
      <formula>$G6="同源"</formula>
    </cfRule>
    <cfRule type="expression" priority="2" dxfId="1">
      <formula>$G6="同集团"</formula>
    </cfRule>
    <cfRule type="expression" priority="3" dxfId="1">
      <formula>$G6="纵向竞争"</formula>
    </cfRule>
    <cfRule type="expression" priority="4" dxfId="3">
      <formula>$G6="非同源"</formula>
    </cfRule>
    <cfRule type="expression" priority="5" dxfId="8">
      <formula>$G6="单一"</formula>
    </cfRule>
    <cfRule type="expression" priority="6" dxfId="9">
      <formula>$G6="多厂区"</formula>
    </cfRule>
  </conditionalFormatting>
  <pageMargins left="0.75" right="0.75" top="1" bottom="1" header="0.5" footer="0.5"/>
  <pageSetup orientation="landscape" paperSize="8" fitToHeight="0" fitToWidth="1"/>
  <headerFooter>
    <oddHeader/>
    <oddFooter>&amp;C&amp;8 &amp;K808080第二供应源备选池 · 第 &amp;P / &amp;N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8A4B08"/>
    <outlinePr summaryBelow="1" summaryRight="1"/>
    <pageSetUpPr fitToPage="1"/>
  </sheetPr>
  <dimension ref="A1:G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56" customWidth="1" min="3" max="3"/>
    <col width="36" customWidth="1" min="4" max="4"/>
    <col width="24" customWidth="1" min="5" max="5"/>
    <col width="46" customWidth="1" min="6" max="6"/>
    <col width="9" customWidth="1" min="7" max="7"/>
  </cols>
  <sheetData>
    <row r="1" ht="44" customHeight="1">
      <c r="A1" s="17" t="inlineStr">
        <is>
          <t>06 · 公开风险与证据台账</t>
        </is>
      </c>
    </row>
    <row r="2" ht="24" customHeight="1">
      <c r="A2" s="18" t="inlineStr">
        <is>
          <t>只列可追溯的公开事实；“待核实”不作为结论使用。</t>
        </is>
      </c>
    </row>
    <row r="3" ht="20" customHeight="1">
      <c r="A3" s="3" t="inlineStr">
        <is>
          <t>内部采购评估 · 公开信息研究</t>
        </is>
      </c>
    </row>
    <row r="5" ht="32" customHeight="1">
      <c r="A5" s="19" t="inlineStr">
        <is>
          <t>企业</t>
        </is>
      </c>
      <c r="B5" s="19" t="inlineStr">
        <is>
          <t>类型</t>
        </is>
      </c>
      <c r="C5" s="19" t="inlineStr">
        <is>
          <t>公开事实</t>
        </is>
      </c>
      <c r="D5" s="19" t="inlineStr">
        <is>
          <t>影响</t>
        </is>
      </c>
      <c r="E5" s="19" t="inlineStr">
        <is>
          <t>来源</t>
        </is>
      </c>
      <c r="F5" s="19" t="inlineStr">
        <is>
          <t>链接</t>
        </is>
      </c>
      <c r="G5" s="19" t="inlineStr">
        <is>
          <t>状态</t>
        </is>
      </c>
    </row>
    <row r="6" ht="32" customHeight="1">
      <c r="A6" s="21" t="inlineStr">
        <is>
          <t>山东海化</t>
        </is>
      </c>
      <c r="B6" s="21" t="inlineStr">
        <is>
          <t>财务</t>
        </is>
      </c>
      <c r="C6" s="21" t="inlineStr">
        <is>
          <t>2025 年归母净利 -13.88 亿元，纯碱营收同比 -26.31%</t>
        </is>
      </c>
      <c r="D6" s="21" t="inlineStr">
        <is>
          <t>现有供应商盈利能力弱，长协/保供能力需跟踪</t>
        </is>
      </c>
      <c r="E6" s="21" t="inlineStr">
        <is>
          <t>证券时报：山东海化 2025 年亏损 13.88 亿元</t>
        </is>
      </c>
      <c r="F6" s="23" t="inlineStr">
        <is>
          <t>https://stcn.com/article/detail/3689241.html</t>
        </is>
      </c>
      <c r="G6" s="22" t="inlineStr">
        <is>
          <t>已公开</t>
        </is>
      </c>
    </row>
    <row r="7" ht="32" customHeight="1">
      <c r="A7" s="25" t="inlineStr">
        <is>
          <t>山东海化</t>
        </is>
      </c>
      <c r="B7" s="25" t="inlineStr">
        <is>
          <t>成本</t>
        </is>
      </c>
      <c r="C7" s="25" t="inlineStr">
        <is>
          <t>氨碱工艺成本高于天然碱、联碱</t>
        </is>
      </c>
      <c r="D7" s="25" t="inlineStr">
        <is>
          <t>价格下行期亏损面扩大</t>
        </is>
      </c>
      <c r="E7" s="25" t="inlineStr">
        <is>
          <t>证券时报：纯碱产业供需与成本分层</t>
        </is>
      </c>
      <c r="F7" s="27" t="inlineStr">
        <is>
          <t>https://www.stcn.com/article/detail/1424449.html</t>
        </is>
      </c>
      <c r="G7" s="26" t="inlineStr">
        <is>
          <t>已公开</t>
        </is>
      </c>
    </row>
    <row r="8" ht="44.59999999999999" customHeight="1">
      <c r="A8" s="21" t="inlineStr">
        <is>
          <t>连云港碱业</t>
        </is>
      </c>
      <c r="B8" s="21" t="inlineStr">
        <is>
          <t>装置</t>
        </is>
      </c>
      <c r="C8" s="21" t="inlineStr">
        <is>
          <t>2025-05-18 全流程贯通，联碱负荷 80%</t>
        </is>
      </c>
      <c r="D8" s="21" t="inlineStr">
        <is>
          <t>新线达产/质量稳定性需 3–6 个月观察</t>
        </is>
      </c>
      <c r="E8" s="21" t="inlineStr">
        <is>
          <t>连云港市政府：碱业搬迁项目 110 万吨联碱全流程贯通</t>
        </is>
      </c>
      <c r="F8" s="23" t="inlineStr">
        <is>
          <t>https://www.lyg.gov.cn/zglygzfmhwz/gcyw/content/3ad7d8d1-8a2a-4683-82b5-4766ac84985e.html</t>
        </is>
      </c>
      <c r="G8" s="22" t="inlineStr">
        <is>
          <t>已公开</t>
        </is>
      </c>
    </row>
    <row r="9" ht="44.59999999999999" customHeight="1">
      <c r="A9" s="25" t="inlineStr">
        <is>
          <t>江苏德邦</t>
        </is>
      </c>
      <c r="B9" s="25" t="inlineStr">
        <is>
          <t>装置</t>
        </is>
      </c>
      <c r="C9" s="25" t="inlineStr">
        <is>
          <t>60 万吨联碱 2025 年 2 月纯碱出货</t>
        </is>
      </c>
      <c r="D9" s="25" t="inlineStr">
        <is>
          <t>新装置爬坡；非免检品牌</t>
        </is>
      </c>
      <c r="E9" s="25" t="inlineStr">
        <is>
          <t>新浪：连云港德邦 60 万吨联碱开始投产（2025-02-20）</t>
        </is>
      </c>
      <c r="F9" s="27" t="inlineStr">
        <is>
          <t>https://finance.sina.com.cn/money/bond/2025-02-20/doc-inemarzm4048650.shtml</t>
        </is>
      </c>
      <c r="G9" s="26" t="inlineStr">
        <is>
          <t>已公开</t>
        </is>
      </c>
    </row>
    <row r="10" ht="32" customHeight="1">
      <c r="A10" s="21" t="inlineStr">
        <is>
          <t>江苏德邦</t>
        </is>
      </c>
      <c r="B10" s="21" t="inlineStr">
        <is>
          <t>股权</t>
        </is>
      </c>
      <c r="C10" s="21" t="inlineStr">
        <is>
          <t>外商投资企业，与安徽德邦是否同集团待核</t>
        </is>
      </c>
      <c r="D10" s="21" t="inlineStr">
        <is>
          <t>可能影响独立性与销售主体认定</t>
        </is>
      </c>
      <c r="E10" s="21" t="inlineStr">
        <is>
          <t>江苏德邦官网</t>
        </is>
      </c>
      <c r="F10" s="23" t="inlineStr">
        <is>
          <t>http://www.jsdebang.com/</t>
        </is>
      </c>
      <c r="G10" s="22" t="inlineStr">
        <is>
          <t>待核实</t>
        </is>
      </c>
    </row>
    <row r="11" ht="32" customHeight="1">
      <c r="A11" s="25" t="inlineStr">
        <is>
          <t>中盐昆山</t>
        </is>
      </c>
      <c r="B11" s="25" t="inlineStr">
        <is>
          <t>规模</t>
        </is>
      </c>
      <c r="C11" s="25" t="inlineStr">
        <is>
          <t>纯碱 55 万吨/年，单一基地</t>
        </is>
      </c>
      <c r="D11" s="25" t="inlineStr">
        <is>
          <t>旺季保供/议价能力有限</t>
        </is>
      </c>
      <c r="E11" s="25" t="inlineStr">
        <is>
          <t>中盐昆山官网：55 万吨纯碱/60 万吨氯化铵</t>
        </is>
      </c>
      <c r="F11" s="27" t="inlineStr">
        <is>
          <t>https://www.csks.cn/helps/gyzyks.html</t>
        </is>
      </c>
      <c r="G11" s="26" t="inlineStr">
        <is>
          <t>已公开</t>
        </is>
      </c>
    </row>
    <row r="12" ht="32" customHeight="1">
      <c r="A12" s="21" t="inlineStr">
        <is>
          <t>华昌化工</t>
        </is>
      </c>
      <c r="B12" s="21" t="inlineStr">
        <is>
          <t>财务</t>
        </is>
      </c>
      <c r="C12" s="21" t="inlineStr">
        <is>
          <t>2025 年纯碱板块盈利待核</t>
        </is>
      </c>
      <c r="D12" s="21" t="inlineStr">
        <is>
          <t>联碱双吨成本受氯化铵价格影响</t>
        </is>
      </c>
      <c r="E12" s="21" t="inlineStr">
        <is>
          <t>华昌化工 2025 年年度报告摘要</t>
        </is>
      </c>
      <c r="F12" s="23" t="inlineStr">
        <is>
          <t>http://static.cninfo.com.cn/finalpage/2026-04-18/1225115189.PDF</t>
        </is>
      </c>
      <c r="G12" s="22" t="inlineStr">
        <is>
          <t>待核实</t>
        </is>
      </c>
    </row>
    <row r="13" ht="32" customHeight="1">
      <c r="A13" s="25" t="inlineStr">
        <is>
          <t>三友化工</t>
        </is>
      </c>
      <c r="B13" s="25" t="inlineStr">
        <is>
          <t>财务</t>
        </is>
      </c>
      <c r="C13" s="25" t="inlineStr">
        <is>
          <t>2025 年净利约 0.90 亿元（按分红比例推算）</t>
        </is>
      </c>
      <c r="D13" s="25" t="inlineStr">
        <is>
          <t>微利，纯碱价格继续下行则承压</t>
        </is>
      </c>
      <c r="E13" s="25" t="inlineStr">
        <is>
          <t>三友化工 2025 年年度报告</t>
        </is>
      </c>
      <c r="F13" s="27" t="inlineStr">
        <is>
          <t>https://money.finance.sina.com.cn/corp/view/vCB_AllBulletinDetail.php?stockid=600409&amp;id=12180724</t>
        </is>
      </c>
      <c r="G13" s="26" t="inlineStr">
        <is>
          <t>已公开</t>
        </is>
      </c>
    </row>
    <row r="14" ht="32" customHeight="1">
      <c r="A14" s="21" t="inlineStr">
        <is>
          <t>三友化工</t>
        </is>
      </c>
      <c r="B14" s="21" t="inlineStr">
        <is>
          <t>环保</t>
        </is>
      </c>
      <c r="C14" s="21" t="inlineStr">
        <is>
          <t>唐山地区环保限产/重污染天气应急</t>
        </is>
      </c>
      <c r="D14" s="21" t="inlineStr">
        <is>
          <t>阶段性降负荷、发运受限</t>
        </is>
      </c>
      <c r="E14" s="21" t="inlineStr">
        <is>
          <t>证券时报：纯碱产业供需与成本分层</t>
        </is>
      </c>
      <c r="F14" s="23" t="inlineStr">
        <is>
          <t>https://www.stcn.com/article/detail/1424449.html</t>
        </is>
      </c>
      <c r="G14" s="22" t="inlineStr">
        <is>
          <t>待核实</t>
        </is>
      </c>
    </row>
    <row r="15" ht="44.59999999999999" customHeight="1">
      <c r="A15" s="25" t="inlineStr">
        <is>
          <t>河南金山</t>
        </is>
      </c>
      <c r="B15" s="25" t="inlineStr">
        <is>
          <t>产能</t>
        </is>
      </c>
      <c r="C15" s="25" t="inlineStr">
        <is>
          <t>2024 年退出获嘉 40 万吨、孟州 30 万吨</t>
        </is>
      </c>
      <c r="D15" s="25" t="inlineStr">
        <is>
          <t>集团总产能口径变化，需锁定舞阳厂区</t>
        </is>
      </c>
      <c r="E15" s="25" t="inlineStr">
        <is>
          <t>观研报告网：2024 年纯碱产能变动（金山退出/远兴新增）</t>
        </is>
      </c>
      <c r="F15" s="27" t="inlineStr">
        <is>
          <t>https://m.chinabaogao.com/detail/741959.html</t>
        </is>
      </c>
      <c r="G15" s="26" t="inlineStr">
        <is>
          <t>已公开</t>
        </is>
      </c>
    </row>
    <row r="16" ht="32" customHeight="1">
      <c r="A16" s="21" t="inlineStr">
        <is>
          <t>远兴能源</t>
        </is>
      </c>
      <c r="B16" s="21" t="inlineStr">
        <is>
          <t>资质</t>
        </is>
      </c>
      <c r="C16" s="21" t="inlineStr">
        <is>
          <t>“远兴牌”不是郑商所纯碱免检品牌</t>
        </is>
      </c>
      <c r="D16" s="21" t="inlineStr">
        <is>
          <t>到货需按批检验，交割/质押便利性弱</t>
        </is>
      </c>
      <c r="E16" s="21" t="inlineStr">
        <is>
          <t>每日经济新闻：远兴牌不是郑商所免检品牌</t>
        </is>
      </c>
      <c r="F16" s="23" t="inlineStr">
        <is>
          <t>https://www.nbd.com.cn/articles/2023-11-29/3138455.html</t>
        </is>
      </c>
      <c r="G16" s="22" t="inlineStr">
        <is>
          <t>已公开</t>
        </is>
      </c>
    </row>
    <row r="17" ht="32" customHeight="1">
      <c r="A17" s="25" t="inlineStr">
        <is>
          <t>远兴能源</t>
        </is>
      </c>
      <c r="B17" s="25" t="inlineStr">
        <is>
          <t>装置</t>
        </is>
      </c>
      <c r="C17" s="25" t="inlineStr">
        <is>
          <t>阿拉善装置曾因设备故障降负荷运行</t>
        </is>
      </c>
      <c r="D17" s="25" t="inlineStr">
        <is>
          <t>单点装置波动影响交付</t>
        </is>
      </c>
      <c r="E17" s="25" t="inlineStr">
        <is>
          <t>凤凰财经</t>
        </is>
      </c>
      <c r="F17" s="27" t="inlineStr">
        <is>
          <t>https://finance.ifeng.com/c/8cdOst6NQDg</t>
        </is>
      </c>
      <c r="G17" s="26" t="inlineStr">
        <is>
          <t>已公开</t>
        </is>
      </c>
    </row>
    <row r="18" ht="32" customHeight="1">
      <c r="A18" s="21" t="inlineStr">
        <is>
          <t>远兴能源</t>
        </is>
      </c>
      <c r="B18" s="21" t="inlineStr">
        <is>
          <t>同源</t>
        </is>
      </c>
      <c r="C18" s="21" t="inlineStr">
        <is>
          <t>2014 年收购中源化学 81.71%，二者母子公司</t>
        </is>
      </c>
      <c r="D18" s="21" t="inlineStr">
        <is>
          <t>远兴+中源不构成两个独立供应源</t>
        </is>
      </c>
      <c r="E18" s="21" t="inlineStr">
        <is>
          <t>远兴能源 2020 年年报：中源化学为关联方</t>
        </is>
      </c>
      <c r="F18" s="23" t="inlineStr">
        <is>
          <t>http://money.finance.sina.com.cn/corp/view/vCB_AllBulletinDetail.php?stockid=000683&amp;id=7139660</t>
        </is>
      </c>
      <c r="G18" s="22" t="inlineStr">
        <is>
          <t>已公开</t>
        </is>
      </c>
    </row>
    <row r="19" ht="44.59999999999999" customHeight="1">
      <c r="A19" s="25" t="inlineStr">
        <is>
          <t>中盐化工/昆仑</t>
        </is>
      </c>
      <c r="B19" s="25" t="inlineStr">
        <is>
          <t>财务</t>
        </is>
      </c>
      <c r="C19" s="25" t="inlineStr">
        <is>
          <t>中盐化工 2025 年净利约 1.48 亿元（机构预测）</t>
        </is>
      </c>
      <c r="D19" s="25" t="inlineStr">
        <is>
          <t>集团盈利低位，纯碱板块资本开支受限</t>
        </is>
      </c>
      <c r="E19" s="25" t="inlineStr">
        <is>
          <t>券商：中盐化工 390 万吨纯碱、2025 年净利预测 1.48 亿元</t>
        </is>
      </c>
      <c r="F19" s="27" t="inlineStr">
        <is>
          <t>https://pdf.dfcfw.com/pdf/H3_AP202508281736014851_1.pdf</t>
        </is>
      </c>
      <c r="G19" s="26" t="inlineStr">
        <is>
          <t>待核实</t>
        </is>
      </c>
    </row>
    <row r="20" ht="32" customHeight="1">
      <c r="A20" s="21" t="inlineStr">
        <is>
          <t>双环科技</t>
        </is>
      </c>
      <c r="B20" s="21" t="inlineStr">
        <is>
          <t>财务</t>
        </is>
      </c>
      <c r="C20" s="21" t="inlineStr">
        <is>
          <t>2025 年归母净利 -153 万元；2026H1 预亏 0.55–0.85 亿元</t>
        </is>
      </c>
      <c r="D20" s="21" t="inlineStr">
        <is>
          <t>连续亏损，供应稳定性/账期需重点评估</t>
        </is>
      </c>
      <c r="E20" s="21" t="inlineStr">
        <is>
          <t>东方财富：双环科技 2026H1 预亏 0.55–0.85 亿元</t>
        </is>
      </c>
      <c r="F20" s="23" t="inlineStr">
        <is>
          <t>https://finance.eastmoney.com/a/202607143805775564.html</t>
        </is>
      </c>
      <c r="G20" s="22" t="inlineStr">
        <is>
          <t>已公开</t>
        </is>
      </c>
    </row>
    <row r="21" ht="32" customHeight="1">
      <c r="A21" s="25" t="inlineStr">
        <is>
          <t>海天生物</t>
        </is>
      </c>
      <c r="B21" s="25" t="inlineStr">
        <is>
          <t>独立性</t>
        </is>
      </c>
      <c r="C21" s="25" t="inlineStr">
        <is>
          <t>金晶科技（600586）全资，金晶本身做玻璃</t>
        </is>
      </c>
      <c r="D21" s="25" t="inlineStr">
        <is>
          <t>向下游玻璃客户供货存在纵向竞争</t>
        </is>
      </c>
      <c r="E21" s="25" t="inlineStr">
        <is>
          <t>金晶科技为海天生物提供担保的公告</t>
        </is>
      </c>
      <c r="F21" s="27" t="inlineStr">
        <is>
          <t>http://static.cninfo.com.cn/finalpage/2018-06-06/1205038312.PDF</t>
        </is>
      </c>
      <c r="G21" s="26" t="inlineStr">
        <is>
          <t>已公开</t>
        </is>
      </c>
    </row>
    <row r="22" ht="32" customHeight="1">
      <c r="A22" s="21" t="inlineStr">
        <is>
          <t>全行业</t>
        </is>
      </c>
      <c r="B22" s="21" t="inlineStr">
        <is>
          <t>价格</t>
        </is>
      </c>
      <c r="C22" s="21" t="inlineStr">
        <is>
          <t>2026-09 华东重碱约 1,130–1,230 元/吨，行业普遍亏损</t>
        </is>
      </c>
      <c r="D22" s="21" t="inlineStr">
        <is>
          <t>低价期供应商履约/质量投入下降</t>
        </is>
      </c>
      <c r="E22" s="21" t="inlineStr">
        <is>
          <t>新浪财经：2026-09 华东重碱 1,130–1,230 元/吨</t>
        </is>
      </c>
      <c r="F22" s="23" t="inlineStr">
        <is>
          <t>https://www.sohu.com/a/1079343192_122014422</t>
        </is>
      </c>
      <c r="G22" s="22" t="inlineStr">
        <is>
          <t>已公开</t>
        </is>
      </c>
    </row>
    <row r="23" ht="44.59999999999999" customHeight="1">
      <c r="A23" s="25" t="inlineStr">
        <is>
          <t>全行业</t>
        </is>
      </c>
      <c r="B23" s="25" t="inlineStr">
        <is>
          <t>供给</t>
        </is>
      </c>
      <c r="C23" s="25" t="inlineStr">
        <is>
          <t>2026H1 国内纯碱产能超 4,400 万吨，占全球 53.3%</t>
        </is>
      </c>
      <c r="D23" s="25" t="inlineStr">
        <is>
          <t>供给宽松，价格中枢下移</t>
        </is>
      </c>
      <c r="E23" s="25" t="inlineStr">
        <is>
          <t>东方财富：2026H1 纯碱产能超 4,400 万吨、占全球 53.3%</t>
        </is>
      </c>
      <c r="F23" s="27" t="inlineStr">
        <is>
          <t>https://caifuhao.eastmoney.com/news/20261005182510160125460</t>
        </is>
      </c>
      <c r="G23" s="26" t="inlineStr">
        <is>
          <t>已公开</t>
        </is>
      </c>
    </row>
  </sheetData>
  <autoFilter ref="A5:G23"/>
  <mergeCells count="3">
    <mergeCell ref="A3:G3"/>
    <mergeCell ref="A2:G2"/>
    <mergeCell ref="A1:G1"/>
  </mergeCells>
  <conditionalFormatting sqref="B6:B23">
    <cfRule type="expression" priority="1" dxfId="0">
      <formula>$B6="财务"</formula>
    </cfRule>
    <cfRule type="expression" priority="2" dxfId="10">
      <formula>$B6="装置"</formula>
    </cfRule>
    <cfRule type="expression" priority="3" dxfId="9">
      <formula>$B6="资质"</formula>
    </cfRule>
    <cfRule type="expression" priority="4" dxfId="11">
      <formula>$B6="同源"</formula>
    </cfRule>
    <cfRule type="expression" priority="5" dxfId="8">
      <formula>$B6="行业"</formula>
    </cfRule>
  </conditionalFormatting>
  <conditionalFormatting sqref="G6:G23">
    <cfRule type="expression" priority="6" dxfId="12">
      <formula>$G6="已公开"</formula>
    </cfRule>
    <cfRule type="expression" priority="7" dxfId="6">
      <formula>$G6="待核实"</formula>
    </cfRule>
  </conditionalFormatting>
  <hyperlinks>
    <hyperlink xmlns:r="http://schemas.openxmlformats.org/officeDocument/2006/relationships" ref="F6" r:id="rId1"/>
    <hyperlink xmlns:r="http://schemas.openxmlformats.org/officeDocument/2006/relationships" ref="F7" r:id="rId2"/>
    <hyperlink xmlns:r="http://schemas.openxmlformats.org/officeDocument/2006/relationships" ref="F8" r:id="rId3"/>
    <hyperlink xmlns:r="http://schemas.openxmlformats.org/officeDocument/2006/relationships" ref="F9" r:id="rId4"/>
    <hyperlink xmlns:r="http://schemas.openxmlformats.org/officeDocument/2006/relationships" ref="F10" r:id="rId5"/>
    <hyperlink xmlns:r="http://schemas.openxmlformats.org/officeDocument/2006/relationships" ref="F11" r:id="rId6"/>
    <hyperlink xmlns:r="http://schemas.openxmlformats.org/officeDocument/2006/relationships" ref="F12" r:id="rId7"/>
    <hyperlink xmlns:r="http://schemas.openxmlformats.org/officeDocument/2006/relationships" ref="F13" r:id="rId8"/>
    <hyperlink xmlns:r="http://schemas.openxmlformats.org/officeDocument/2006/relationships" ref="F14" r:id="rId9"/>
    <hyperlink xmlns:r="http://schemas.openxmlformats.org/officeDocument/2006/relationships" ref="F15" r:id="rId10"/>
    <hyperlink xmlns:r="http://schemas.openxmlformats.org/officeDocument/2006/relationships" ref="F16" r:id="rId11"/>
    <hyperlink xmlns:r="http://schemas.openxmlformats.org/officeDocument/2006/relationships" ref="F17" r:id="rId12"/>
    <hyperlink xmlns:r="http://schemas.openxmlformats.org/officeDocument/2006/relationships" ref="F18" r:id="rId13"/>
    <hyperlink xmlns:r="http://schemas.openxmlformats.org/officeDocument/2006/relationships" ref="F19" r:id="rId14"/>
    <hyperlink xmlns:r="http://schemas.openxmlformats.org/officeDocument/2006/relationships" ref="F20" r:id="rId15"/>
    <hyperlink xmlns:r="http://schemas.openxmlformats.org/officeDocument/2006/relationships" ref="F21" r:id="rId16"/>
    <hyperlink xmlns:r="http://schemas.openxmlformats.org/officeDocument/2006/relationships" ref="F22" r:id="rId17"/>
    <hyperlink xmlns:r="http://schemas.openxmlformats.org/officeDocument/2006/relationships" ref="F23" r:id="rId18"/>
  </hyperlinks>
  <pageMargins left="0.75" right="0.75" top="1" bottom="1" header="0.5" footer="0.5"/>
  <pageSetup orientation="landscape" paperSize="8" fitToHeight="0" fitToWidth="1"/>
  <headerFooter>
    <oddHeader/>
    <oddFooter>&amp;C&amp;8 &amp;K808080第二供应源备选池 · 第 &amp;P / &amp;N 页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067647"/>
    <outlinePr summaryBelow="1" summaryRight="1"/>
    <pageSetUpPr fitToPage="1"/>
  </sheetPr>
  <dimension ref="A1:G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6" customWidth="1" min="3" max="3"/>
    <col width="14" customWidth="1" min="4" max="4"/>
    <col width="34" customWidth="1" min="5" max="5"/>
    <col width="10" customWidth="1" min="6" max="6"/>
    <col width="12" customWidth="1" min="7" max="7"/>
  </cols>
  <sheetData>
    <row r="1" ht="44" customHeight="1">
      <c r="A1" s="17" t="inlineStr">
        <is>
          <t>07 · 90 天双源推进清单</t>
        </is>
      </c>
    </row>
    <row r="2" ht="24" customHeight="1">
      <c r="A2" s="18" t="inlineStr">
        <is>
          <t>动作是“验证与建源”，不是“替换现有供应商”。</t>
        </is>
      </c>
    </row>
    <row r="3" ht="20" customHeight="1">
      <c r="A3" s="3" t="inlineStr">
        <is>
          <t>内部采购评估 · 公开信息研究</t>
        </is>
      </c>
    </row>
    <row r="5" ht="32" customHeight="1">
      <c r="A5" s="19" t="inlineStr">
        <is>
          <t>阶段</t>
        </is>
      </c>
      <c r="B5" s="19" t="inlineStr">
        <is>
          <t>动作</t>
        </is>
      </c>
      <c r="C5" s="19" t="inlineStr">
        <is>
          <t>说明</t>
        </is>
      </c>
      <c r="D5" s="19" t="inlineStr">
        <is>
          <t>责任</t>
        </is>
      </c>
      <c r="E5" s="19" t="inlineStr">
        <is>
          <t>产出</t>
        </is>
      </c>
      <c r="F5" s="19" t="inlineStr">
        <is>
          <t>状态</t>
        </is>
      </c>
      <c r="G5" s="19" t="inlineStr">
        <is>
          <t>目标完成</t>
        </is>
      </c>
    </row>
    <row r="6" ht="36" customHeight="1">
      <c r="A6" s="20" t="inlineStr">
        <is>
          <t>第 0–30 天</t>
        </is>
      </c>
      <c r="B6" s="21" t="inlineStr">
        <is>
          <t>锁定 3 家进入首轮</t>
        </is>
      </c>
      <c r="C6" s="21" t="inlineStr">
        <is>
          <t>按“近场联碱 + 同工艺氨碱 + 低成本天然碱”各取 1 家；优先华昌/中盐昆山（近场）、三友（同工艺）、金山（规模+免检）。</t>
        </is>
      </c>
      <c r="D6" s="22" t="inlineStr">
        <is>
          <t>采购经理</t>
        </is>
      </c>
      <c r="E6" s="21" t="inlineStr">
        <is>
          <t>首轮询价单、产能与排产证明、COA 样本</t>
        </is>
      </c>
      <c r="F6" s="22" t="inlineStr">
        <is>
          <t>未开始</t>
        </is>
      </c>
      <c r="G6" s="22" t="inlineStr">
        <is>
          <t>T+30</t>
        </is>
      </c>
    </row>
    <row r="7" ht="36" customHeight="1">
      <c r="A7" s="24" t="inlineStr">
        <is>
          <t>第 0–30 天</t>
        </is>
      </c>
      <c r="B7" s="25" t="inlineStr">
        <is>
          <t>同源排查</t>
        </is>
      </c>
      <c r="C7" s="25" t="inlineStr">
        <is>
          <t>远兴与中源二选一；中盐昆山与昆仑确认集团销售政策；海天确认对玻璃客户供货政策。</t>
        </is>
      </c>
      <c r="D7" s="26" t="inlineStr">
        <is>
          <t>采购 + 法务</t>
        </is>
      </c>
      <c r="E7" s="25" t="inlineStr">
        <is>
          <t>股权穿透图、关联交易说明</t>
        </is>
      </c>
      <c r="F7" s="26" t="inlineStr">
        <is>
          <t>未开始</t>
        </is>
      </c>
      <c r="G7" s="26" t="inlineStr">
        <is>
          <t>T+30</t>
        </is>
      </c>
    </row>
    <row r="8" ht="36" customHeight="1">
      <c r="A8" s="20" t="inlineStr">
        <is>
          <t>第 31–60 天</t>
        </is>
      </c>
      <c r="B8" s="21" t="inlineStr">
        <is>
          <t>首样与小试</t>
        </is>
      </c>
      <c r="C8" s="21" t="inlineStr">
        <is>
          <t>每家 20–50 kg 首样，按 9 项指标检测；新装置（碱业、德邦）追加 3 批稳定性验证。</t>
        </is>
      </c>
      <c r="D8" s="22" t="inlineStr">
        <is>
          <t>质量部</t>
        </is>
      </c>
      <c r="E8" s="21" t="inlineStr">
        <is>
          <t>检测报告、封样、小试结论</t>
        </is>
      </c>
      <c r="F8" s="22" t="inlineStr">
        <is>
          <t>未开始</t>
        </is>
      </c>
      <c r="G8" s="22" t="inlineStr">
        <is>
          <t>T+60</t>
        </is>
      </c>
    </row>
    <row r="9" ht="36" customHeight="1">
      <c r="A9" s="24" t="inlineStr">
        <is>
          <t>第 31–60 天</t>
        </is>
      </c>
      <c r="B9" s="25" t="inlineStr">
        <is>
          <t>到厂试运</t>
        </is>
      </c>
      <c r="C9" s="25" t="inlineStr">
        <is>
          <t>每家 1 车（30–35 吨）到厂，验证运输结块、卸货、包装破损与计量。</t>
        </is>
      </c>
      <c r="D9" s="26" t="inlineStr">
        <is>
          <t>物流 + 仓库</t>
        </is>
      </c>
      <c r="E9" s="25" t="inlineStr">
        <is>
          <t>到货验收记录</t>
        </is>
      </c>
      <c r="F9" s="26" t="inlineStr">
        <is>
          <t>未开始</t>
        </is>
      </c>
      <c r="G9" s="26" t="inlineStr">
        <is>
          <t>T+60</t>
        </is>
      </c>
    </row>
    <row r="10" ht="36" customHeight="1">
      <c r="A10" s="20" t="inlineStr">
        <is>
          <t>第 61–90 天</t>
        </is>
      </c>
      <c r="B10" s="21" t="inlineStr">
        <is>
          <t>商务与双源</t>
        </is>
      </c>
      <c r="C10" s="21" t="inlineStr">
        <is>
          <t>确定 1 家主供 + 1 家备供（不替代现供应商），约定最小起订、账期、质量赔付与月度滚动锁量。</t>
        </is>
      </c>
      <c r="D10" s="22" t="inlineStr">
        <is>
          <t>采购总监</t>
        </is>
      </c>
      <c r="E10" s="21" t="inlineStr">
        <is>
          <t>框架协议、双源比例（如 70/30）</t>
        </is>
      </c>
      <c r="F10" s="22" t="inlineStr">
        <is>
          <t>未开始</t>
        </is>
      </c>
      <c r="G10" s="22" t="inlineStr">
        <is>
          <t>T+90</t>
        </is>
      </c>
    </row>
    <row r="11" ht="36" customHeight="1">
      <c r="A11" s="24" t="inlineStr">
        <is>
          <t>第 61–90 天</t>
        </is>
      </c>
      <c r="B11" s="25" t="inlineStr">
        <is>
          <t>风险复核</t>
        </is>
      </c>
      <c r="C11" s="25" t="inlineStr">
        <is>
          <t>复核供应商 2026 年现金流/检修计划/环保限产；更新风险台账。</t>
        </is>
      </c>
      <c r="D11" s="26" t="inlineStr">
        <is>
          <t>采购 + 财务</t>
        </is>
      </c>
      <c r="E11" s="25" t="inlineStr">
        <is>
          <t>季度风险复盘</t>
        </is>
      </c>
      <c r="F11" s="26" t="inlineStr">
        <is>
          <t>未开始</t>
        </is>
      </c>
      <c r="G11" s="26" t="inlineStr">
        <is>
          <t>T+90</t>
        </is>
      </c>
    </row>
  </sheetData>
  <mergeCells count="3">
    <mergeCell ref="A3:G3"/>
    <mergeCell ref="A2:G2"/>
    <mergeCell ref="A1:G1"/>
  </mergeCells>
  <conditionalFormatting sqref="F6:F11">
    <cfRule type="expression" priority="1" dxfId="3">
      <formula>$F6="已完成"</formula>
    </cfRule>
    <cfRule type="expression" priority="2" dxfId="10">
      <formula>$F6="进行中"</formula>
    </cfRule>
    <cfRule type="expression" priority="3" dxfId="8">
      <formula>$F6="已搁置"</formula>
    </cfRule>
  </conditionalFormatting>
  <dataValidations count="1">
    <dataValidation sqref="F6:F11" showDropDown="0" showInputMessage="0" showErrorMessage="0" allowBlank="1" type="list">
      <formula1>"未开始,进行中,已完成,已搁置"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&amp;C&amp;8 &amp;K808080第二供应源备选池 · 第 &amp;P / &amp;N 页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E5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6" customWidth="1" min="2" max="2"/>
    <col width="62" customWidth="1" min="3" max="3"/>
    <col width="9" customWidth="1" min="4" max="4"/>
    <col width="14" customWidth="1" min="5" max="5"/>
  </cols>
  <sheetData>
    <row r="1" ht="44" customHeight="1">
      <c r="A1" s="17" t="inlineStr">
        <is>
          <t>08 · 数据来源与证据等级</t>
        </is>
      </c>
    </row>
    <row r="2" ht="24" customHeight="1">
      <c r="A2" s="18" t="inlineStr">
        <is>
          <t>A = 公告/政府；B = 协会/券商/主流媒体；C = 企业官网/百科。</t>
        </is>
      </c>
    </row>
    <row r="3" ht="20" customHeight="1">
      <c r="A3" s="3" t="inlineStr">
        <is>
          <t>内部采购评估 · 公开信息研究</t>
        </is>
      </c>
    </row>
    <row r="5" ht="30" customHeight="1">
      <c r="A5" s="19" t="inlineStr">
        <is>
          <t>序号</t>
        </is>
      </c>
      <c r="B5" s="19" t="inlineStr">
        <is>
          <t>来源</t>
        </is>
      </c>
      <c r="C5" s="19" t="inlineStr">
        <is>
          <t>链接</t>
        </is>
      </c>
      <c r="D5" s="19" t="inlineStr">
        <is>
          <t>证据等级</t>
        </is>
      </c>
      <c r="E5" s="19" t="inlineStr">
        <is>
          <t>日期/口径</t>
        </is>
      </c>
    </row>
    <row r="6" ht="26" customHeight="1">
      <c r="A6" s="20" t="n">
        <v>1</v>
      </c>
      <c r="B6" s="21" t="inlineStr">
        <is>
          <t>观研报告网：2024 年纯碱产能变动（金山退出/远兴新增）</t>
        </is>
      </c>
      <c r="C6" s="23" t="inlineStr">
        <is>
          <t>https://m.chinabaogao.com/detail/741959.html</t>
        </is>
      </c>
      <c r="D6" s="22" t="inlineStr">
        <is>
          <t>B</t>
        </is>
      </c>
      <c r="E6" s="22" t="inlineStr">
        <is>
          <t>2025</t>
        </is>
      </c>
    </row>
    <row r="7" ht="26" customHeight="1">
      <c r="A7" s="24" t="n">
        <v>2</v>
      </c>
      <c r="B7" s="25" t="inlineStr">
        <is>
          <t>海外网：纯碱工业高质量发展综合述评（在产 3,970 万吨）</t>
        </is>
      </c>
      <c r="C7" s="27" t="inlineStr">
        <is>
          <t>https://news.haiwainet.cn/n/2025/0122/c3541089-32832061.html</t>
        </is>
      </c>
      <c r="D7" s="26" t="inlineStr">
        <is>
          <t>B</t>
        </is>
      </c>
      <c r="E7" s="26" t="inlineStr">
        <is>
          <t>2025-01-22</t>
        </is>
      </c>
    </row>
    <row r="8" ht="26" customHeight="1">
      <c r="A8" s="20" t="n">
        <v>3</v>
      </c>
      <c r="B8" s="21" t="inlineStr">
        <is>
          <t>证券时报：纯碱产业供需与成本分层</t>
        </is>
      </c>
      <c r="C8" s="23" t="inlineStr">
        <is>
          <t>https://www.stcn.com/article/detail/1424449.html</t>
        </is>
      </c>
      <c r="D8" s="22" t="inlineStr">
        <is>
          <t>B</t>
        </is>
      </c>
      <c r="E8" s="22" t="inlineStr">
        <is>
          <t>2024-11</t>
        </is>
      </c>
    </row>
    <row r="9" ht="26" customHeight="1">
      <c r="A9" s="24" t="n">
        <v>4</v>
      </c>
      <c r="B9" s="25" t="inlineStr">
        <is>
          <t>新浪财经：2026-09 华东重碱 1,130–1,230 元/吨</t>
        </is>
      </c>
      <c r="C9" s="27" t="inlineStr">
        <is>
          <t>https://www.sohu.com/a/1079343192_122014422</t>
        </is>
      </c>
      <c r="D9" s="26" t="inlineStr">
        <is>
          <t>B</t>
        </is>
      </c>
      <c r="E9" s="26" t="inlineStr">
        <is>
          <t>2026-09-22</t>
        </is>
      </c>
    </row>
    <row r="10" ht="26" customHeight="1">
      <c r="A10" s="20" t="n">
        <v>5</v>
      </c>
      <c r="B10" s="21" t="inlineStr">
        <is>
          <t>东方财富：2026H1 纯碱产能超 4,400 万吨、占全球 53.3%</t>
        </is>
      </c>
      <c r="C10" s="23" t="inlineStr">
        <is>
          <t>https://caifuhao.eastmoney.com/news/20261005182510160125460</t>
        </is>
      </c>
      <c r="D10" s="22" t="inlineStr">
        <is>
          <t>B</t>
        </is>
      </c>
      <c r="E10" s="22" t="inlineStr">
        <is>
          <t>2026-10-05</t>
        </is>
      </c>
    </row>
    <row r="11" ht="26" customHeight="1">
      <c r="A11" s="24" t="n">
        <v>6</v>
      </c>
      <c r="B11" s="25" t="inlineStr">
        <is>
          <t>郑商所纯碱交割手册（免检品牌/质量标准）</t>
        </is>
      </c>
      <c r="C11" s="27" t="inlineStr">
        <is>
          <t>https://www.glqh.com/u/cms/www/202409/131008303uib.pdf</t>
        </is>
      </c>
      <c r="D11" s="26" t="inlineStr">
        <is>
          <t>A</t>
        </is>
      </c>
      <c r="E11" s="26" t="inlineStr">
        <is>
          <t>2024-09</t>
        </is>
      </c>
    </row>
    <row r="12" ht="26" customHeight="1">
      <c r="A12" s="20" t="n">
        <v>7</v>
      </c>
      <c r="B12" s="21" t="inlineStr">
        <is>
          <t>期货日报：郑商所优化纯碱交割体系</t>
        </is>
      </c>
      <c r="C12" s="23" t="inlineStr">
        <is>
          <t>https://www.cfachina.org/industrydynamics/mediaviewoffuturesmarket/202601/t20260120_86178.html</t>
        </is>
      </c>
      <c r="D12" s="22" t="inlineStr">
        <is>
          <t>B</t>
        </is>
      </c>
      <c r="E12" s="22" t="inlineStr">
        <is>
          <t>2026-01-20</t>
        </is>
      </c>
    </row>
    <row r="13" ht="26" customHeight="1">
      <c r="A13" s="24" t="n">
        <v>8</v>
      </c>
      <c r="B13" s="25" t="inlineStr">
        <is>
          <t>中证报：纯碱新增重庆/成都交割区域</t>
        </is>
      </c>
      <c r="C13" s="27" t="inlineStr">
        <is>
          <t>https://finance.eastmoney.com/a/202607093800400551.html</t>
        </is>
      </c>
      <c r="D13" s="26" t="inlineStr">
        <is>
          <t>B</t>
        </is>
      </c>
      <c r="E13" s="26" t="inlineStr">
        <is>
          <t>2026-07-09</t>
        </is>
      </c>
    </row>
    <row r="14" ht="26" customHeight="1">
      <c r="A14" s="20" t="n">
        <v>9</v>
      </c>
      <c r="B14" s="21" t="inlineStr">
        <is>
          <t>山东海化 2025 年年度报告</t>
        </is>
      </c>
      <c r="C14" s="23" t="inlineStr">
        <is>
          <t>https://disc.static.szse.cn/disc/disk03/finalpage/2026-03-21/6a3e3b5a-afd9-42d8-8220-f838c724ab84.PDF</t>
        </is>
      </c>
      <c r="D14" s="22" t="inlineStr">
        <is>
          <t>A</t>
        </is>
      </c>
      <c r="E14" s="22" t="inlineStr">
        <is>
          <t>2026-03-21</t>
        </is>
      </c>
    </row>
    <row r="15" ht="26" customHeight="1">
      <c r="A15" s="24" t="n">
        <v>10</v>
      </c>
      <c r="B15" s="25" t="inlineStr">
        <is>
          <t>证券时报：山东海化 2025 年亏损 13.88 亿元</t>
        </is>
      </c>
      <c r="C15" s="27" t="inlineStr">
        <is>
          <t>https://stcn.com/article/detail/3689241.html</t>
        </is>
      </c>
      <c r="D15" s="26" t="inlineStr">
        <is>
          <t>B</t>
        </is>
      </c>
      <c r="E15" s="26" t="inlineStr">
        <is>
          <t>2026-03-20</t>
        </is>
      </c>
    </row>
    <row r="16" ht="26" customHeight="1">
      <c r="A16" s="20" t="n">
        <v>11</v>
      </c>
      <c r="B16" s="21" t="inlineStr">
        <is>
          <t>连云港市政府：碱业搬迁项目 110 万吨联碱全流程贯通</t>
        </is>
      </c>
      <c r="C16" s="23" t="inlineStr">
        <is>
          <t>https://www.lyg.gov.cn/zglygzfmhwz/gcyw/content/3ad7d8d1-8a2a-4683-82b5-4766ac84985e.html</t>
        </is>
      </c>
      <c r="D16" s="22" t="inlineStr">
        <is>
          <t>A</t>
        </is>
      </c>
      <c r="E16" s="22" t="inlineStr">
        <is>
          <t>2025-05-22</t>
        </is>
      </c>
    </row>
    <row r="17" ht="26" customHeight="1">
      <c r="A17" s="24" t="n">
        <v>12</v>
      </c>
      <c r="B17" s="25" t="inlineStr">
        <is>
          <t>人民网：灌云临港产业区项目进展</t>
        </is>
      </c>
      <c r="C17" s="27" t="inlineStr">
        <is>
          <t>http://js.people.com.cn/n2/2025/0811/c360301-41318945.html</t>
        </is>
      </c>
      <c r="D17" s="26" t="inlineStr">
        <is>
          <t>B</t>
        </is>
      </c>
      <c r="E17" s="26" t="inlineStr">
        <is>
          <t>2025-08-11</t>
        </is>
      </c>
    </row>
    <row r="18" ht="26" customHeight="1">
      <c r="A18" s="20" t="n">
        <v>13</v>
      </c>
      <c r="B18" s="21" t="inlineStr">
        <is>
          <t>中盐昆山官网：55 万吨纯碱/60 万吨氯化铵</t>
        </is>
      </c>
      <c r="C18" s="23" t="inlineStr">
        <is>
          <t>https://www.csks.cn/helps/gyzyks.html</t>
        </is>
      </c>
      <c r="D18" s="22" t="inlineStr">
        <is>
          <t>C</t>
        </is>
      </c>
      <c r="E18" s="22" t="inlineStr">
        <is>
          <t>2026</t>
        </is>
      </c>
    </row>
    <row r="19" ht="26" customHeight="1">
      <c r="A19" s="24" t="n">
        <v>14</v>
      </c>
      <c r="B19" s="25" t="inlineStr">
        <is>
          <t>华昌化工 2025 年年度报告摘要</t>
        </is>
      </c>
      <c r="C19" s="27" t="inlineStr">
        <is>
          <t>http://static.cninfo.com.cn/finalpage/2026-04-18/1225115189.PDF</t>
        </is>
      </c>
      <c r="D19" s="26" t="inlineStr">
        <is>
          <t>A</t>
        </is>
      </c>
      <c r="E19" s="26" t="inlineStr">
        <is>
          <t>2026-04-18</t>
        </is>
      </c>
    </row>
    <row r="20" ht="26" customHeight="1">
      <c r="A20" s="20" t="n">
        <v>15</v>
      </c>
      <c r="B20" s="21" t="inlineStr">
        <is>
          <t>苏盐井神 2025 年年度报告</t>
        </is>
      </c>
      <c r="C20" s="23" t="inlineStr">
        <is>
          <t>http://file.finance.sina.com.cn/211.154.219.97:9494/MRGG/CNSESH_STOCK/2026/2026-4/2026-04-23/12149430.PDF</t>
        </is>
      </c>
      <c r="D20" s="22" t="inlineStr">
        <is>
          <t>A</t>
        </is>
      </c>
      <c r="E20" s="22" t="inlineStr">
        <is>
          <t>2026-04-23</t>
        </is>
      </c>
    </row>
    <row r="21" ht="26" customHeight="1">
      <c r="A21" s="24" t="n">
        <v>16</v>
      </c>
      <c r="B21" s="25" t="inlineStr">
        <is>
          <t>三友化工 2025 年年度报告</t>
        </is>
      </c>
      <c r="C21" s="27" t="inlineStr">
        <is>
          <t>https://money.finance.sina.com.cn/corp/view/vCB_AllBulletinDetail.php?stockid=600409&amp;id=12180724</t>
        </is>
      </c>
      <c r="D21" s="26" t="inlineStr">
        <is>
          <t>A</t>
        </is>
      </c>
      <c r="E21" s="26" t="inlineStr">
        <is>
          <t>2026</t>
        </is>
      </c>
    </row>
    <row r="22" ht="26" customHeight="1">
      <c r="A22" s="20" t="n">
        <v>17</v>
      </c>
      <c r="B22" s="21" t="inlineStr">
        <is>
          <t>远兴能源 2024 年年度报告摘要：纯碱 577.79 万吨</t>
        </is>
      </c>
      <c r="C22" s="23" t="inlineStr">
        <is>
          <t>https://paper.cnstock.com/html/2025-04/25/content_2056260.htm</t>
        </is>
      </c>
      <c r="D22" s="22" t="inlineStr">
        <is>
          <t>A</t>
        </is>
      </c>
      <c r="E22" s="22" t="inlineStr">
        <is>
          <t>2025-04-25</t>
        </is>
      </c>
    </row>
    <row r="23" ht="26" customHeight="1">
      <c r="A23" s="24" t="n">
        <v>18</v>
      </c>
      <c r="B23" s="25" t="inlineStr">
        <is>
          <t>每日经济新闻：远兴牌不是郑商所免检品牌</t>
        </is>
      </c>
      <c r="C23" s="27" t="inlineStr">
        <is>
          <t>https://www.nbd.com.cn/articles/2023-11-29/3138455.html</t>
        </is>
      </c>
      <c r="D23" s="26" t="inlineStr">
        <is>
          <t>B</t>
        </is>
      </c>
      <c r="E23" s="26" t="inlineStr">
        <is>
          <t>2023-11-29</t>
        </is>
      </c>
    </row>
    <row r="24" ht="26" customHeight="1">
      <c r="A24" s="20" t="n">
        <v>19</v>
      </c>
      <c r="B24" s="21" t="inlineStr">
        <is>
          <t>大河网：中源化学 180 万吨纯碱、120 万吨小苏打</t>
        </is>
      </c>
      <c r="C24" s="23" t="inlineStr">
        <is>
          <t>https://app.dahecube.com/nweb/news/20230510/162062nd161ddea3b3.htm</t>
        </is>
      </c>
      <c r="D24" s="22" t="inlineStr">
        <is>
          <t>B</t>
        </is>
      </c>
      <c r="E24" s="22" t="inlineStr">
        <is>
          <t>2023-05-10</t>
        </is>
      </c>
    </row>
    <row r="25" ht="26" customHeight="1">
      <c r="A25" s="24" t="n">
        <v>20</v>
      </c>
      <c r="B25" s="25" t="inlineStr">
        <is>
          <t>青海省政府：昆仑碱业 150 万吨氨碱与股权结构</t>
        </is>
      </c>
      <c r="C25" s="27" t="inlineStr">
        <is>
          <t>http://cdmxhjj.haixi.gov.cn/system/2021/06/30/010387079.shtml</t>
        </is>
      </c>
      <c r="D25" s="26" t="inlineStr">
        <is>
          <t>A</t>
        </is>
      </c>
      <c r="E25" s="26" t="inlineStr">
        <is>
          <t>2021-06-30</t>
        </is>
      </c>
    </row>
    <row r="26" ht="26" customHeight="1">
      <c r="A26" s="20" t="n">
        <v>21</v>
      </c>
      <c r="B26" s="21" t="inlineStr">
        <is>
          <t>中盐化工 2025 年年度报告</t>
        </is>
      </c>
      <c r="C26" s="23" t="inlineStr">
        <is>
          <t>http://dataclouds.cninfo.com.cn/shgonggao/hsomarket/2026/20260429/f0f0b3057b0c40d9941d00be40097953.PDF</t>
        </is>
      </c>
      <c r="D26" s="22" t="inlineStr">
        <is>
          <t>A</t>
        </is>
      </c>
      <c r="E26" s="22" t="inlineStr">
        <is>
          <t>2026-04-29</t>
        </is>
      </c>
    </row>
    <row r="27" ht="26" customHeight="1">
      <c r="A27" s="24" t="n">
        <v>22</v>
      </c>
      <c r="B27" s="25" t="inlineStr">
        <is>
          <t>双环科技 2025 年年度报告</t>
        </is>
      </c>
      <c r="C27" s="27" t="inlineStr">
        <is>
          <t>http://file.finance.sina.com.cn/211.154.219.97:9494/MRGG/CNSESZ_STOCK/2026/2026-4/2026-04-29/12261120.PDF</t>
        </is>
      </c>
      <c r="D27" s="26" t="inlineStr">
        <is>
          <t>A</t>
        </is>
      </c>
      <c r="E27" s="26" t="inlineStr">
        <is>
          <t>2026-04-29</t>
        </is>
      </c>
    </row>
    <row r="28" ht="26" customHeight="1">
      <c r="A28" s="20" t="n">
        <v>23</v>
      </c>
      <c r="B28" s="21" t="inlineStr">
        <is>
          <t>东方财富：双环科技 2026H1 预亏 0.55–0.85 亿元</t>
        </is>
      </c>
      <c r="C28" s="23" t="inlineStr">
        <is>
          <t>https://finance.eastmoney.com/a/202607143805775564.html</t>
        </is>
      </c>
      <c r="D28" s="22" t="inlineStr">
        <is>
          <t>B</t>
        </is>
      </c>
      <c r="E28" s="22" t="inlineStr">
        <is>
          <t>2026-07-14</t>
        </is>
      </c>
    </row>
    <row r="29" ht="26" customHeight="1">
      <c r="A29" s="24" t="n">
        <v>24</v>
      </c>
      <c r="B29" s="25" t="inlineStr">
        <is>
          <t>百度百科：山东海天生物 120 万吨、金晶集团全资</t>
        </is>
      </c>
      <c r="C29" s="27" t="inlineStr">
        <is>
          <t>https://baike.baidu.com/item/山东海天生物化工有限公司/10619153</t>
        </is>
      </c>
      <c r="D29" s="26" t="inlineStr">
        <is>
          <t>C</t>
        </is>
      </c>
      <c r="E29" s="26" t="inlineStr">
        <is>
          <t>2026</t>
        </is>
      </c>
    </row>
    <row r="30" ht="26" customHeight="1">
      <c r="A30" s="20" t="n">
        <v>25</v>
      </c>
      <c r="B30" s="21" t="inlineStr">
        <is>
          <t>金晶科技为海天生物提供担保的公告</t>
        </is>
      </c>
      <c r="C30" s="23" t="inlineStr">
        <is>
          <t>http://static.cninfo.com.cn/finalpage/2018-06-06/1205038312.PDF</t>
        </is>
      </c>
      <c r="D30" s="22" t="inlineStr">
        <is>
          <t>A</t>
        </is>
      </c>
      <c r="E30" s="22" t="inlineStr">
        <is>
          <t>2018-06-06</t>
        </is>
      </c>
    </row>
    <row r="31" ht="26" customHeight="1">
      <c r="A31" s="24" t="n">
        <v>26</v>
      </c>
      <c r="B31" s="25" t="inlineStr">
        <is>
          <t>山东海化纯碱厂产能 280 万吨（集团官网）</t>
        </is>
      </c>
      <c r="C31" s="27" t="inlineStr">
        <is>
          <t>https://www.haihua.com.cn/About_11/1664471386467147776.html</t>
        </is>
      </c>
      <c r="D31" s="26" t="inlineStr">
        <is>
          <t>C</t>
        </is>
      </c>
      <c r="E31" s="26" t="inlineStr"/>
    </row>
    <row r="32" ht="26" customHeight="1">
      <c r="A32" s="20" t="n">
        <v>27</v>
      </c>
      <c r="B32" s="21" t="inlineStr">
        <is>
          <t>连云港市国资委：项目全流程贯通</t>
        </is>
      </c>
      <c r="C32" s="23" t="inlineStr">
        <is>
          <t>http://gzw.lyg.gov.cn/lygsrmzfgyzcjdglwyh/gzdt/content/f9ce6041-d283-45be-8802-85955bccacef.html</t>
        </is>
      </c>
      <c r="D32" s="22" t="inlineStr">
        <is>
          <t>A</t>
        </is>
      </c>
      <c r="E32" s="22" t="inlineStr"/>
    </row>
    <row r="33" ht="26" customHeight="1">
      <c r="A33" s="24" t="n">
        <v>28</v>
      </c>
      <c r="B33" s="25" t="inlineStr">
        <is>
          <t>百度百科：连云港碱业（长江三角牌、110 万吨）</t>
        </is>
      </c>
      <c r="C33" s="27" t="inlineStr">
        <is>
          <t>https://baike.baidu.com/item/连云港碱业有限公司/20021302</t>
        </is>
      </c>
      <c r="D33" s="26" t="inlineStr">
        <is>
          <t>C</t>
        </is>
      </c>
      <c r="E33" s="26" t="inlineStr"/>
    </row>
    <row r="34" ht="26" customHeight="1">
      <c r="A34" s="20" t="n">
        <v>29</v>
      </c>
      <c r="B34" s="21" t="inlineStr">
        <is>
          <t>江苏德邦官网</t>
        </is>
      </c>
      <c r="C34" s="23" t="inlineStr">
        <is>
          <t>http://www.jsdebang.com/</t>
        </is>
      </c>
      <c r="D34" s="22" t="inlineStr">
        <is>
          <t>C</t>
        </is>
      </c>
      <c r="E34" s="22" t="inlineStr"/>
    </row>
    <row r="35" ht="26" customHeight="1">
      <c r="A35" s="24" t="n">
        <v>30</v>
      </c>
      <c r="B35" s="25" t="inlineStr">
        <is>
          <t>新浪：连云港德邦 60 万吨联碱开始投产（2025-02-20）</t>
        </is>
      </c>
      <c r="C35" s="27" t="inlineStr">
        <is>
          <t>https://finance.sina.com.cn/money/bond/2025-02-20/doc-inemarzm4048650.shtml</t>
        </is>
      </c>
      <c r="D35" s="26" t="inlineStr">
        <is>
          <t>B</t>
        </is>
      </c>
      <c r="E35" s="26" t="inlineStr"/>
    </row>
    <row r="36" ht="26" customHeight="1">
      <c r="A36" s="20" t="n">
        <v>31</v>
      </c>
      <c r="B36" s="21" t="inlineStr">
        <is>
          <t>百度百科：统一社会信用代码 91320583726539232K</t>
        </is>
      </c>
      <c r="C36" s="23" t="inlineStr">
        <is>
          <t>https://baike.baidu.com/item/中盐昆山有限公司/2110720</t>
        </is>
      </c>
      <c r="D36" s="22" t="inlineStr">
        <is>
          <t>C</t>
        </is>
      </c>
      <c r="E36" s="22" t="inlineStr"/>
    </row>
    <row r="37" ht="26" customHeight="1">
      <c r="A37" s="24" t="n">
        <v>32</v>
      </c>
      <c r="B37" s="25" t="inlineStr">
        <is>
          <t>华昌化工官网：企业简介</t>
        </is>
      </c>
      <c r="C37" s="27" t="inlineStr">
        <is>
          <t>https://www.huachangchem.cn/wap_about_zh.html</t>
        </is>
      </c>
      <c r="D37" s="26" t="inlineStr">
        <is>
          <t>C</t>
        </is>
      </c>
      <c r="E37" s="26" t="inlineStr"/>
    </row>
    <row r="38" ht="26" customHeight="1">
      <c r="A38" s="20" t="n">
        <v>33</v>
      </c>
      <c r="B38" s="21" t="inlineStr">
        <is>
          <t>券商：华昌纯碱产能 70 万吨（2023-10）</t>
        </is>
      </c>
      <c r="C38" s="23" t="inlineStr">
        <is>
          <t>https://pdf.dfcfw.com/pdf/H3_AP202310071601015959_1.pdf</t>
        </is>
      </c>
      <c r="D38" s="22" t="inlineStr">
        <is>
          <t>B</t>
        </is>
      </c>
      <c r="E38" s="22" t="inlineStr"/>
    </row>
    <row r="39" ht="26" customHeight="1">
      <c r="A39" s="24" t="n">
        <v>34</v>
      </c>
      <c r="B39" s="25" t="inlineStr">
        <is>
          <t>苏盐井神官网</t>
        </is>
      </c>
      <c r="C39" s="27" t="inlineStr">
        <is>
          <t>http://www.jssyjsgf.com/about/about.html</t>
        </is>
      </c>
      <c r="D39" s="26" t="inlineStr">
        <is>
          <t>C</t>
        </is>
      </c>
      <c r="E39" s="26" t="inlineStr"/>
    </row>
    <row r="40" ht="26" customHeight="1">
      <c r="A40" s="20" t="n">
        <v>35</v>
      </c>
      <c r="B40" s="21" t="inlineStr">
        <is>
          <t>民生证券：纯碱产能 60 万吨（2023-05）</t>
        </is>
      </c>
      <c r="C40" s="23" t="inlineStr">
        <is>
          <t>https://pdf.dfcfw.com/pdf/H3_AP202305281587323251_1.pdf</t>
        </is>
      </c>
      <c r="D40" s="22" t="inlineStr">
        <is>
          <t>B</t>
        </is>
      </c>
      <c r="E40" s="22" t="inlineStr"/>
    </row>
    <row r="41" ht="26" customHeight="1">
      <c r="A41" s="24" t="n">
        <v>36</v>
      </c>
      <c r="B41" s="25" t="inlineStr">
        <is>
          <t>联合资信：三友化工主体长期信用评级（2026-07）</t>
        </is>
      </c>
      <c r="C41" s="27" t="inlineStr">
        <is>
          <t>https://www.lhratings.com/uploads/file/20261016/g39fff68a7e.pdf</t>
        </is>
      </c>
      <c r="D41" s="26" t="inlineStr">
        <is>
          <t>B</t>
        </is>
      </c>
      <c r="E41" s="26" t="inlineStr"/>
    </row>
    <row r="42" ht="26" customHeight="1">
      <c r="A42" s="20" t="n">
        <v>37</v>
      </c>
      <c r="B42" s="21" t="inlineStr">
        <is>
          <t>三友化工 2026 年半年度报告</t>
        </is>
      </c>
      <c r="C42" s="23" t="inlineStr">
        <is>
          <t>https://stockmc.xueqiu.com/202608/600409_20260826_M4J9.pdf</t>
        </is>
      </c>
      <c r="D42" s="22" t="inlineStr">
        <is>
          <t>A</t>
        </is>
      </c>
      <c r="E42" s="22" t="inlineStr"/>
    </row>
    <row r="43" ht="26" customHeight="1">
      <c r="A43" s="24" t="n">
        <v>38</v>
      </c>
      <c r="B43" s="25" t="inlineStr">
        <is>
          <t>金山化工官网：330 万吨纯碱/360 万吨氯化铵</t>
        </is>
      </c>
      <c r="C43" s="27" t="inlineStr">
        <is>
          <t>http://www.jshgjt.com/a/zoujinjinshan/</t>
        </is>
      </c>
      <c r="D43" s="26" t="inlineStr">
        <is>
          <t>C</t>
        </is>
      </c>
      <c r="E43" s="26" t="inlineStr"/>
    </row>
    <row r="44" ht="26" customHeight="1">
      <c r="A44" s="20" t="n">
        <v>39</v>
      </c>
      <c r="B44" s="21" t="inlineStr">
        <is>
          <t>远兴能源 2025 年三季报调研纪要</t>
        </is>
      </c>
      <c r="C44" s="23" t="inlineStr">
        <is>
          <t>https://www.fxbaogao.com/detail/5119625</t>
        </is>
      </c>
      <c r="D44" s="22" t="inlineStr">
        <is>
          <t>B</t>
        </is>
      </c>
      <c r="E44" s="22" t="inlineStr"/>
    </row>
    <row r="45" ht="26" customHeight="1">
      <c r="A45" s="24" t="n">
        <v>40</v>
      </c>
      <c r="B45" s="25" t="inlineStr">
        <is>
          <t>远兴能源 2020 年年报：中源化学为关联方</t>
        </is>
      </c>
      <c r="C45" s="27" t="inlineStr">
        <is>
          <t>http://money.finance.sina.com.cn/corp/view/vCB_AllBulletinDetail.php?stockid=000683&amp;id=7139660</t>
        </is>
      </c>
      <c r="D45" s="26" t="inlineStr">
        <is>
          <t>A</t>
        </is>
      </c>
      <c r="E45" s="26" t="inlineStr"/>
    </row>
    <row r="46" ht="26" customHeight="1">
      <c r="A46" s="20" t="n">
        <v>41</v>
      </c>
      <c r="B46" s="21" t="inlineStr">
        <is>
          <t>新华网：桐柏天然碱产业（2023-08）</t>
        </is>
      </c>
      <c r="C46" s="23" t="inlineStr">
        <is>
          <t>http://www.xinhuanet.com/enterprise/20230816/8eb1a23d74544aa3b12f039e107d6e50/c.html</t>
        </is>
      </c>
      <c r="D46" s="22" t="inlineStr">
        <is>
          <t>B</t>
        </is>
      </c>
      <c r="E46" s="22" t="inlineStr"/>
    </row>
    <row r="47" ht="26" customHeight="1">
      <c r="A47" s="24" t="n">
        <v>42</v>
      </c>
      <c r="B47" s="25" t="inlineStr">
        <is>
          <t>券商：中盐化工 390 万吨纯碱、2025 年净利预测 1.48 亿元</t>
        </is>
      </c>
      <c r="C47" s="27" t="inlineStr">
        <is>
          <t>https://pdf.dfcfw.com/pdf/H3_AP202508281736014851_1.pdf</t>
        </is>
      </c>
      <c r="D47" s="26" t="inlineStr">
        <is>
          <t>B</t>
        </is>
      </c>
      <c r="E47" s="26" t="inlineStr"/>
    </row>
    <row r="48" ht="26" customHeight="1">
      <c r="A48" s="20" t="n">
        <v>43</v>
      </c>
      <c r="B48" s="21" t="inlineStr">
        <is>
          <t>新华网：应城盐化产业与双环 100 万吨（2025-08-04）</t>
        </is>
      </c>
      <c r="C48" s="23" t="inlineStr">
        <is>
          <t>https://www.news.cn/politics/20250804/10050573c0924c01ade524fbd8a3d2ac/c.html</t>
        </is>
      </c>
      <c r="D48" s="22" t="inlineStr">
        <is>
          <t>B</t>
        </is>
      </c>
      <c r="E48" s="22" t="inlineStr"/>
    </row>
    <row r="49" ht="26" customHeight="1">
      <c r="A49" s="24" t="n">
        <v>44</v>
      </c>
      <c r="B49" s="25" t="inlineStr">
        <is>
          <t>金晶集团官网：海天生物地址/纯碱销售</t>
        </is>
      </c>
      <c r="C49" s="27" t="inlineStr">
        <is>
          <t>https://www.cnggg.cn/fuzhiyingyezhizhao.html</t>
        </is>
      </c>
      <c r="D49" s="26" t="inlineStr">
        <is>
          <t>C</t>
        </is>
      </c>
      <c r="E49" s="26" t="inlineStr"/>
    </row>
    <row r="50" ht="26" customHeight="1">
      <c r="A50" s="20" t="n">
        <v>45</v>
      </c>
      <c r="B50" s="21" t="inlineStr">
        <is>
          <t>凤凰财经</t>
        </is>
      </c>
      <c r="C50" s="23" t="inlineStr">
        <is>
          <t>https://finance.ifeng.com/c/8cdOst6NQDg</t>
        </is>
      </c>
      <c r="D50" s="22" t="inlineStr">
        <is>
          <t>B</t>
        </is>
      </c>
      <c r="E50" s="22" t="inlineStr"/>
    </row>
  </sheetData>
  <autoFilter ref="A5:E50"/>
  <mergeCells count="3">
    <mergeCell ref="A2:E2"/>
    <mergeCell ref="A1:E1"/>
    <mergeCell ref="A3:E3"/>
  </mergeCells>
  <conditionalFormatting sqref="D6:D50">
    <cfRule type="expression" priority="1" dxfId="3">
      <formula>$D6="A"</formula>
    </cfRule>
    <cfRule type="expression" priority="2" dxfId="9">
      <formula>$D6="B"</formula>
    </cfRule>
    <cfRule type="expression" priority="3" dxfId="10">
      <formula>$D6="C"</formula>
    </cfRule>
  </conditionalFormatting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2" r:id="rId7"/>
    <hyperlink xmlns:r="http://schemas.openxmlformats.org/officeDocument/2006/relationships" ref="C13" r:id="rId8"/>
    <hyperlink xmlns:r="http://schemas.openxmlformats.org/officeDocument/2006/relationships" ref="C14" r:id="rId9"/>
    <hyperlink xmlns:r="http://schemas.openxmlformats.org/officeDocument/2006/relationships" ref="C15" r:id="rId10"/>
    <hyperlink xmlns:r="http://schemas.openxmlformats.org/officeDocument/2006/relationships" ref="C16" r:id="rId11"/>
    <hyperlink xmlns:r="http://schemas.openxmlformats.org/officeDocument/2006/relationships" ref="C17" r:id="rId12"/>
    <hyperlink xmlns:r="http://schemas.openxmlformats.org/officeDocument/2006/relationships" ref="C18" r:id="rId13"/>
    <hyperlink xmlns:r="http://schemas.openxmlformats.org/officeDocument/2006/relationships" ref="C19" r:id="rId14"/>
    <hyperlink xmlns:r="http://schemas.openxmlformats.org/officeDocument/2006/relationships" ref="C20" r:id="rId15"/>
    <hyperlink xmlns:r="http://schemas.openxmlformats.org/officeDocument/2006/relationships" ref="C21" r:id="rId16"/>
    <hyperlink xmlns:r="http://schemas.openxmlformats.org/officeDocument/2006/relationships" ref="C22" r:id="rId17"/>
    <hyperlink xmlns:r="http://schemas.openxmlformats.org/officeDocument/2006/relationships" ref="C23" r:id="rId18"/>
    <hyperlink xmlns:r="http://schemas.openxmlformats.org/officeDocument/2006/relationships" ref="C24" r:id="rId19"/>
    <hyperlink xmlns:r="http://schemas.openxmlformats.org/officeDocument/2006/relationships" ref="C25" r:id="rId20"/>
    <hyperlink xmlns:r="http://schemas.openxmlformats.org/officeDocument/2006/relationships" ref="C26" r:id="rId21"/>
    <hyperlink xmlns:r="http://schemas.openxmlformats.org/officeDocument/2006/relationships" ref="C27" r:id="rId22"/>
    <hyperlink xmlns:r="http://schemas.openxmlformats.org/officeDocument/2006/relationships" ref="C28" r:id="rId23"/>
    <hyperlink xmlns:r="http://schemas.openxmlformats.org/officeDocument/2006/relationships" ref="C29" r:id="rId24"/>
    <hyperlink xmlns:r="http://schemas.openxmlformats.org/officeDocument/2006/relationships" ref="C30" r:id="rId25"/>
    <hyperlink xmlns:r="http://schemas.openxmlformats.org/officeDocument/2006/relationships" ref="C31" r:id="rId26"/>
    <hyperlink xmlns:r="http://schemas.openxmlformats.org/officeDocument/2006/relationships" ref="C32" r:id="rId27"/>
    <hyperlink xmlns:r="http://schemas.openxmlformats.org/officeDocument/2006/relationships" ref="C33" r:id="rId28"/>
    <hyperlink xmlns:r="http://schemas.openxmlformats.org/officeDocument/2006/relationships" ref="C34" r:id="rId29"/>
    <hyperlink xmlns:r="http://schemas.openxmlformats.org/officeDocument/2006/relationships" ref="C35" r:id="rId30"/>
    <hyperlink xmlns:r="http://schemas.openxmlformats.org/officeDocument/2006/relationships" ref="C36" r:id="rId31"/>
    <hyperlink xmlns:r="http://schemas.openxmlformats.org/officeDocument/2006/relationships" ref="C37" r:id="rId32"/>
    <hyperlink xmlns:r="http://schemas.openxmlformats.org/officeDocument/2006/relationships" ref="C38" r:id="rId33"/>
    <hyperlink xmlns:r="http://schemas.openxmlformats.org/officeDocument/2006/relationships" ref="C39" r:id="rId34"/>
    <hyperlink xmlns:r="http://schemas.openxmlformats.org/officeDocument/2006/relationships" ref="C40" r:id="rId35"/>
    <hyperlink xmlns:r="http://schemas.openxmlformats.org/officeDocument/2006/relationships" ref="C41" r:id="rId36"/>
    <hyperlink xmlns:r="http://schemas.openxmlformats.org/officeDocument/2006/relationships" ref="C42" r:id="rId37"/>
    <hyperlink xmlns:r="http://schemas.openxmlformats.org/officeDocument/2006/relationships" ref="C43" r:id="rId38"/>
    <hyperlink xmlns:r="http://schemas.openxmlformats.org/officeDocument/2006/relationships" ref="C44" r:id="rId39"/>
    <hyperlink xmlns:r="http://schemas.openxmlformats.org/officeDocument/2006/relationships" ref="C45" r:id="rId40"/>
    <hyperlink xmlns:r="http://schemas.openxmlformats.org/officeDocument/2006/relationships" ref="C46" r:id="rId41"/>
    <hyperlink xmlns:r="http://schemas.openxmlformats.org/officeDocument/2006/relationships" ref="C47" r:id="rId42"/>
    <hyperlink xmlns:r="http://schemas.openxmlformats.org/officeDocument/2006/relationships" ref="C48" r:id="rId43"/>
    <hyperlink xmlns:r="http://schemas.openxmlformats.org/officeDocument/2006/relationships" ref="C49" r:id="rId44"/>
    <hyperlink xmlns:r="http://schemas.openxmlformats.org/officeDocument/2006/relationships" ref="C50" r:id="rId45"/>
  </hyperlinks>
  <pageMargins left="0.75" right="0.75" top="1" bottom="1" header="0.5" footer="0.5"/>
  <pageSetup orientation="landscape" paperSize="8" fitToHeight="0" fitToWidth="1"/>
  <headerFooter>
    <oddHeader/>
    <oddFooter>&amp;C&amp;8 &amp;K808080第二供应源备选池 · 第 &amp;P / &amp;N 页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R17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  <col width="3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42" customWidth="1" min="18" max="18"/>
  </cols>
  <sheetData>
    <row r="1" ht="44" customHeight="1">
      <c r="A1" s="17" t="inlineStr">
        <is>
          <t>09 · 供应商尽调 / 准入清单</t>
        </is>
      </c>
    </row>
    <row r="2" ht="24" customHeight="1">
      <c r="A2" s="18" t="inlineStr">
        <is>
          <t>13 项证据逐家打勾；状态列可下拉选择。未取得原件或可核验复印件前，不进入合格供方名录。</t>
        </is>
      </c>
    </row>
    <row r="3" ht="20" customHeight="1">
      <c r="A3" s="3" t="inlineStr">
        <is>
          <t>内部采购评估 · 公开信息研究</t>
        </is>
      </c>
    </row>
    <row r="5" ht="44" customHeight="1">
      <c r="A5" s="19" t="inlineStr">
        <is>
          <t>企业</t>
        </is>
      </c>
      <c r="B5" s="19" t="inlineStr">
        <is>
          <t>工艺</t>
        </is>
      </c>
      <c r="C5" s="19" t="inlineStr">
        <is>
          <t>免检</t>
        </is>
      </c>
      <c r="D5" s="19" t="inlineStr">
        <is>
          <t>本次重点尽调</t>
        </is>
      </c>
      <c r="E5" s="19" t="inlineStr">
        <is>
          <t>营业执照
/股权</t>
        </is>
      </c>
      <c r="F5" s="19" t="inlineStr">
        <is>
          <t>生产许可
/SC</t>
        </is>
      </c>
      <c r="G5" s="19" t="inlineStr">
        <is>
          <t>质量体系</t>
        </is>
      </c>
      <c r="H5" s="19" t="inlineStr">
        <is>
          <t>免检/交割
资质</t>
        </is>
      </c>
      <c r="I5" s="19" t="inlineStr">
        <is>
          <t>近12月
COA</t>
        </is>
      </c>
      <c r="J5" s="19" t="inlineStr">
        <is>
          <t>产能/产量
证明</t>
        </is>
      </c>
      <c r="K5" s="19" t="inlineStr">
        <is>
          <t>环保/排污</t>
        </is>
      </c>
      <c r="L5" s="19" t="inlineStr">
        <is>
          <t>安全/事故</t>
        </is>
      </c>
      <c r="M5" s="19" t="inlineStr">
        <is>
          <t>财务/涉诉</t>
        </is>
      </c>
      <c r="N5" s="19" t="inlineStr">
        <is>
          <t>玻璃客户
案例</t>
        </is>
      </c>
      <c r="O5" s="19" t="inlineStr">
        <is>
          <t>物流/码头</t>
        </is>
      </c>
      <c r="P5" s="19" t="inlineStr">
        <is>
          <t>合同/条款</t>
        </is>
      </c>
      <c r="Q5" s="19" t="inlineStr">
        <is>
          <t>样品/封样</t>
        </is>
      </c>
      <c r="R5" s="19" t="inlineStr">
        <is>
          <t>备注</t>
        </is>
      </c>
    </row>
    <row r="6" ht="42" customHeight="1">
      <c r="A6" s="21" t="inlineStr">
        <is>
          <t>连云港碱业</t>
        </is>
      </c>
      <c r="B6" s="21" t="inlineStr">
        <is>
          <t>联碱</t>
        </is>
      </c>
      <c r="C6" s="22" t="inlineStr">
        <is>
          <t>是</t>
        </is>
      </c>
      <c r="D6" s="21" t="inlineStr">
        <is>
          <t>新线重质比例、粒度分布、白度；食品生产许可（SC）</t>
        </is>
      </c>
      <c r="E6" s="22" t="inlineStr">
        <is>
          <t>未启动</t>
        </is>
      </c>
      <c r="F6" s="22" t="inlineStr">
        <is>
          <t>未启动</t>
        </is>
      </c>
      <c r="G6" s="22" t="inlineStr">
        <is>
          <t>未启动</t>
        </is>
      </c>
      <c r="H6" s="22" t="inlineStr">
        <is>
          <t>未启动</t>
        </is>
      </c>
      <c r="I6" s="22" t="inlineStr">
        <is>
          <t>未启动</t>
        </is>
      </c>
      <c r="J6" s="22" t="inlineStr">
        <is>
          <t>未启动</t>
        </is>
      </c>
      <c r="K6" s="22" t="inlineStr">
        <is>
          <t>未启动</t>
        </is>
      </c>
      <c r="L6" s="22" t="inlineStr">
        <is>
          <t>未启动</t>
        </is>
      </c>
      <c r="M6" s="22" t="inlineStr">
        <is>
          <t>未启动</t>
        </is>
      </c>
      <c r="N6" s="22" t="inlineStr">
        <is>
          <t>未启动</t>
        </is>
      </c>
      <c r="O6" s="22" t="inlineStr">
        <is>
          <t>未启动</t>
        </is>
      </c>
      <c r="P6" s="22" t="inlineStr">
        <is>
          <t>未启动</t>
        </is>
      </c>
      <c r="Q6" s="22" t="inlineStr">
        <is>
          <t>未启动</t>
        </is>
      </c>
      <c r="R6" s="21" t="inlineStr">
        <is>
          <t>110 万吨/年联碱（重质约 80 万吨）；2025-05-18 全流程贯通；同源：无</t>
        </is>
      </c>
    </row>
    <row r="7" ht="42" customHeight="1">
      <c r="A7" s="25" t="inlineStr">
        <is>
          <t>江苏德邦</t>
        </is>
      </c>
      <c r="B7" s="25" t="inlineStr">
        <is>
          <t>联碱</t>
        </is>
      </c>
      <c r="C7" s="26" t="inlineStr">
        <is>
          <t>否</t>
        </is>
      </c>
      <c r="D7" s="25" t="inlineStr">
        <is>
          <t>股权穿透/实际控制人；新线达产与重质比例</t>
        </is>
      </c>
      <c r="E7" s="26" t="inlineStr">
        <is>
          <t>未启动</t>
        </is>
      </c>
      <c r="F7" s="26" t="inlineStr">
        <is>
          <t>未启动</t>
        </is>
      </c>
      <c r="G7" s="26" t="inlineStr">
        <is>
          <t>未启动</t>
        </is>
      </c>
      <c r="H7" s="26" t="inlineStr">
        <is>
          <t>未启动</t>
        </is>
      </c>
      <c r="I7" s="26" t="inlineStr">
        <is>
          <t>未启动</t>
        </is>
      </c>
      <c r="J7" s="26" t="inlineStr">
        <is>
          <t>未启动</t>
        </is>
      </c>
      <c r="K7" s="26" t="inlineStr">
        <is>
          <t>未启动</t>
        </is>
      </c>
      <c r="L7" s="26" t="inlineStr">
        <is>
          <t>未启动</t>
        </is>
      </c>
      <c r="M7" s="26" t="inlineStr">
        <is>
          <t>未启动</t>
        </is>
      </c>
      <c r="N7" s="26" t="inlineStr">
        <is>
          <t>未启动</t>
        </is>
      </c>
      <c r="O7" s="26" t="inlineStr">
        <is>
          <t>未启动</t>
        </is>
      </c>
      <c r="P7" s="26" t="inlineStr">
        <is>
          <t>未启动</t>
        </is>
      </c>
      <c r="Q7" s="26" t="inlineStr">
        <is>
          <t>未启动</t>
        </is>
      </c>
      <c r="R7" s="25" t="inlineStr">
        <is>
          <t>60 万吨/年联碱；2025 年 2 月纯碱出货；同源：待核（与安徽德邦可能同集团）</t>
        </is>
      </c>
    </row>
    <row r="8" ht="42" customHeight="1">
      <c r="A8" s="21" t="inlineStr">
        <is>
          <t>中盐昆山</t>
        </is>
      </c>
      <c r="B8" s="21" t="inlineStr">
        <is>
          <t>联碱</t>
        </is>
      </c>
      <c r="C8" s="22" t="inlineStr">
        <is>
          <t>否</t>
        </is>
      </c>
      <c r="D8" s="21" t="inlineStr">
        <is>
          <t>食品生产许可与光伏客户审核；55 万吨实际年产量/重质比例</t>
        </is>
      </c>
      <c r="E8" s="22" t="inlineStr">
        <is>
          <t>未启动</t>
        </is>
      </c>
      <c r="F8" s="22" t="inlineStr">
        <is>
          <t>未启动</t>
        </is>
      </c>
      <c r="G8" s="22" t="inlineStr">
        <is>
          <t>未启动</t>
        </is>
      </c>
      <c r="H8" s="22" t="inlineStr">
        <is>
          <t>未启动</t>
        </is>
      </c>
      <c r="I8" s="22" t="inlineStr">
        <is>
          <t>未启动</t>
        </is>
      </c>
      <c r="J8" s="22" t="inlineStr">
        <is>
          <t>未启动</t>
        </is>
      </c>
      <c r="K8" s="22" t="inlineStr">
        <is>
          <t>未启动</t>
        </is>
      </c>
      <c r="L8" s="22" t="inlineStr">
        <is>
          <t>未启动</t>
        </is>
      </c>
      <c r="M8" s="22" t="inlineStr">
        <is>
          <t>未启动</t>
        </is>
      </c>
      <c r="N8" s="22" t="inlineStr">
        <is>
          <t>未启动</t>
        </is>
      </c>
      <c r="O8" s="22" t="inlineStr">
        <is>
          <t>未启动</t>
        </is>
      </c>
      <c r="P8" s="22" t="inlineStr">
        <is>
          <t>未启动</t>
        </is>
      </c>
      <c r="Q8" s="22" t="inlineStr">
        <is>
          <t>未启动</t>
        </is>
      </c>
      <c r="R8" s="21" t="inlineStr">
        <is>
          <t>55 万吨/年纯碱 + 60 万吨/年氯化铵；同源：中盐集团（与昆仑碱业同集团）</t>
        </is>
      </c>
    </row>
    <row r="9" ht="42" customHeight="1">
      <c r="A9" s="25" t="inlineStr">
        <is>
          <t>华昌化工</t>
        </is>
      </c>
      <c r="B9" s="25" t="inlineStr">
        <is>
          <t>联碱</t>
        </is>
      </c>
      <c r="C9" s="26" t="inlineStr">
        <is>
          <t>否</t>
        </is>
      </c>
      <c r="D9" s="25" t="inlineStr">
        <is>
          <t>2025 年纯碱板块毛利；重质比例</t>
        </is>
      </c>
      <c r="E9" s="26" t="inlineStr">
        <is>
          <t>未启动</t>
        </is>
      </c>
      <c r="F9" s="26" t="inlineStr">
        <is>
          <t>未启动</t>
        </is>
      </c>
      <c r="G9" s="26" t="inlineStr">
        <is>
          <t>未启动</t>
        </is>
      </c>
      <c r="H9" s="26" t="inlineStr">
        <is>
          <t>未启动</t>
        </is>
      </c>
      <c r="I9" s="26" t="inlineStr">
        <is>
          <t>未启动</t>
        </is>
      </c>
      <c r="J9" s="26" t="inlineStr">
        <is>
          <t>未启动</t>
        </is>
      </c>
      <c r="K9" s="26" t="inlineStr">
        <is>
          <t>未启动</t>
        </is>
      </c>
      <c r="L9" s="26" t="inlineStr">
        <is>
          <t>未启动</t>
        </is>
      </c>
      <c r="M9" s="26" t="inlineStr">
        <is>
          <t>未启动</t>
        </is>
      </c>
      <c r="N9" s="26" t="inlineStr">
        <is>
          <t>未启动</t>
        </is>
      </c>
      <c r="O9" s="26" t="inlineStr">
        <is>
          <t>未启动</t>
        </is>
      </c>
      <c r="P9" s="26" t="inlineStr">
        <is>
          <t>未启动</t>
        </is>
      </c>
      <c r="Q9" s="26" t="inlineStr">
        <is>
          <t>未启动</t>
        </is>
      </c>
      <c r="R9" s="25" t="inlineStr">
        <is>
          <t>70 万吨/年纯碱（联碱，配套氯化铵）；同源：无</t>
        </is>
      </c>
    </row>
    <row r="10" ht="42" customHeight="1">
      <c r="A10" s="21" t="inlineStr">
        <is>
          <t>苏盐井神</t>
        </is>
      </c>
      <c r="B10" s="21" t="inlineStr">
        <is>
          <t>联碱</t>
        </is>
      </c>
      <c r="C10" s="22" t="inlineStr">
        <is>
          <t>是</t>
        </is>
      </c>
      <c r="D10" s="21" t="inlineStr">
        <is>
          <t>2025 年纯碱产量/重质比例；运河运输与到货周期</t>
        </is>
      </c>
      <c r="E10" s="22" t="inlineStr">
        <is>
          <t>未启动</t>
        </is>
      </c>
      <c r="F10" s="22" t="inlineStr">
        <is>
          <t>未启动</t>
        </is>
      </c>
      <c r="G10" s="22" t="inlineStr">
        <is>
          <t>未启动</t>
        </is>
      </c>
      <c r="H10" s="22" t="inlineStr">
        <is>
          <t>未启动</t>
        </is>
      </c>
      <c r="I10" s="22" t="inlineStr">
        <is>
          <t>未启动</t>
        </is>
      </c>
      <c r="J10" s="22" t="inlineStr">
        <is>
          <t>未启动</t>
        </is>
      </c>
      <c r="K10" s="22" t="inlineStr">
        <is>
          <t>未启动</t>
        </is>
      </c>
      <c r="L10" s="22" t="inlineStr">
        <is>
          <t>未启动</t>
        </is>
      </c>
      <c r="M10" s="22" t="inlineStr">
        <is>
          <t>未启动</t>
        </is>
      </c>
      <c r="N10" s="22" t="inlineStr">
        <is>
          <t>未启动</t>
        </is>
      </c>
      <c r="O10" s="22" t="inlineStr">
        <is>
          <t>未启动</t>
        </is>
      </c>
      <c r="P10" s="22" t="inlineStr">
        <is>
          <t>未启动</t>
        </is>
      </c>
      <c r="Q10" s="22" t="inlineStr">
        <is>
          <t>未启动</t>
        </is>
      </c>
      <c r="R10" s="21" t="inlineStr">
        <is>
          <t>60 万吨/年纯碱（2022 年产量 73 万吨，超产）；同源：无</t>
        </is>
      </c>
    </row>
    <row r="11" ht="42" customHeight="1">
      <c r="A11" s="25" t="inlineStr">
        <is>
          <t>三友化工</t>
        </is>
      </c>
      <c r="B11" s="25" t="inlineStr">
        <is>
          <t>氨碱</t>
        </is>
      </c>
      <c r="C11" s="26" t="inlineStr">
        <is>
          <t>是</t>
        </is>
      </c>
      <c r="D11" s="25" t="inlineStr">
        <is>
          <t>2025 年纯碱产量/库存；唐山限产影响</t>
        </is>
      </c>
      <c r="E11" s="26" t="inlineStr">
        <is>
          <t>未启动</t>
        </is>
      </c>
      <c r="F11" s="26" t="inlineStr">
        <is>
          <t>未启动</t>
        </is>
      </c>
      <c r="G11" s="26" t="inlineStr">
        <is>
          <t>未启动</t>
        </is>
      </c>
      <c r="H11" s="26" t="inlineStr">
        <is>
          <t>未启动</t>
        </is>
      </c>
      <c r="I11" s="26" t="inlineStr">
        <is>
          <t>未启动</t>
        </is>
      </c>
      <c r="J11" s="26" t="inlineStr">
        <is>
          <t>未启动</t>
        </is>
      </c>
      <c r="K11" s="26" t="inlineStr">
        <is>
          <t>未启动</t>
        </is>
      </c>
      <c r="L11" s="26" t="inlineStr">
        <is>
          <t>未启动</t>
        </is>
      </c>
      <c r="M11" s="26" t="inlineStr">
        <is>
          <t>未启动</t>
        </is>
      </c>
      <c r="N11" s="26" t="inlineStr">
        <is>
          <t>未启动</t>
        </is>
      </c>
      <c r="O11" s="26" t="inlineStr">
        <is>
          <t>未启动</t>
        </is>
      </c>
      <c r="P11" s="26" t="inlineStr">
        <is>
          <t>未启动</t>
        </is>
      </c>
      <c r="Q11" s="26" t="inlineStr">
        <is>
          <t>未启动</t>
        </is>
      </c>
      <c r="R11" s="25" t="inlineStr">
        <is>
          <t>340 万吨/年纯碱（氨碱），粘胶短纤 78 万吨；同源：无</t>
        </is>
      </c>
    </row>
    <row r="12" ht="42" customHeight="1">
      <c r="A12" s="21" t="inlineStr">
        <is>
          <t>河南金山</t>
        </is>
      </c>
      <c r="B12" s="21" t="inlineStr">
        <is>
          <t>联碱</t>
        </is>
      </c>
      <c r="C12" s="22" t="inlineStr">
        <is>
          <t>是</t>
        </is>
      </c>
      <c r="D12" s="21" t="inlineStr">
        <is>
          <t>舞阳厂区实际在产产能；重质比例</t>
        </is>
      </c>
      <c r="E12" s="22" t="inlineStr">
        <is>
          <t>未启动</t>
        </is>
      </c>
      <c r="F12" s="22" t="inlineStr">
        <is>
          <t>未启动</t>
        </is>
      </c>
      <c r="G12" s="22" t="inlineStr">
        <is>
          <t>未启动</t>
        </is>
      </c>
      <c r="H12" s="22" t="inlineStr">
        <is>
          <t>未启动</t>
        </is>
      </c>
      <c r="I12" s="22" t="inlineStr">
        <is>
          <t>未启动</t>
        </is>
      </c>
      <c r="J12" s="22" t="inlineStr">
        <is>
          <t>未启动</t>
        </is>
      </c>
      <c r="K12" s="22" t="inlineStr">
        <is>
          <t>未启动</t>
        </is>
      </c>
      <c r="L12" s="22" t="inlineStr">
        <is>
          <t>未启动</t>
        </is>
      </c>
      <c r="M12" s="22" t="inlineStr">
        <is>
          <t>未启动</t>
        </is>
      </c>
      <c r="N12" s="22" t="inlineStr">
        <is>
          <t>未启动</t>
        </is>
      </c>
      <c r="O12" s="22" t="inlineStr">
        <is>
          <t>未启动</t>
        </is>
      </c>
      <c r="P12" s="22" t="inlineStr">
        <is>
          <t>未启动</t>
        </is>
      </c>
      <c r="Q12" s="22" t="inlineStr">
        <is>
          <t>未启动</t>
        </is>
      </c>
      <c r="R12" s="21" t="inlineStr">
        <is>
          <t>330 万吨/年纯碱 + 360 万吨/年氯化铵 + 95 万吨合成氨；同源：金山集团内多厂区</t>
        </is>
      </c>
    </row>
    <row r="13" ht="44.59999999999999" customHeight="1">
      <c r="A13" s="25" t="inlineStr">
        <is>
          <t>远兴能源</t>
        </is>
      </c>
      <c r="B13" s="25" t="inlineStr">
        <is>
          <t>天然碱</t>
        </is>
      </c>
      <c r="C13" s="26" t="inlineStr">
        <is>
          <t>否</t>
        </is>
      </c>
      <c r="D13" s="25" t="inlineStr">
        <is>
          <t>到货粒度/白度/水不溶物；非免检交割/检验流程</t>
        </is>
      </c>
      <c r="E13" s="26" t="inlineStr">
        <is>
          <t>未启动</t>
        </is>
      </c>
      <c r="F13" s="26" t="inlineStr">
        <is>
          <t>未启动</t>
        </is>
      </c>
      <c r="G13" s="26" t="inlineStr">
        <is>
          <t>未启动</t>
        </is>
      </c>
      <c r="H13" s="26" t="inlineStr">
        <is>
          <t>未启动</t>
        </is>
      </c>
      <c r="I13" s="26" t="inlineStr">
        <is>
          <t>未启动</t>
        </is>
      </c>
      <c r="J13" s="26" t="inlineStr">
        <is>
          <t>未启动</t>
        </is>
      </c>
      <c r="K13" s="26" t="inlineStr">
        <is>
          <t>未启动</t>
        </is>
      </c>
      <c r="L13" s="26" t="inlineStr">
        <is>
          <t>未启动</t>
        </is>
      </c>
      <c r="M13" s="26" t="inlineStr">
        <is>
          <t>未启动</t>
        </is>
      </c>
      <c r="N13" s="26" t="inlineStr">
        <is>
          <t>未启动</t>
        </is>
      </c>
      <c r="O13" s="26" t="inlineStr">
        <is>
          <t>未启动</t>
        </is>
      </c>
      <c r="P13" s="26" t="inlineStr">
        <is>
          <t>未启动</t>
        </is>
      </c>
      <c r="Q13" s="26" t="inlineStr">
        <is>
          <t>未启动</t>
        </is>
      </c>
      <c r="R13" s="25" t="inlineStr">
        <is>
          <t>在产 680 万吨/年（阿拉善 500 + 中源 180）；二期 280 万吨 2026 年投产，达产 960 万吨；同源：与中源化学同源（母子公司）</t>
        </is>
      </c>
    </row>
    <row r="14" ht="42" customHeight="1">
      <c r="A14" s="21" t="inlineStr">
        <is>
          <t>中源化学</t>
        </is>
      </c>
      <c r="B14" s="21" t="inlineStr">
        <is>
          <t>天然碱</t>
        </is>
      </c>
      <c r="C14" s="22" t="inlineStr">
        <is>
          <t>是</t>
        </is>
      </c>
      <c r="D14" s="21" t="inlineStr">
        <is>
          <t>与远兴的销售主体/价格政策；粒度分布/白度</t>
        </is>
      </c>
      <c r="E14" s="22" t="inlineStr">
        <is>
          <t>未启动</t>
        </is>
      </c>
      <c r="F14" s="22" t="inlineStr">
        <is>
          <t>未启动</t>
        </is>
      </c>
      <c r="G14" s="22" t="inlineStr">
        <is>
          <t>未启动</t>
        </is>
      </c>
      <c r="H14" s="22" t="inlineStr">
        <is>
          <t>未启动</t>
        </is>
      </c>
      <c r="I14" s="22" t="inlineStr">
        <is>
          <t>未启动</t>
        </is>
      </c>
      <c r="J14" s="22" t="inlineStr">
        <is>
          <t>未启动</t>
        </is>
      </c>
      <c r="K14" s="22" t="inlineStr">
        <is>
          <t>未启动</t>
        </is>
      </c>
      <c r="L14" s="22" t="inlineStr">
        <is>
          <t>未启动</t>
        </is>
      </c>
      <c r="M14" s="22" t="inlineStr">
        <is>
          <t>未启动</t>
        </is>
      </c>
      <c r="N14" s="22" t="inlineStr">
        <is>
          <t>未启动</t>
        </is>
      </c>
      <c r="O14" s="22" t="inlineStr">
        <is>
          <t>未启动</t>
        </is>
      </c>
      <c r="P14" s="22" t="inlineStr">
        <is>
          <t>未启动</t>
        </is>
      </c>
      <c r="Q14" s="22" t="inlineStr">
        <is>
          <t>未启动</t>
        </is>
      </c>
      <c r="R14" s="21" t="inlineStr">
        <is>
          <t>180 万吨/年纯碱 + 120 万吨/年小苏打；同源：与远兴能源同源（母子公司）</t>
        </is>
      </c>
    </row>
    <row r="15" ht="44.59999999999999" customHeight="1">
      <c r="A15" s="25" t="inlineStr">
        <is>
          <t>昆仑碱业</t>
        </is>
      </c>
      <c r="B15" s="25" t="inlineStr">
        <is>
          <t>氨碱</t>
        </is>
      </c>
      <c r="C15" s="26" t="inlineStr">
        <is>
          <t>是</t>
        </is>
      </c>
      <c r="D15" s="25" t="inlineStr">
        <is>
          <t>铁路发运周期；到货结块/粒度</t>
        </is>
      </c>
      <c r="E15" s="26" t="inlineStr">
        <is>
          <t>未启动</t>
        </is>
      </c>
      <c r="F15" s="26" t="inlineStr">
        <is>
          <t>未启动</t>
        </is>
      </c>
      <c r="G15" s="26" t="inlineStr">
        <is>
          <t>未启动</t>
        </is>
      </c>
      <c r="H15" s="26" t="inlineStr">
        <is>
          <t>未启动</t>
        </is>
      </c>
      <c r="I15" s="26" t="inlineStr">
        <is>
          <t>未启动</t>
        </is>
      </c>
      <c r="J15" s="26" t="inlineStr">
        <is>
          <t>未启动</t>
        </is>
      </c>
      <c r="K15" s="26" t="inlineStr">
        <is>
          <t>未启动</t>
        </is>
      </c>
      <c r="L15" s="26" t="inlineStr">
        <is>
          <t>未启动</t>
        </is>
      </c>
      <c r="M15" s="26" t="inlineStr">
        <is>
          <t>未启动</t>
        </is>
      </c>
      <c r="N15" s="26" t="inlineStr">
        <is>
          <t>未启动</t>
        </is>
      </c>
      <c r="O15" s="26" t="inlineStr">
        <is>
          <t>未启动</t>
        </is>
      </c>
      <c r="P15" s="26" t="inlineStr">
        <is>
          <t>未启动</t>
        </is>
      </c>
      <c r="Q15" s="26" t="inlineStr">
        <is>
          <t>未启动</t>
        </is>
      </c>
      <c r="R15" s="25" t="inlineStr">
        <is>
          <t>150 万吨/年氨碱（2011 年 100 万吨投产，2017 年技改至 150 万吨）；同源：中盐集团（与中盐昆山同集团）</t>
        </is>
      </c>
    </row>
    <row r="16" ht="44.59999999999999" customHeight="1">
      <c r="A16" s="21" t="inlineStr">
        <is>
          <t>双环科技</t>
        </is>
      </c>
      <c r="B16" s="21" t="inlineStr">
        <is>
          <t>联碱</t>
        </is>
      </c>
      <c r="C16" s="22" t="inlineStr">
        <is>
          <t>否</t>
        </is>
      </c>
      <c r="D16" s="21" t="inlineStr">
        <is>
          <t>2026 年现金流/检修计划；重质比例</t>
        </is>
      </c>
      <c r="E16" s="22" t="inlineStr">
        <is>
          <t>未启动</t>
        </is>
      </c>
      <c r="F16" s="22" t="inlineStr">
        <is>
          <t>未启动</t>
        </is>
      </c>
      <c r="G16" s="22" t="inlineStr">
        <is>
          <t>未启动</t>
        </is>
      </c>
      <c r="H16" s="22" t="inlineStr">
        <is>
          <t>未启动</t>
        </is>
      </c>
      <c r="I16" s="22" t="inlineStr">
        <is>
          <t>未启动</t>
        </is>
      </c>
      <c r="J16" s="22" t="inlineStr">
        <is>
          <t>未启动</t>
        </is>
      </c>
      <c r="K16" s="22" t="inlineStr">
        <is>
          <t>未启动</t>
        </is>
      </c>
      <c r="L16" s="22" t="inlineStr">
        <is>
          <t>未启动</t>
        </is>
      </c>
      <c r="M16" s="22" t="inlineStr">
        <is>
          <t>未启动</t>
        </is>
      </c>
      <c r="N16" s="22" t="inlineStr">
        <is>
          <t>未启动</t>
        </is>
      </c>
      <c r="O16" s="22" t="inlineStr">
        <is>
          <t>未启动</t>
        </is>
      </c>
      <c r="P16" s="22" t="inlineStr">
        <is>
          <t>未启动</t>
        </is>
      </c>
      <c r="Q16" s="22" t="inlineStr">
        <is>
          <t>未启动</t>
        </is>
      </c>
      <c r="R16" s="21" t="inlineStr">
        <is>
          <t>约 110 万吨/年联碱（2025 年报道口径 100 万吨；2026 年拟再增 40 万吨，需核实）；同源：无</t>
        </is>
      </c>
    </row>
    <row r="17" ht="42" customHeight="1">
      <c r="A17" s="25" t="inlineStr">
        <is>
          <t>海天生物</t>
        </is>
      </c>
      <c r="B17" s="25" t="inlineStr">
        <is>
          <t>氨碱</t>
        </is>
      </c>
      <c r="C17" s="26" t="inlineStr">
        <is>
          <t>是</t>
        </is>
      </c>
      <c r="D17" s="25" t="inlineStr">
        <is>
          <t>对玻璃客户供货政策；重质比例</t>
        </is>
      </c>
      <c r="E17" s="26" t="inlineStr">
        <is>
          <t>未启动</t>
        </is>
      </c>
      <c r="F17" s="26" t="inlineStr">
        <is>
          <t>未启动</t>
        </is>
      </c>
      <c r="G17" s="26" t="inlineStr">
        <is>
          <t>未启动</t>
        </is>
      </c>
      <c r="H17" s="26" t="inlineStr">
        <is>
          <t>未启动</t>
        </is>
      </c>
      <c r="I17" s="26" t="inlineStr">
        <is>
          <t>未启动</t>
        </is>
      </c>
      <c r="J17" s="26" t="inlineStr">
        <is>
          <t>未启动</t>
        </is>
      </c>
      <c r="K17" s="26" t="inlineStr">
        <is>
          <t>未启动</t>
        </is>
      </c>
      <c r="L17" s="26" t="inlineStr">
        <is>
          <t>未启动</t>
        </is>
      </c>
      <c r="M17" s="26" t="inlineStr">
        <is>
          <t>未启动</t>
        </is>
      </c>
      <c r="N17" s="26" t="inlineStr">
        <is>
          <t>未启动</t>
        </is>
      </c>
      <c r="O17" s="26" t="inlineStr">
        <is>
          <t>未启动</t>
        </is>
      </c>
      <c r="P17" s="26" t="inlineStr">
        <is>
          <t>未启动</t>
        </is>
      </c>
      <c r="Q17" s="26" t="inlineStr">
        <is>
          <t>未启动</t>
        </is>
      </c>
      <c r="R17" s="25" t="inlineStr">
        <is>
          <t>一期 120 万吨/年纯碱，年产量约 110 万吨；同源：金晶集团（与金晶科技同源）</t>
        </is>
      </c>
    </row>
  </sheetData>
  <autoFilter ref="A5:R17"/>
  <mergeCells count="3">
    <mergeCell ref="A3:R3"/>
    <mergeCell ref="A2:R2"/>
    <mergeCell ref="A1:R1"/>
  </mergeCells>
  <conditionalFormatting sqref="E6:Q17">
    <cfRule type="expression" priority="1" dxfId="3">
      <formula>E6="已核"</formula>
    </cfRule>
    <cfRule type="expression" priority="2" dxfId="6">
      <formula>E6="资料中"</formula>
    </cfRule>
    <cfRule type="expression" priority="3" dxfId="13">
      <formula>E6="不适用"</formula>
    </cfRule>
    <cfRule type="expression" priority="4" dxfId="14">
      <formula>E6="未启动"</formula>
    </cfRule>
  </conditionalFormatting>
  <dataValidations count="1">
    <dataValidation sqref="E6:Q17" showDropDown="0" showInputMessage="0" showErrorMessage="0" allowBlank="1" type="list">
      <formula1>"未启动,资料中,已核,不适用"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&amp;C&amp;8 &amp;K808080第二供应源备选池 · 第 &amp;P /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chemical-second-source skill</dc:creator>
  <dc:title xmlns:dc="http://purl.org/dc/elements/1.1/">重质纯碱（碳酸钠） 第二供应源备选池 · 对比工作簿</dc:title>
  <dc:subject xmlns:dc="http://purl.org/dc/elements/1.1/">江苏苏州（工业园区） · 800 吨/月 · 备选供应商研究</dc:subject>
  <dcterms:created xmlns:dcterms="http://purl.org/dc/terms/" xmlns:xsi="http://www.w3.org/2001/XMLSchema-instance" xsi:type="dcterms:W3CDTF">2026-10-19T06:56:21Z</dcterms:created>
  <dcterms:modified xmlns:dcterms="http://purl.org/dc/terms/" xmlns:xsi="http://www.w3.org/2001/XMLSchema-instance" xsi:type="dcterms:W3CDTF">2026-10-19T06:56:22Z</dcterms:modified>
  <cp:keywords>化工品, 供应商, 第二供应源, 采购, 比选</cp:keywords>
</cp:coreProperties>
</file>